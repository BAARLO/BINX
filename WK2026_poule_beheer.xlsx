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489" documentId="8_{E82BF418-5EC5-4A9D-9227-B9F99AE92E74}" xr6:coauthVersionLast="47" xr6:coauthVersionMax="47" xr10:uidLastSave="{98975C70-C5DB-4804-AC8A-EE7ECCB594A0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0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8" i="3"/>
  <c r="D18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9" i="3"/>
  <c r="B4" i="3"/>
  <c r="B11" i="3"/>
  <c r="B6" i="3"/>
  <c r="B13" i="3"/>
  <c r="B17" i="3"/>
  <c r="B16" i="3"/>
  <c r="B10" i="3"/>
  <c r="B14" i="3"/>
  <c r="B15" i="3"/>
  <c r="B22" i="3"/>
  <c r="B24" i="3"/>
  <c r="B23" i="3"/>
  <c r="B9" i="3"/>
  <c r="D9" i="3"/>
  <c r="B8" i="3"/>
  <c r="B3" i="3"/>
  <c r="B20" i="3"/>
  <c r="B21" i="3"/>
  <c r="B7" i="3"/>
  <c r="B12" i="3"/>
  <c r="B5" i="3"/>
  <c r="AR6" i="1"/>
  <c r="AR10" i="1"/>
  <c r="AR14" i="1"/>
  <c r="AR20" i="1"/>
  <c r="AR21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J26" i="1"/>
  <c r="H26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26" i="1" l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0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9" i="3" s="1"/>
  <c r="AK17" i="2"/>
  <c r="D11" i="3" s="1"/>
  <c r="AM17" i="2"/>
  <c r="D23" i="3" s="1"/>
  <c r="AI17" i="2"/>
  <c r="D24" i="3" s="1"/>
  <c r="AO17" i="2"/>
  <c r="D15" i="3" s="1"/>
  <c r="AA17" i="2"/>
  <c r="D3" i="3" s="1"/>
  <c r="AC17" i="2"/>
  <c r="D21" i="3" s="1"/>
  <c r="AE17" i="2"/>
  <c r="D7" i="3" s="1"/>
  <c r="AG17" i="2"/>
  <c r="D16" i="3" s="1"/>
  <c r="E17" i="2"/>
  <c r="D14" i="3" s="1"/>
  <c r="I17" i="2"/>
  <c r="D5" i="3" s="1"/>
  <c r="K17" i="2"/>
  <c r="D22" i="3" s="1"/>
  <c r="M17" i="2"/>
  <c r="D20" i="3" s="1"/>
  <c r="G17" i="2"/>
  <c r="D12" i="3" s="1"/>
  <c r="O17" i="2"/>
  <c r="D4" i="3" s="1"/>
  <c r="S17" i="2"/>
  <c r="D17" i="3" s="1"/>
  <c r="U17" i="2"/>
  <c r="D6" i="3" s="1"/>
  <c r="W17" i="2"/>
  <c r="D13" i="3" s="1"/>
  <c r="Y17" i="2"/>
  <c r="D8" i="3" s="1"/>
  <c r="C10" i="3" l="1"/>
  <c r="E10" i="3" s="1"/>
  <c r="C9" i="3"/>
  <c r="E9" i="3" s="1"/>
  <c r="C19" i="3"/>
  <c r="E19" i="3" s="1"/>
  <c r="C18" i="3"/>
  <c r="E18" i="3" s="1"/>
  <c r="C15" i="3"/>
  <c r="E15" i="3" s="1"/>
  <c r="C21" i="3"/>
  <c r="E21" i="3" s="1"/>
  <c r="C17" i="3"/>
  <c r="E17" i="3" s="1"/>
  <c r="C7" i="3"/>
  <c r="E7" i="3" s="1"/>
  <c r="C4" i="3"/>
  <c r="E4" i="3" s="1"/>
  <c r="C20" i="3"/>
  <c r="E20" i="3" s="1"/>
  <c r="C24" i="3"/>
  <c r="E24" i="3" s="1"/>
  <c r="C14" i="3"/>
  <c r="E14" i="3" s="1"/>
  <c r="C13" i="3"/>
  <c r="E13" i="3" s="1"/>
  <c r="C22" i="3"/>
  <c r="E22" i="3" s="1"/>
  <c r="C11" i="3"/>
  <c r="E11" i="3" s="1"/>
  <c r="C3" i="3"/>
  <c r="E3" i="3" s="1"/>
  <c r="C12" i="3"/>
  <c r="E12" i="3" s="1"/>
  <c r="C8" i="3"/>
  <c r="E8" i="3" s="1"/>
  <c r="C5" i="3"/>
  <c r="E5" i="3" s="1"/>
  <c r="C23" i="3"/>
  <c r="E23" i="3" s="1"/>
  <c r="C6" i="3"/>
  <c r="E6" i="3" s="1"/>
  <c r="C16" i="3"/>
  <c r="E16" i="3" s="1"/>
  <c r="A18" i="3" l="1"/>
  <c r="A23" i="3"/>
  <c r="A5" i="3"/>
  <c r="A9" i="3"/>
  <c r="A16" i="3"/>
  <c r="A14" i="3"/>
  <c r="A8" i="3"/>
  <c r="A22" i="3"/>
  <c r="A4" i="3"/>
  <c r="A15" i="3"/>
  <c r="A24" i="3"/>
  <c r="A6" i="3"/>
  <c r="A20" i="3"/>
  <c r="A12" i="3"/>
  <c r="A19" i="3"/>
  <c r="A17" i="3"/>
  <c r="A13" i="3"/>
  <c r="A11" i="3"/>
  <c r="A7" i="3"/>
  <c r="A21" i="3"/>
  <c r="A3" i="3"/>
  <c r="A10" i="3"/>
</calcChain>
</file>

<file path=xl/sharedStrings.xml><?xml version="1.0" encoding="utf-8"?>
<sst xmlns="http://schemas.openxmlformats.org/spreadsheetml/2006/main" count="2317" uniqueCount="330">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</sst>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" activePane="bottomRight" state="frozen"/>
      <selection pane="topRight"/>
      <selection pane="bottomLeft"/>
      <selection pane="bottomRight" activeCell="C26" sqref="C26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/>
      </c>
      <c r="G26" s="10" t="s">
        <v>33</v>
      </c>
      <c r="H26" s="11" t="str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/>
      </c>
      <c r="I26" s="10" t="s">
        <v>33</v>
      </c>
      <c r="J26" s="11" t="str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/>
      </c>
      <c r="K26" s="10" t="s">
        <v>43</v>
      </c>
      <c r="L26" s="11" t="str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/>
      </c>
      <c r="M26" s="10" t="s">
        <v>49</v>
      </c>
      <c r="N26" s="11" t="str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/>
      </c>
      <c r="O26" s="10" t="s">
        <v>33</v>
      </c>
      <c r="P26" s="11" t="str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/>
      </c>
      <c r="Q26" s="10" t="s">
        <v>36</v>
      </c>
      <c r="R26" s="11" t="str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/>
      </c>
      <c r="S26" s="10" t="s">
        <v>63</v>
      </c>
      <c r="T26" s="11" t="str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/>
      </c>
      <c r="U26" s="10" t="s">
        <v>33</v>
      </c>
      <c r="V26" s="11" t="str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/>
      </c>
      <c r="W26" s="10" t="s">
        <v>36</v>
      </c>
      <c r="X26" s="11" t="str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/>
      </c>
      <c r="Y26" s="10" t="s">
        <v>36</v>
      </c>
      <c r="Z26" s="11" t="str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/>
      </c>
      <c r="AA26" s="10" t="s">
        <v>38</v>
      </c>
      <c r="AB26" s="11" t="str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/>
      </c>
      <c r="AC26" s="10" t="s">
        <v>33</v>
      </c>
      <c r="AD26" s="11" t="str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/>
      </c>
      <c r="AE26" s="10" t="s">
        <v>33</v>
      </c>
      <c r="AF26" s="11" t="str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/>
      </c>
      <c r="AG26" s="10" t="s">
        <v>36</v>
      </c>
      <c r="AH26" s="11" t="str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/>
      </c>
      <c r="AI26" s="10" t="s">
        <v>34</v>
      </c>
      <c r="AJ26" s="11" t="str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/>
      </c>
      <c r="AK26" s="10" t="s">
        <v>33</v>
      </c>
      <c r="AL26" s="11" t="str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/>
      </c>
      <c r="AM26" s="10" t="s">
        <v>36</v>
      </c>
      <c r="AN26" s="11" t="str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/>
      </c>
      <c r="AO26" s="10" t="s">
        <v>39</v>
      </c>
      <c r="AP26" s="11" t="str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/>
      </c>
      <c r="AQ26" s="10" t="s">
        <v>61</v>
      </c>
      <c r="AR26" s="11" t="str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/>
      </c>
      <c r="AS26" s="10" t="s">
        <v>35</v>
      </c>
      <c r="AT26" s="11" t="str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/>
      </c>
      <c r="AU26" s="10" t="s">
        <v>34</v>
      </c>
      <c r="AV26" s="11" t="str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/>
      </c>
      <c r="AW26" s="11" t="str">
        <f>IF($C26="","",IFERROR(--LEFT($C26,FIND("-",$C26)-1),""))</f>
        <v/>
      </c>
      <c r="AX26" s="11" t="str">
        <f>IF($C26="","",IFERROR(--MID($C26,FIND("-",$C26)+1,99),""))</f>
        <v/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/>
      </c>
      <c r="G29" s="10" t="s">
        <v>61</v>
      </c>
      <c r="H29" s="11" t="str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/>
      </c>
      <c r="I29" s="10" t="s">
        <v>48</v>
      </c>
      <c r="J29" s="11" t="str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/>
      </c>
      <c r="K29" s="10" t="s">
        <v>66</v>
      </c>
      <c r="L29" s="11" t="str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/>
      </c>
      <c r="M29" s="10" t="s">
        <v>48</v>
      </c>
      <c r="N29" s="11" t="str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/>
      </c>
      <c r="O29" s="10" t="s">
        <v>57</v>
      </c>
      <c r="P29" s="11" t="str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/>
      </c>
      <c r="Q29" s="10" t="s">
        <v>50</v>
      </c>
      <c r="R29" s="11" t="str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/>
      </c>
      <c r="S29" s="10" t="s">
        <v>35</v>
      </c>
      <c r="T29" s="11" t="str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/>
      </c>
      <c r="U29" s="10" t="s">
        <v>48</v>
      </c>
      <c r="V29" s="11" t="str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/>
      </c>
      <c r="W29" s="10" t="s">
        <v>48</v>
      </c>
      <c r="X29" s="11" t="str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/>
      </c>
      <c r="Y29" s="10" t="s">
        <v>48</v>
      </c>
      <c r="Z29" s="11" t="str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/>
      </c>
      <c r="AA29" s="10" t="s">
        <v>37</v>
      </c>
      <c r="AB29" s="11" t="str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/>
      </c>
      <c r="AC29" s="10" t="s">
        <v>56</v>
      </c>
      <c r="AD29" s="11" t="str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/>
      </c>
      <c r="AE29" s="10" t="s">
        <v>48</v>
      </c>
      <c r="AF29" s="11" t="str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/>
      </c>
      <c r="AG29" s="10" t="s">
        <v>37</v>
      </c>
      <c r="AH29" s="11" t="str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/>
      </c>
      <c r="AI29" s="10" t="s">
        <v>48</v>
      </c>
      <c r="AJ29" s="11" t="str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/>
      </c>
      <c r="AK29" s="10" t="s">
        <v>48</v>
      </c>
      <c r="AL29" s="11" t="str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/>
      </c>
      <c r="AM29" s="10" t="s">
        <v>45</v>
      </c>
      <c r="AN29" s="11" t="str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/>
      </c>
      <c r="AO29" s="10" t="s">
        <v>56</v>
      </c>
      <c r="AP29" s="11" t="str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/>
      </c>
      <c r="AQ29" s="10" t="s">
        <v>37</v>
      </c>
      <c r="AR29" s="11" t="str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/>
      </c>
      <c r="AS29" s="10" t="s">
        <v>57</v>
      </c>
      <c r="AT29" s="11" t="str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/>
      </c>
      <c r="AU29" s="10" t="s">
        <v>44</v>
      </c>
      <c r="AV29" s="11" t="str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/>
      </c>
      <c r="AW29" s="11" t="str">
        <f>IF($C29="","",IFERROR(--LEFT($C29,FIND("-",$C29)-1),""))</f>
        <v/>
      </c>
      <c r="AX29" s="11" t="str">
        <f>IF($C29="","",IFERROR(--MID($C29,FIND("-",$C29)+1,99),""))</f>
        <v/>
      </c>
    </row>
    <row r="30" spans="1:50" ht="18" customHeight="1" x14ac:dyDescent="0.3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/>
      </c>
      <c r="G30" s="10" t="s">
        <v>35</v>
      </c>
      <c r="H30" s="11" t="str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/>
      </c>
      <c r="I30" s="10" t="s">
        <v>36</v>
      </c>
      <c r="J30" s="11" t="str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/>
      </c>
      <c r="K30" s="10" t="s">
        <v>45</v>
      </c>
      <c r="L30" s="11" t="str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/>
      </c>
      <c r="M30" s="10" t="s">
        <v>49</v>
      </c>
      <c r="N30" s="11" t="str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/>
      </c>
      <c r="O30" s="10" t="s">
        <v>50</v>
      </c>
      <c r="P30" s="11" t="str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/>
      </c>
      <c r="Q30" s="10" t="s">
        <v>45</v>
      </c>
      <c r="R30" s="11" t="str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/>
      </c>
      <c r="S30" s="10" t="s">
        <v>33</v>
      </c>
      <c r="T30" s="11" t="str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/>
      </c>
      <c r="U30" s="10" t="s">
        <v>39</v>
      </c>
      <c r="V30" s="11" t="str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/>
      </c>
      <c r="W30" s="10" t="s">
        <v>39</v>
      </c>
      <c r="X30" s="11" t="str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/>
      </c>
      <c r="Y30" s="10" t="s">
        <v>36</v>
      </c>
      <c r="Z30" s="11" t="str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/>
      </c>
      <c r="AA30" s="10" t="s">
        <v>36</v>
      </c>
      <c r="AB30" s="11" t="str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/>
      </c>
      <c r="AC30" s="10" t="s">
        <v>34</v>
      </c>
      <c r="AD30" s="11" t="str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/>
      </c>
      <c r="AE30" s="10" t="s">
        <v>36</v>
      </c>
      <c r="AF30" s="11" t="str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/>
      </c>
      <c r="AG30" s="10" t="s">
        <v>33</v>
      </c>
      <c r="AH30" s="11" t="str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/>
      </c>
      <c r="AI30" s="10" t="s">
        <v>35</v>
      </c>
      <c r="AJ30" s="11" t="str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/>
      </c>
      <c r="AK30" s="10" t="s">
        <v>36</v>
      </c>
      <c r="AL30" s="11" t="str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/>
      </c>
      <c r="AM30" s="10" t="s">
        <v>33</v>
      </c>
      <c r="AN30" s="11" t="str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/>
      </c>
      <c r="AO30" s="10" t="s">
        <v>36</v>
      </c>
      <c r="AP30" s="11" t="str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/>
      </c>
      <c r="AQ30" s="10" t="s">
        <v>57</v>
      </c>
      <c r="AR30" s="11" t="str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/>
      </c>
      <c r="AS30" s="10" t="s">
        <v>35</v>
      </c>
      <c r="AT30" s="11" t="str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/>
      </c>
      <c r="AU30" s="10" t="s">
        <v>39</v>
      </c>
      <c r="AV30" s="11" t="str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/>
      </c>
      <c r="AW30" s="11" t="str">
        <f>IF($C30="","",IFERROR(--LEFT($C30,FIND("-",$C30)-1),""))</f>
        <v/>
      </c>
      <c r="AX30" s="11" t="str">
        <f>IF($C30="","",IFERROR(--MID($C30,FIND("-",$C30)+1,99),""))</f>
        <v/>
      </c>
    </row>
    <row r="31" spans="1:50" ht="18" customHeight="1" x14ac:dyDescent="0.3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3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3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G5" sqref="G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Wedstrijden_beheer!AA1</f>
        <v>Ivo</v>
      </c>
      <c r="C3" s="11">
        <f>SUM(Wedstrijden_beheer!AB3:'Wedstrijden_beheer'!AB194)</f>
        <v>62</v>
      </c>
      <c r="D3" s="11">
        <f>Bonus_beheer!AA17</f>
        <v>0</v>
      </c>
      <c r="E3" s="11">
        <f t="shared" ref="E3:E24" si="1">C3+D3</f>
        <v>62</v>
      </c>
    </row>
    <row r="4" spans="1:5" ht="18" customHeight="1" x14ac:dyDescent="0.3">
      <c r="A4" s="11">
        <f t="shared" si="0"/>
        <v>2</v>
      </c>
      <c r="B4" s="1" t="str">
        <f>Wedstrijden_beheer!O1</f>
        <v>Maik</v>
      </c>
      <c r="C4" s="11">
        <f>SUM(Wedstrijden_beheer!P3:'Wedstrijden_beheer'!P194)</f>
        <v>54</v>
      </c>
      <c r="D4" s="11">
        <f>Bonus_beheer!O17</f>
        <v>0</v>
      </c>
      <c r="E4" s="11">
        <f t="shared" si="1"/>
        <v>54</v>
      </c>
    </row>
    <row r="5" spans="1:5" ht="18" customHeight="1" x14ac:dyDescent="0.3">
      <c r="A5" s="11">
        <f t="shared" si="0"/>
        <v>3</v>
      </c>
      <c r="B5" s="1" t="str">
        <f>Wedstrijden_beheer!I1</f>
        <v>Abdussamed</v>
      </c>
      <c r="C5" s="11">
        <f>SUM(Wedstrijden_beheer!J3:'Wedstrijden_beheer'!J194)</f>
        <v>53</v>
      </c>
      <c r="D5" s="11">
        <f>Bonus_beheer!I17</f>
        <v>0</v>
      </c>
      <c r="E5" s="11">
        <f t="shared" si="1"/>
        <v>53</v>
      </c>
    </row>
    <row r="6" spans="1:5" ht="18" customHeight="1" x14ac:dyDescent="0.3">
      <c r="A6" s="11">
        <f t="shared" si="0"/>
        <v>3</v>
      </c>
      <c r="B6" s="1" t="str">
        <f>Wedstrijden_beheer!U1</f>
        <v>Tom</v>
      </c>
      <c r="C6" s="11">
        <f>SUM(Wedstrijden_beheer!V3:'Wedstrijden_beheer'!V194)</f>
        <v>53</v>
      </c>
      <c r="D6" s="11">
        <f>Bonus_beheer!U17</f>
        <v>0</v>
      </c>
      <c r="E6" s="11">
        <f t="shared" si="1"/>
        <v>53</v>
      </c>
    </row>
    <row r="7" spans="1:5" ht="18" customHeight="1" x14ac:dyDescent="0.3">
      <c r="A7" s="11">
        <f t="shared" si="0"/>
        <v>5</v>
      </c>
      <c r="B7" s="1" t="str">
        <f>Wedstrijden_beheer!AE1</f>
        <v>Jeroen</v>
      </c>
      <c r="C7" s="11">
        <f>SUM(Wedstrijden_beheer!AF3:'Wedstrijden_beheer'!AF194)</f>
        <v>52</v>
      </c>
      <c r="D7" s="11">
        <f>Bonus_beheer!AE17</f>
        <v>0</v>
      </c>
      <c r="E7" s="11">
        <f t="shared" si="1"/>
        <v>52</v>
      </c>
    </row>
    <row r="8" spans="1:5" ht="18" customHeight="1" x14ac:dyDescent="0.3">
      <c r="A8" s="11">
        <f t="shared" si="0"/>
        <v>6</v>
      </c>
      <c r="B8" s="1" t="str">
        <f>Wedstrijden_beheer!Y1</f>
        <v>Lesley</v>
      </c>
      <c r="C8" s="11">
        <f>SUM(Wedstrijden_beheer!Z3:'Wedstrijden_beheer'!Z194)</f>
        <v>51</v>
      </c>
      <c r="D8" s="11">
        <f>Bonus_beheer!Y17</f>
        <v>0</v>
      </c>
      <c r="E8" s="11">
        <f t="shared" si="1"/>
        <v>51</v>
      </c>
    </row>
    <row r="9" spans="1:5" ht="18" customHeight="1" x14ac:dyDescent="0.3">
      <c r="A9" s="11">
        <f t="shared" si="0"/>
        <v>7</v>
      </c>
      <c r="B9" s="1" t="str">
        <f>Wedstrijden_beheer!AQ1</f>
        <v>Jeno</v>
      </c>
      <c r="C9" s="11">
        <f>SUM(Wedstrijden_beheer!AV4:'Wedstrijden_beheer'!AV195)</f>
        <v>49</v>
      </c>
      <c r="D9" s="11">
        <f>Bonus_beheer!AU18</f>
        <v>0</v>
      </c>
      <c r="E9" s="11">
        <f t="shared" si="1"/>
        <v>49</v>
      </c>
    </row>
    <row r="10" spans="1:5" ht="18" customHeight="1" x14ac:dyDescent="0.3">
      <c r="A10" s="11">
        <f t="shared" si="0"/>
        <v>7</v>
      </c>
      <c r="B10" s="1" t="str">
        <f>Wedstrijden_beheer!AU1</f>
        <v>Raymond</v>
      </c>
      <c r="C10" s="11">
        <f>SUM(Wedstrijden_beheer!AV3:'Wedstrijden_beheer'!AV194)</f>
        <v>49</v>
      </c>
      <c r="D10" s="11">
        <f>Bonus_beheer!AU17</f>
        <v>0</v>
      </c>
      <c r="E10" s="11">
        <f t="shared" si="1"/>
        <v>49</v>
      </c>
    </row>
    <row r="11" spans="1:5" ht="18" customHeight="1" x14ac:dyDescent="0.3">
      <c r="A11" s="11">
        <f t="shared" si="0"/>
        <v>9</v>
      </c>
      <c r="B11" s="1" t="str">
        <f>Wedstrijden_beheer!AK1</f>
        <v>Kim</v>
      </c>
      <c r="C11" s="11">
        <f>SUM(Wedstrijden_beheer!AL3:'Wedstrijden_beheer'!AL194)</f>
        <v>48</v>
      </c>
      <c r="D11" s="11">
        <f>Bonus_beheer!AK17</f>
        <v>0</v>
      </c>
      <c r="E11" s="11">
        <f t="shared" si="1"/>
        <v>48</v>
      </c>
    </row>
    <row r="12" spans="1:5" ht="18" customHeight="1" x14ac:dyDescent="0.3">
      <c r="A12" s="11">
        <f t="shared" si="0"/>
        <v>9</v>
      </c>
      <c r="B12" s="1" t="str">
        <f>Wedstrijden_beheer!G1</f>
        <v>Nikki</v>
      </c>
      <c r="C12" s="11">
        <f>SUM(Wedstrijden_beheer!H3:'Wedstrijden_beheer'!H194)</f>
        <v>48</v>
      </c>
      <c r="D12" s="11">
        <f>Bonus_beheer!G17</f>
        <v>0</v>
      </c>
      <c r="E12" s="11">
        <f t="shared" si="1"/>
        <v>48</v>
      </c>
    </row>
    <row r="13" spans="1:5" ht="18" customHeight="1" x14ac:dyDescent="0.3">
      <c r="A13" s="11">
        <f t="shared" si="0"/>
        <v>11</v>
      </c>
      <c r="B13" s="1" t="str">
        <f>Wedstrijden_beheer!W1</f>
        <v>Jos</v>
      </c>
      <c r="C13" s="11">
        <f>SUM(Wedstrijden_beheer!X3:'Wedstrijden_beheer'!X194)</f>
        <v>46</v>
      </c>
      <c r="D13" s="11">
        <f>Bonus_beheer!W17</f>
        <v>0</v>
      </c>
      <c r="E13" s="11">
        <f t="shared" si="1"/>
        <v>46</v>
      </c>
    </row>
    <row r="14" spans="1:5" ht="18" customHeight="1" x14ac:dyDescent="0.3">
      <c r="A14" s="11">
        <f t="shared" si="0"/>
        <v>11</v>
      </c>
      <c r="B14" s="1" t="str">
        <f>Wedstrijden_beheer!E1</f>
        <v>Roland</v>
      </c>
      <c r="C14" s="11">
        <f>SUM(Wedstrijden_beheer!F3:'Wedstrijden_beheer'!F194)</f>
        <v>46</v>
      </c>
      <c r="D14" s="11">
        <f>Bonus_beheer!E17</f>
        <v>0</v>
      </c>
      <c r="E14" s="11">
        <f t="shared" si="1"/>
        <v>46</v>
      </c>
    </row>
    <row r="15" spans="1:5" ht="18" customHeight="1" x14ac:dyDescent="0.3">
      <c r="A15" s="11">
        <f t="shared" si="0"/>
        <v>13</v>
      </c>
      <c r="B15" s="1" t="str">
        <f>Wedstrijden_beheer!AO1</f>
        <v>Patrick</v>
      </c>
      <c r="C15" s="11">
        <f>SUM(Wedstrijden_beheer!AP3:'Wedstrijden_beheer'!AP194)</f>
        <v>45</v>
      </c>
      <c r="D15" s="11">
        <f>Bonus_beheer!AO17</f>
        <v>0</v>
      </c>
      <c r="E15" s="11">
        <f t="shared" si="1"/>
        <v>45</v>
      </c>
    </row>
    <row r="16" spans="1:5" ht="18" customHeight="1" x14ac:dyDescent="0.3">
      <c r="A16" s="11">
        <f t="shared" si="0"/>
        <v>14</v>
      </c>
      <c r="B16" s="1" t="str">
        <f>Wedstrijden_beheer!AG1</f>
        <v>Erwin</v>
      </c>
      <c r="C16" s="11">
        <f>SUM(Wedstrijden_beheer!AH3:'Wedstrijden_beheer'!AH194)</f>
        <v>43</v>
      </c>
      <c r="D16" s="11">
        <f>Bonus_beheer!AG17</f>
        <v>0</v>
      </c>
      <c r="E16" s="11">
        <f t="shared" si="1"/>
        <v>43</v>
      </c>
    </row>
    <row r="17" spans="1:5" ht="18" customHeight="1" x14ac:dyDescent="0.3">
      <c r="A17" s="11">
        <f t="shared" si="0"/>
        <v>14</v>
      </c>
      <c r="B17" s="1" t="str">
        <f>Wedstrijden_beheer!S1</f>
        <v>Marc</v>
      </c>
      <c r="C17" s="11">
        <f>SUM(Wedstrijden_beheer!T3:'Wedstrijden_beheer'!T194)</f>
        <v>43</v>
      </c>
      <c r="D17" s="11">
        <f>Bonus_beheer!S17</f>
        <v>0</v>
      </c>
      <c r="E17" s="11">
        <f t="shared" si="1"/>
        <v>43</v>
      </c>
    </row>
    <row r="18" spans="1:5" ht="18" customHeight="1" x14ac:dyDescent="0.3">
      <c r="A18" s="11">
        <f t="shared" si="0"/>
        <v>16</v>
      </c>
      <c r="B18" s="1" t="str">
        <f>Wedstrijden_beheer!AS1</f>
        <v>Andre</v>
      </c>
      <c r="C18" s="11">
        <f>SUM(Wedstrijden_beheer!R4:'Wedstrijden_beheer'!R195)</f>
        <v>42</v>
      </c>
      <c r="D18" s="11">
        <f>Bonus_beheer!Q18</f>
        <v>0</v>
      </c>
      <c r="E18" s="11">
        <f t="shared" si="1"/>
        <v>42</v>
      </c>
    </row>
    <row r="19" spans="1:5" ht="18" customHeight="1" x14ac:dyDescent="0.3">
      <c r="A19" s="11">
        <f t="shared" si="0"/>
        <v>16</v>
      </c>
      <c r="B19" s="1" t="str">
        <f>Wedstrijden_beheer!Q1</f>
        <v>Simone</v>
      </c>
      <c r="C19" s="11">
        <f>SUM(Wedstrijden_beheer!R3:'Wedstrijden_beheer'!R194)</f>
        <v>42</v>
      </c>
      <c r="D19" s="11">
        <f>Bonus_beheer!Q17</f>
        <v>0</v>
      </c>
      <c r="E19" s="11">
        <f t="shared" si="1"/>
        <v>42</v>
      </c>
    </row>
    <row r="20" spans="1:5" ht="18" customHeight="1" x14ac:dyDescent="0.3">
      <c r="A20" s="11">
        <f t="shared" si="0"/>
        <v>18</v>
      </c>
      <c r="B20" s="1" t="str">
        <f>Wedstrijden_beheer!M1</f>
        <v>Bas</v>
      </c>
      <c r="C20" s="11">
        <f>SUM(Wedstrijden_beheer!N3:'Wedstrijden_beheer'!N194)</f>
        <v>41</v>
      </c>
      <c r="D20" s="11">
        <f>Bonus_beheer!M17</f>
        <v>0</v>
      </c>
      <c r="E20" s="11">
        <f t="shared" si="1"/>
        <v>41</v>
      </c>
    </row>
    <row r="21" spans="1:5" ht="18" customHeight="1" x14ac:dyDescent="0.3">
      <c r="A21" s="11">
        <f t="shared" si="0"/>
        <v>19</v>
      </c>
      <c r="B21" s="1" t="str">
        <f>Wedstrijden_beheer!AC1</f>
        <v>Ron</v>
      </c>
      <c r="C21" s="11">
        <f>SUM(Wedstrijden_beheer!AD3:'Wedstrijden_beheer'!AD194)</f>
        <v>40</v>
      </c>
      <c r="D21" s="11">
        <f>Bonus_beheer!AC17</f>
        <v>0</v>
      </c>
      <c r="E21" s="11">
        <f t="shared" si="1"/>
        <v>40</v>
      </c>
    </row>
    <row r="22" spans="1:5" ht="18" customHeight="1" x14ac:dyDescent="0.3">
      <c r="A22" s="11">
        <f t="shared" si="0"/>
        <v>20</v>
      </c>
      <c r="B22" s="1" t="str">
        <f>Wedstrijden_beheer!K1</f>
        <v>Karsten</v>
      </c>
      <c r="C22" s="11">
        <f>SUM(Wedstrijden_beheer!L3:'Wedstrijden_beheer'!L194)</f>
        <v>38</v>
      </c>
      <c r="D22" s="11">
        <f>Bonus_beheer!K17</f>
        <v>0</v>
      </c>
      <c r="E22" s="11">
        <f t="shared" si="1"/>
        <v>38</v>
      </c>
    </row>
    <row r="23" spans="1:5" x14ac:dyDescent="0.3">
      <c r="A23" s="11">
        <f t="shared" si="0"/>
        <v>20</v>
      </c>
      <c r="B23" s="1" t="str">
        <f>Wedstrijden_beheer!AM1</f>
        <v>Kristel</v>
      </c>
      <c r="C23" s="11">
        <f>SUM(Wedstrijden_beheer!AN3:'Wedstrijden_beheer'!AN194)</f>
        <v>38</v>
      </c>
      <c r="D23" s="11">
        <f>Bonus_beheer!AM17</f>
        <v>0</v>
      </c>
      <c r="E23" s="11">
        <f t="shared" si="1"/>
        <v>38</v>
      </c>
    </row>
    <row r="24" spans="1:5" x14ac:dyDescent="0.3">
      <c r="A24" s="11">
        <f t="shared" si="0"/>
        <v>22</v>
      </c>
      <c r="B24" s="1" t="str">
        <f>Wedstrijden_beheer!AI1</f>
        <v>Tim</v>
      </c>
      <c r="C24" s="11">
        <f>SUM(Wedstrijden_beheer!AJ3:'Wedstrijden_beheer'!AJ194)</f>
        <v>37</v>
      </c>
      <c r="D24" s="11">
        <f>Bonus_beheer!AI17</f>
        <v>0</v>
      </c>
      <c r="E24" s="11">
        <f t="shared" si="1"/>
        <v>37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7b90d758-d430-4ffd-9227-0f539ac48821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2026-06-15T19:22:14Z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