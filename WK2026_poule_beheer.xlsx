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22" documentId="8_{E82BF418-5EC5-4A9D-9227-B9F99AE92E74}" xr6:coauthVersionLast="47" xr6:coauthVersionMax="47" xr10:uidLastSave="{73771A5E-726D-4271-B4D3-9F0FB7D23AF0}"/>
  <bookViews>
    <workbookView xWindow="-108" yWindow="-108" windowWidth="23256" windowHeight="13896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2" i="1"/>
  <c r="AT37" i="1"/>
  <c r="AT39" i="1"/>
  <c r="AT43" i="1"/>
  <c r="AT45" i="1"/>
  <c r="AT50" i="1"/>
  <c r="AT53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43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4" i="3"/>
  <c r="B3" i="3"/>
  <c r="B12" i="3"/>
  <c r="B9" i="3"/>
  <c r="B16" i="3"/>
  <c r="B18" i="3"/>
  <c r="B10" i="3"/>
  <c r="B15" i="3"/>
  <c r="B13" i="3"/>
  <c r="B11" i="3"/>
  <c r="B21" i="3"/>
  <c r="B22" i="3"/>
  <c r="B20" i="3"/>
  <c r="B14" i="3"/>
  <c r="D14" i="3"/>
  <c r="B5" i="3"/>
  <c r="B4" i="3"/>
  <c r="B17" i="3"/>
  <c r="B19" i="3"/>
  <c r="B7" i="3"/>
  <c r="B8" i="3"/>
  <c r="B6" i="3"/>
  <c r="AR6" i="1"/>
  <c r="AR10" i="1"/>
  <c r="AR14" i="1"/>
  <c r="AR20" i="1"/>
  <c r="AR21" i="1"/>
  <c r="AR27" i="1"/>
  <c r="AR30" i="1"/>
  <c r="AR32" i="1"/>
  <c r="AR38" i="1"/>
  <c r="AR39" i="1"/>
  <c r="AR41" i="1"/>
  <c r="AR42" i="1"/>
  <c r="AR43" i="1"/>
  <c r="AR44" i="1"/>
  <c r="AR45" i="1"/>
  <c r="AR47" i="1"/>
  <c r="AR50" i="1"/>
  <c r="AR53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J26" i="1" s="1"/>
  <c r="AX26" i="1"/>
  <c r="AW29" i="1"/>
  <c r="N29" i="1" s="1"/>
  <c r="AX29" i="1"/>
  <c r="AW30" i="1"/>
  <c r="AH30" i="1" s="1"/>
  <c r="AX30" i="1"/>
  <c r="AT30" i="1" s="1"/>
  <c r="AW31" i="1"/>
  <c r="AR31" i="1" s="1"/>
  <c r="AX31" i="1"/>
  <c r="AW34" i="1"/>
  <c r="AB34" i="1" s="1"/>
  <c r="AX34" i="1"/>
  <c r="AN34" i="1" s="1"/>
  <c r="AW35" i="1"/>
  <c r="AP35" i="1" s="1"/>
  <c r="AX35" i="1"/>
  <c r="R35" i="1" s="1"/>
  <c r="AW36" i="1"/>
  <c r="AX36" i="1"/>
  <c r="F36" i="1" s="1"/>
  <c r="AW37" i="1"/>
  <c r="AP37" i="1" s="1"/>
  <c r="AX37" i="1"/>
  <c r="AW38" i="1"/>
  <c r="AP38" i="1" s="1"/>
  <c r="AX38" i="1"/>
  <c r="P38" i="1" s="1"/>
  <c r="AW41" i="1"/>
  <c r="AV41" i="1" s="1"/>
  <c r="AX41" i="1"/>
  <c r="AW42" i="1"/>
  <c r="Z42" i="1" s="1"/>
  <c r="AX42" i="1"/>
  <c r="N42" i="1" s="1"/>
  <c r="AW43" i="1"/>
  <c r="F43" i="1" s="1"/>
  <c r="AX43" i="1"/>
  <c r="AP43" i="1" s="1"/>
  <c r="AW44" i="1"/>
  <c r="AP44" i="1" s="1"/>
  <c r="AX44" i="1"/>
  <c r="AT44" i="1" s="1"/>
  <c r="AW47" i="1"/>
  <c r="AP47" i="1" s="1"/>
  <c r="AX47" i="1"/>
  <c r="P47" i="1" s="1"/>
  <c r="AW48" i="1"/>
  <c r="AR48" i="1" s="1"/>
  <c r="AX48" i="1"/>
  <c r="AW49" i="1"/>
  <c r="AP49" i="1" s="1"/>
  <c r="AX49" i="1"/>
  <c r="AW52" i="1"/>
  <c r="AV52" i="1" s="1"/>
  <c r="AX52" i="1"/>
  <c r="AF52" i="1" s="1"/>
  <c r="AW53" i="1"/>
  <c r="AD53" i="1" s="1"/>
  <c r="AX53" i="1"/>
  <c r="AW54" i="1"/>
  <c r="AP54" i="1" s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4" i="1"/>
  <c r="F35" i="1"/>
  <c r="F48" i="1"/>
  <c r="F52" i="1"/>
  <c r="F53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3" i="1"/>
  <c r="AN53" i="1"/>
  <c r="AJ53" i="1"/>
  <c r="AH53" i="1"/>
  <c r="AF53" i="1"/>
  <c r="AB53" i="1"/>
  <c r="Z53" i="1"/>
  <c r="X53" i="1"/>
  <c r="N53" i="1"/>
  <c r="J53" i="1"/>
  <c r="R52" i="1"/>
  <c r="P52" i="1"/>
  <c r="N52" i="1"/>
  <c r="L52" i="1"/>
  <c r="J52" i="1"/>
  <c r="H52" i="1"/>
  <c r="X49" i="1"/>
  <c r="V49" i="1"/>
  <c r="T49" i="1"/>
  <c r="X48" i="1"/>
  <c r="P48" i="1"/>
  <c r="N48" i="1"/>
  <c r="N47" i="1"/>
  <c r="L47" i="1"/>
  <c r="V44" i="1"/>
  <c r="H44" i="1"/>
  <c r="AL43" i="1"/>
  <c r="AJ43" i="1"/>
  <c r="AF43" i="1"/>
  <c r="AD43" i="1"/>
  <c r="AB43" i="1"/>
  <c r="Z43" i="1"/>
  <c r="X43" i="1"/>
  <c r="V43" i="1"/>
  <c r="R43" i="1"/>
  <c r="P43" i="1"/>
  <c r="N43" i="1"/>
  <c r="J43" i="1"/>
  <c r="AP42" i="1"/>
  <c r="AN42" i="1"/>
  <c r="AL42" i="1"/>
  <c r="AJ42" i="1"/>
  <c r="AH42" i="1"/>
  <c r="AF42" i="1"/>
  <c r="AD42" i="1"/>
  <c r="AB42" i="1"/>
  <c r="AD41" i="1"/>
  <c r="AB41" i="1"/>
  <c r="Z41" i="1"/>
  <c r="X41" i="1"/>
  <c r="V41" i="1"/>
  <c r="T41" i="1"/>
  <c r="R41" i="1"/>
  <c r="P41" i="1"/>
  <c r="N41" i="1"/>
  <c r="L41" i="1"/>
  <c r="J41" i="1"/>
  <c r="H41" i="1"/>
  <c r="N38" i="1"/>
  <c r="L38" i="1"/>
  <c r="J38" i="1"/>
  <c r="H38" i="1"/>
  <c r="AJ37" i="1"/>
  <c r="AF37" i="1"/>
  <c r="AB37" i="1"/>
  <c r="R37" i="1"/>
  <c r="P37" i="1"/>
  <c r="N37" i="1"/>
  <c r="J37" i="1"/>
  <c r="X36" i="1"/>
  <c r="V36" i="1"/>
  <c r="AJ35" i="1"/>
  <c r="AH35" i="1"/>
  <c r="P35" i="1"/>
  <c r="N35" i="1"/>
  <c r="L35" i="1"/>
  <c r="J35" i="1"/>
  <c r="AL34" i="1"/>
  <c r="AJ34" i="1"/>
  <c r="AH34" i="1"/>
  <c r="AF34" i="1"/>
  <c r="AD34" i="1"/>
  <c r="AN31" i="1"/>
  <c r="AL31" i="1"/>
  <c r="AH31" i="1"/>
  <c r="L31" i="1"/>
  <c r="AL30" i="1"/>
  <c r="AJ30" i="1"/>
  <c r="T30" i="1"/>
  <c r="R30" i="1"/>
  <c r="P30" i="1"/>
  <c r="N30" i="1"/>
  <c r="L30" i="1"/>
  <c r="AL29" i="1"/>
  <c r="AJ29" i="1"/>
  <c r="AF29" i="1"/>
  <c r="AD29" i="1"/>
  <c r="T29" i="1"/>
  <c r="R29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T52" i="1" l="1"/>
  <c r="V52" i="1"/>
  <c r="X52" i="1"/>
  <c r="Z52" i="1"/>
  <c r="AB52" i="1"/>
  <c r="AT52" i="1"/>
  <c r="AD52" i="1"/>
  <c r="AH52" i="1"/>
  <c r="AR52" i="1"/>
  <c r="AJ52" i="1"/>
  <c r="AL52" i="1"/>
  <c r="AN52" i="1"/>
  <c r="AP52" i="1"/>
  <c r="AR49" i="1"/>
  <c r="H49" i="1"/>
  <c r="J49" i="1"/>
  <c r="L49" i="1"/>
  <c r="P49" i="1"/>
  <c r="N49" i="1"/>
  <c r="R49" i="1"/>
  <c r="AT49" i="1"/>
  <c r="AD49" i="1"/>
  <c r="AF49" i="1"/>
  <c r="AB49" i="1"/>
  <c r="AH49" i="1"/>
  <c r="AV49" i="1"/>
  <c r="AJ49" i="1"/>
  <c r="Z49" i="1"/>
  <c r="AL49" i="1"/>
  <c r="AN49" i="1"/>
  <c r="F49" i="1"/>
  <c r="J54" i="1"/>
  <c r="N54" i="1"/>
  <c r="P54" i="1"/>
  <c r="R54" i="1"/>
  <c r="AT54" i="1"/>
  <c r="L54" i="1"/>
  <c r="H54" i="1"/>
  <c r="AR54" i="1"/>
  <c r="X54" i="1"/>
  <c r="Z54" i="1"/>
  <c r="AB54" i="1"/>
  <c r="AD54" i="1"/>
  <c r="AF54" i="1"/>
  <c r="T54" i="1"/>
  <c r="AH54" i="1"/>
  <c r="AV54" i="1"/>
  <c r="AL54" i="1"/>
  <c r="AN54" i="1"/>
  <c r="F54" i="1"/>
  <c r="AJ54" i="1"/>
  <c r="V54" i="1"/>
  <c r="AL53" i="1"/>
  <c r="R53" i="1"/>
  <c r="H53" i="1"/>
  <c r="L53" i="1"/>
  <c r="P53" i="1"/>
  <c r="AV53" i="1"/>
  <c r="T53" i="1"/>
  <c r="V53" i="1"/>
  <c r="L44" i="1"/>
  <c r="J44" i="1"/>
  <c r="N44" i="1"/>
  <c r="P44" i="1"/>
  <c r="R44" i="1"/>
  <c r="T44" i="1"/>
  <c r="AB44" i="1"/>
  <c r="AD44" i="1"/>
  <c r="AF44" i="1"/>
  <c r="F44" i="1"/>
  <c r="AV44" i="1"/>
  <c r="X44" i="1"/>
  <c r="Z44" i="1"/>
  <c r="AH44" i="1"/>
  <c r="AJ44" i="1"/>
  <c r="AL44" i="1"/>
  <c r="AN44" i="1"/>
  <c r="H47" i="1"/>
  <c r="J47" i="1"/>
  <c r="R47" i="1"/>
  <c r="T47" i="1"/>
  <c r="AT47" i="1"/>
  <c r="V47" i="1"/>
  <c r="Z47" i="1"/>
  <c r="X47" i="1"/>
  <c r="AD47" i="1"/>
  <c r="AF47" i="1"/>
  <c r="AB47" i="1"/>
  <c r="F47" i="1"/>
  <c r="AV47" i="1"/>
  <c r="AH47" i="1"/>
  <c r="AJ47" i="1"/>
  <c r="AL47" i="1"/>
  <c r="AN47" i="1"/>
  <c r="Z48" i="1"/>
  <c r="R48" i="1"/>
  <c r="AH48" i="1"/>
  <c r="AF48" i="1"/>
  <c r="AB48" i="1"/>
  <c r="H48" i="1"/>
  <c r="J48" i="1"/>
  <c r="L48" i="1"/>
  <c r="AT48" i="1"/>
  <c r="V48" i="1"/>
  <c r="AV48" i="1"/>
  <c r="AD48" i="1"/>
  <c r="T48" i="1"/>
  <c r="AJ48" i="1"/>
  <c r="AL48" i="1"/>
  <c r="AP48" i="1"/>
  <c r="AN48" i="1"/>
  <c r="AH43" i="1"/>
  <c r="H43" i="1"/>
  <c r="L43" i="1"/>
  <c r="T43" i="1"/>
  <c r="AN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4" i="3" s="1"/>
  <c r="AK17" i="2"/>
  <c r="D12" i="3" s="1"/>
  <c r="AM17" i="2"/>
  <c r="D20" i="3" s="1"/>
  <c r="AI17" i="2"/>
  <c r="D22" i="3" s="1"/>
  <c r="AO17" i="2"/>
  <c r="D11" i="3" s="1"/>
  <c r="AA17" i="2"/>
  <c r="D4" i="3" s="1"/>
  <c r="AC17" i="2"/>
  <c r="D19" i="3" s="1"/>
  <c r="AE17" i="2"/>
  <c r="D7" i="3" s="1"/>
  <c r="AG17" i="2"/>
  <c r="D10" i="3" s="1"/>
  <c r="E17" i="2"/>
  <c r="D13" i="3" s="1"/>
  <c r="I17" i="2"/>
  <c r="D6" i="3" s="1"/>
  <c r="K17" i="2"/>
  <c r="D21" i="3" s="1"/>
  <c r="M17" i="2"/>
  <c r="D17" i="3" s="1"/>
  <c r="G17" i="2"/>
  <c r="D8" i="3" s="1"/>
  <c r="O17" i="2"/>
  <c r="D3" i="3" s="1"/>
  <c r="S17" i="2"/>
  <c r="D18" i="3" s="1"/>
  <c r="U17" i="2"/>
  <c r="D9" i="3" s="1"/>
  <c r="W17" i="2"/>
  <c r="D16" i="3" s="1"/>
  <c r="Y17" i="2"/>
  <c r="D5" i="3" s="1"/>
  <c r="C15" i="3" l="1"/>
  <c r="E15" i="3" s="1"/>
  <c r="C14" i="3"/>
  <c r="E14" i="3" s="1"/>
  <c r="C24" i="3"/>
  <c r="E24" i="3" s="1"/>
  <c r="C23" i="3"/>
  <c r="E23" i="3" s="1"/>
  <c r="C11" i="3"/>
  <c r="E11" i="3" s="1"/>
  <c r="C19" i="3"/>
  <c r="E19" i="3" s="1"/>
  <c r="C18" i="3"/>
  <c r="E18" i="3" s="1"/>
  <c r="C7" i="3"/>
  <c r="E7" i="3" s="1"/>
  <c r="C3" i="3"/>
  <c r="E3" i="3" s="1"/>
  <c r="C17" i="3"/>
  <c r="E17" i="3" s="1"/>
  <c r="C22" i="3"/>
  <c r="E22" i="3" s="1"/>
  <c r="C13" i="3"/>
  <c r="E13" i="3" s="1"/>
  <c r="C16" i="3"/>
  <c r="E16" i="3" s="1"/>
  <c r="C21" i="3"/>
  <c r="E21" i="3" s="1"/>
  <c r="C12" i="3"/>
  <c r="E12" i="3" s="1"/>
  <c r="C4" i="3"/>
  <c r="E4" i="3" s="1"/>
  <c r="C8" i="3"/>
  <c r="E8" i="3" s="1"/>
  <c r="C5" i="3"/>
  <c r="E5" i="3" s="1"/>
  <c r="C6" i="3"/>
  <c r="E6" i="3" s="1"/>
  <c r="C20" i="3"/>
  <c r="E20" i="3" s="1"/>
  <c r="C9" i="3"/>
  <c r="E9" i="3" s="1"/>
  <c r="C10" i="3"/>
  <c r="E10" i="3" s="1"/>
  <c r="A23" i="3" l="1"/>
  <c r="A20" i="3"/>
  <c r="A6" i="3"/>
  <c r="A14" i="3"/>
  <c r="A10" i="3"/>
  <c r="A13" i="3"/>
  <c r="A5" i="3"/>
  <c r="A21" i="3"/>
  <c r="A3" i="3"/>
  <c r="A11" i="3"/>
  <c r="A22" i="3"/>
  <c r="A9" i="3"/>
  <c r="A17" i="3"/>
  <c r="A8" i="3"/>
  <c r="A24" i="3"/>
  <c r="A18" i="3"/>
  <c r="A16" i="3"/>
  <c r="A12" i="3"/>
  <c r="A7" i="3"/>
  <c r="A19" i="3"/>
  <c r="A4" i="3"/>
  <c r="A15" i="3"/>
</calcChain>
</file>

<file path=xl/sharedStrings.xml><?xml version="1.0" encoding="utf-8"?>
<sst xmlns="http://schemas.openxmlformats.org/spreadsheetml/2006/main" count="2336" uniqueCount="330">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</sst>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2868"/>
      <name val="Calibri"/>
      <family val="2"/>
    </font>
    <font>
      <b/>
      <sz val="13"/>
      <color rgb="FFFFFFFF"/>
      <name val="Calibri"/>
      <family val="2"/>
    </font>
    <font>
      <b/>
      <sz val="12"/>
      <color rgb="FFFFFFFF"/>
      <name val="Calibri"/>
      <family val="2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E37" activePane="bottomRight" state="frozen"/>
      <selection pane="topRight"/>
      <selection pane="bottomLeft"/>
      <selection pane="bottomRight" activeCell="C55" sqref="C55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00000000000001" customHeight="1" x14ac:dyDescent="0.3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3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3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3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3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3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3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3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3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3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3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3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3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3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3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F16" sqref="F16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162</v>
      </c>
      <c r="D3" s="11">
        <f>Bonus_beheer!O17</f>
        <v>0</v>
      </c>
      <c r="E3" s="11">
        <f>C3+D3</f>
        <v>162</v>
      </c>
    </row>
    <row r="4" spans="1:5" ht="18" customHeight="1" x14ac:dyDescent="0.3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143</v>
      </c>
      <c r="D4" s="11">
        <f>Bonus_beheer!AA17</f>
        <v>0</v>
      </c>
      <c r="E4" s="11">
        <f>C4+D4</f>
        <v>143</v>
      </c>
    </row>
    <row r="5" spans="1:5" ht="18" customHeight="1" x14ac:dyDescent="0.3">
      <c r="A5" s="11">
        <f>_xlfn.RANK.EQ(E5,$E$3:$E$90,0)</f>
        <v>2</v>
      </c>
      <c r="B5" s="1" t="str">
        <f>Wedstrijden_beheer!Y1</f>
        <v>Lesley</v>
      </c>
      <c r="C5" s="11">
        <f>SUM(Wedstrijden_beheer!Z3:'Wedstrijden_beheer'!Z194)</f>
        <v>143</v>
      </c>
      <c r="D5" s="11">
        <f>Bonus_beheer!Y17</f>
        <v>0</v>
      </c>
      <c r="E5" s="11">
        <f>C5+D5</f>
        <v>143</v>
      </c>
    </row>
    <row r="6" spans="1:5" ht="18" customHeight="1" x14ac:dyDescent="0.3">
      <c r="A6" s="11">
        <f>_xlfn.RANK.EQ(E6,$E$3:$E$90,0)</f>
        <v>4</v>
      </c>
      <c r="B6" s="1" t="str">
        <f>Wedstrijden_beheer!I1</f>
        <v>Abdussamed</v>
      </c>
      <c r="C6" s="11">
        <f>SUM(Wedstrijden_beheer!J3:'Wedstrijden_beheer'!J194)</f>
        <v>142</v>
      </c>
      <c r="D6" s="11">
        <f>Bonus_beheer!I17</f>
        <v>0</v>
      </c>
      <c r="E6" s="11">
        <f>C6+D6</f>
        <v>142</v>
      </c>
    </row>
    <row r="7" spans="1:5" ht="18" customHeight="1" x14ac:dyDescent="0.3">
      <c r="A7" s="11">
        <f>_xlfn.RANK.EQ(E7,$E$3:$E$90,0)</f>
        <v>5</v>
      </c>
      <c r="B7" s="1" t="str">
        <f>Wedstrijden_beheer!AE1</f>
        <v>Jeroen</v>
      </c>
      <c r="C7" s="11">
        <f>SUM(Wedstrijden_beheer!AF3:'Wedstrijden_beheer'!AF194)</f>
        <v>141</v>
      </c>
      <c r="D7" s="11">
        <f>Bonus_beheer!AE17</f>
        <v>0</v>
      </c>
      <c r="E7" s="11">
        <f>C7+D7</f>
        <v>141</v>
      </c>
    </row>
    <row r="8" spans="1:5" ht="18" customHeight="1" x14ac:dyDescent="0.3">
      <c r="A8" s="11">
        <f>_xlfn.RANK.EQ(E8,$E$3:$E$90,0)</f>
        <v>6</v>
      </c>
      <c r="B8" s="1" t="str">
        <f>Wedstrijden_beheer!G1</f>
        <v>Nikki</v>
      </c>
      <c r="C8" s="11">
        <f>SUM(Wedstrijden_beheer!H3:'Wedstrijden_beheer'!H194)</f>
        <v>139</v>
      </c>
      <c r="D8" s="11">
        <f>Bonus_beheer!G17</f>
        <v>0</v>
      </c>
      <c r="E8" s="11">
        <f>C8+D8</f>
        <v>139</v>
      </c>
    </row>
    <row r="9" spans="1:5" ht="18" customHeight="1" x14ac:dyDescent="0.3">
      <c r="A9" s="11">
        <f>_xlfn.RANK.EQ(E9,$E$3:$E$90,0)</f>
        <v>7</v>
      </c>
      <c r="B9" s="1" t="str">
        <f>Wedstrijden_beheer!U1</f>
        <v>Tom</v>
      </c>
      <c r="C9" s="11">
        <f>SUM(Wedstrijden_beheer!V3:'Wedstrijden_beheer'!V194)</f>
        <v>138</v>
      </c>
      <c r="D9" s="11">
        <f>Bonus_beheer!U17</f>
        <v>0</v>
      </c>
      <c r="E9" s="11">
        <f>C9+D9</f>
        <v>138</v>
      </c>
    </row>
    <row r="10" spans="1:5" ht="18" customHeight="1" x14ac:dyDescent="0.3">
      <c r="A10" s="11">
        <f>_xlfn.RANK.EQ(E10,$E$3:$E$90,0)</f>
        <v>7</v>
      </c>
      <c r="B10" s="1" t="str">
        <f>Wedstrijden_beheer!AG1</f>
        <v>Erwin</v>
      </c>
      <c r="C10" s="11">
        <f>SUM(Wedstrijden_beheer!AH3:'Wedstrijden_beheer'!AH194)</f>
        <v>138</v>
      </c>
      <c r="D10" s="11">
        <f>Bonus_beheer!AG17</f>
        <v>0</v>
      </c>
      <c r="E10" s="11">
        <f>C10+D10</f>
        <v>138</v>
      </c>
    </row>
    <row r="11" spans="1:5" ht="18" customHeight="1" x14ac:dyDescent="0.3">
      <c r="A11" s="11">
        <f>_xlfn.RANK.EQ(E11,$E$3:$E$90,0)</f>
        <v>9</v>
      </c>
      <c r="B11" s="1" t="str">
        <f>Wedstrijden_beheer!AO1</f>
        <v>Patrick</v>
      </c>
      <c r="C11" s="11">
        <f>SUM(Wedstrijden_beheer!AP3:'Wedstrijden_beheer'!AP194)</f>
        <v>135</v>
      </c>
      <c r="D11" s="11">
        <f>Bonus_beheer!AO17</f>
        <v>0</v>
      </c>
      <c r="E11" s="11">
        <f>C11+D11</f>
        <v>135</v>
      </c>
    </row>
    <row r="12" spans="1:5" ht="18" customHeight="1" x14ac:dyDescent="0.3">
      <c r="A12" s="11">
        <f>_xlfn.RANK.EQ(E12,$E$3:$E$90,0)</f>
        <v>10</v>
      </c>
      <c r="B12" s="1" t="str">
        <f>Wedstrijden_beheer!AK1</f>
        <v>Kim</v>
      </c>
      <c r="C12" s="11">
        <f>SUM(Wedstrijden_beheer!AL3:'Wedstrijden_beheer'!AL194)</f>
        <v>134</v>
      </c>
      <c r="D12" s="11">
        <f>Bonus_beheer!AK17</f>
        <v>0</v>
      </c>
      <c r="E12" s="11">
        <f>C12+D12</f>
        <v>134</v>
      </c>
    </row>
    <row r="13" spans="1:5" ht="18" customHeight="1" x14ac:dyDescent="0.3">
      <c r="A13" s="11">
        <f>_xlfn.RANK.EQ(E13,$E$3:$E$90,0)</f>
        <v>11</v>
      </c>
      <c r="B13" s="1" t="str">
        <f>Wedstrijden_beheer!E1</f>
        <v>Roland</v>
      </c>
      <c r="C13" s="11">
        <f>SUM(Wedstrijden_beheer!F3:'Wedstrijden_beheer'!F194)</f>
        <v>133</v>
      </c>
      <c r="D13" s="11">
        <f>Bonus_beheer!E17</f>
        <v>0</v>
      </c>
      <c r="E13" s="11">
        <f>C13+D13</f>
        <v>133</v>
      </c>
    </row>
    <row r="14" spans="1:5" ht="18" customHeight="1" x14ac:dyDescent="0.3">
      <c r="A14" s="11">
        <f>_xlfn.RANK.EQ(E14,$E$3:$E$90,0)</f>
        <v>12</v>
      </c>
      <c r="B14" s="1" t="str">
        <f>Wedstrijden_beheer!AQ1</f>
        <v>Jeno</v>
      </c>
      <c r="C14" s="11">
        <f>SUM(Wedstrijden_beheer!AV4:'Wedstrijden_beheer'!AV195)</f>
        <v>131</v>
      </c>
      <c r="D14" s="11">
        <f>Bonus_beheer!AU18</f>
        <v>0</v>
      </c>
      <c r="E14" s="11">
        <f>C14+D14</f>
        <v>131</v>
      </c>
    </row>
    <row r="15" spans="1:5" ht="18" customHeight="1" x14ac:dyDescent="0.3">
      <c r="A15" s="11">
        <f>_xlfn.RANK.EQ(E15,$E$3:$E$90,0)</f>
        <v>12</v>
      </c>
      <c r="B15" s="1" t="str">
        <f>Wedstrijden_beheer!AU1</f>
        <v>Raymond</v>
      </c>
      <c r="C15" s="11">
        <f>SUM(Wedstrijden_beheer!AV3:'Wedstrijden_beheer'!AV194)</f>
        <v>131</v>
      </c>
      <c r="D15" s="11">
        <f>Bonus_beheer!AU17</f>
        <v>0</v>
      </c>
      <c r="E15" s="11">
        <f>C15+D15</f>
        <v>131</v>
      </c>
    </row>
    <row r="16" spans="1:5" ht="18" customHeight="1" x14ac:dyDescent="0.3">
      <c r="A16" s="11">
        <f>_xlfn.RANK.EQ(E16,$E$3:$E$90,0)</f>
        <v>14</v>
      </c>
      <c r="B16" s="1" t="str">
        <f>Wedstrijden_beheer!W1</f>
        <v>Jos</v>
      </c>
      <c r="C16" s="11">
        <f>SUM(Wedstrijden_beheer!X3:'Wedstrijden_beheer'!X194)</f>
        <v>126</v>
      </c>
      <c r="D16" s="11">
        <f>Bonus_beheer!W17</f>
        <v>0</v>
      </c>
      <c r="E16" s="11">
        <f>C16+D16</f>
        <v>126</v>
      </c>
    </row>
    <row r="17" spans="1:5" ht="18" customHeight="1" x14ac:dyDescent="0.3">
      <c r="A17" s="11">
        <f>_xlfn.RANK.EQ(E17,$E$3:$E$90,0)</f>
        <v>15</v>
      </c>
      <c r="B17" s="1" t="str">
        <f>Wedstrijden_beheer!M1</f>
        <v>Bas</v>
      </c>
      <c r="C17" s="11">
        <f>SUM(Wedstrijden_beheer!N3:'Wedstrijden_beheer'!N194)</f>
        <v>122</v>
      </c>
      <c r="D17" s="11">
        <f>Bonus_beheer!M17</f>
        <v>0</v>
      </c>
      <c r="E17" s="11">
        <f>C17+D17</f>
        <v>122</v>
      </c>
    </row>
    <row r="18" spans="1:5" ht="18" customHeight="1" x14ac:dyDescent="0.3">
      <c r="A18" s="11">
        <f>_xlfn.RANK.EQ(E18,$E$3:$E$90,0)</f>
        <v>16</v>
      </c>
      <c r="B18" s="1" t="str">
        <f>Wedstrijden_beheer!S1</f>
        <v>Marc</v>
      </c>
      <c r="C18" s="11">
        <f>SUM(Wedstrijden_beheer!T3:'Wedstrijden_beheer'!T194)</f>
        <v>116</v>
      </c>
      <c r="D18" s="11">
        <f>Bonus_beheer!S17</f>
        <v>0</v>
      </c>
      <c r="E18" s="11">
        <f>C18+D18</f>
        <v>116</v>
      </c>
    </row>
    <row r="19" spans="1:5" ht="18" customHeight="1" x14ac:dyDescent="0.3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114</v>
      </c>
      <c r="D19" s="11">
        <f>Bonus_beheer!AC17</f>
        <v>0</v>
      </c>
      <c r="E19" s="11">
        <f>C19+D19</f>
        <v>114</v>
      </c>
    </row>
    <row r="20" spans="1:5" ht="18" customHeight="1" x14ac:dyDescent="0.3">
      <c r="A20" s="11">
        <f>_xlfn.RANK.EQ(E20,$E$3:$E$90,0)</f>
        <v>18</v>
      </c>
      <c r="B20" s="1" t="str">
        <f>Wedstrijden_beheer!AM1</f>
        <v>Kristel</v>
      </c>
      <c r="C20" s="11">
        <f>SUM(Wedstrijden_beheer!AN3:'Wedstrijden_beheer'!AN194)</f>
        <v>113</v>
      </c>
      <c r="D20" s="11">
        <f>Bonus_beheer!AM17</f>
        <v>0</v>
      </c>
      <c r="E20" s="11">
        <f>C20+D20</f>
        <v>113</v>
      </c>
    </row>
    <row r="21" spans="1:5" ht="18" customHeight="1" x14ac:dyDescent="0.3">
      <c r="A21" s="11">
        <f>_xlfn.RANK.EQ(E21,$E$3:$E$90,0)</f>
        <v>19</v>
      </c>
      <c r="B21" s="1" t="str">
        <f>Wedstrijden_beheer!K1</f>
        <v>Karsten</v>
      </c>
      <c r="C21" s="11">
        <f>SUM(Wedstrijden_beheer!L3:'Wedstrijden_beheer'!L194)</f>
        <v>110</v>
      </c>
      <c r="D21" s="11">
        <f>Bonus_beheer!K17</f>
        <v>0</v>
      </c>
      <c r="E21" s="11">
        <f>C21+D21</f>
        <v>110</v>
      </c>
    </row>
    <row r="22" spans="1:5" ht="18" customHeight="1" x14ac:dyDescent="0.3">
      <c r="A22" s="11">
        <f>_xlfn.RANK.EQ(E22,$E$3:$E$90,0)</f>
        <v>20</v>
      </c>
      <c r="B22" s="1" t="str">
        <f>Wedstrijden_beheer!AI1</f>
        <v>Tim</v>
      </c>
      <c r="C22" s="11">
        <f>SUM(Wedstrijden_beheer!AJ3:'Wedstrijden_beheer'!AJ194)</f>
        <v>104</v>
      </c>
      <c r="D22" s="11">
        <f>Bonus_beheer!AI17</f>
        <v>0</v>
      </c>
      <c r="E22" s="11">
        <f>C22+D22</f>
        <v>104</v>
      </c>
    </row>
    <row r="23" spans="1:5" x14ac:dyDescent="0.3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102</v>
      </c>
      <c r="D23" s="11">
        <f>Bonus_beheer!Q18</f>
        <v>0</v>
      </c>
      <c r="E23" s="11">
        <f>C23+D23</f>
        <v>102</v>
      </c>
    </row>
    <row r="24" spans="1:5" x14ac:dyDescent="0.3">
      <c r="A24" s="11">
        <f>_xlfn.RANK.EQ(E24,$E$3:$E$90,0)</f>
        <v>21</v>
      </c>
      <c r="B24" s="1" t="str">
        <f>Wedstrijden_beheer!Q1</f>
        <v>Simone</v>
      </c>
      <c r="C24" s="11">
        <f>SUM(Wedstrijden_beheer!R3:'Wedstrijden_beheer'!R194)</f>
        <v>102</v>
      </c>
      <c r="D24" s="11">
        <f>Bonus_beheer!Q17</f>
        <v>0</v>
      </c>
      <c r="E24" s="11">
        <f>C24+D24</f>
        <v>102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7c2036e6-2c6c-4cc0-93d3-66cc911cb074"/>
    <ds:schemaRef ds:uri="7b90d758-d430-4ffd-9227-0f539ac48821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2026-06-20T11:40:13Z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