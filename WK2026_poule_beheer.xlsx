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55" documentId="13_ncr:1_{E3B635D9-D5C4-4B81-9F43-C2CD39A8463F}" xr6:coauthVersionLast="47" xr6:coauthVersionMax="47" xr10:uidLastSave="{96B3BD95-F1D6-4523-AA45-DC77E8E0AB67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74" i="1" l="1"/>
  <c r="AW174" i="1"/>
  <c r="AV174" i="1"/>
  <c r="AT174" i="1"/>
  <c r="AR174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F174" i="1"/>
  <c r="AX171" i="1"/>
  <c r="AW171" i="1"/>
  <c r="AV171" i="1"/>
  <c r="AT171" i="1"/>
  <c r="AR171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F171" i="1"/>
  <c r="AX168" i="1"/>
  <c r="AW168" i="1"/>
  <c r="AL168" i="1" s="1"/>
  <c r="AV168" i="1"/>
  <c r="AH168" i="1"/>
  <c r="AD168" i="1"/>
  <c r="Z168" i="1"/>
  <c r="X168" i="1"/>
  <c r="P168" i="1"/>
  <c r="N168" i="1"/>
  <c r="L168" i="1"/>
  <c r="J168" i="1"/>
  <c r="H168" i="1"/>
  <c r="AX165" i="1"/>
  <c r="AL165" i="1" s="1"/>
  <c r="AW165" i="1"/>
  <c r="AR165" i="1" s="1"/>
  <c r="AT165" i="1"/>
  <c r="AP165" i="1"/>
  <c r="AJ165" i="1"/>
  <c r="X165" i="1"/>
  <c r="N165" i="1"/>
  <c r="F165" i="1"/>
  <c r="AN168" i="1" l="1"/>
  <c r="AP168" i="1"/>
  <c r="AR168" i="1"/>
  <c r="AT168" i="1"/>
  <c r="F168" i="1"/>
  <c r="R168" i="1"/>
  <c r="T168" i="1"/>
  <c r="V168" i="1"/>
  <c r="AB168" i="1"/>
  <c r="AF168" i="1"/>
  <c r="AJ168" i="1"/>
  <c r="AV165" i="1"/>
  <c r="H165" i="1"/>
  <c r="J165" i="1"/>
  <c r="L165" i="1"/>
  <c r="P165" i="1"/>
  <c r="R165" i="1"/>
  <c r="T165" i="1"/>
  <c r="V165" i="1"/>
  <c r="Z165" i="1"/>
  <c r="AB165" i="1"/>
  <c r="AD165" i="1"/>
  <c r="AF165" i="1"/>
  <c r="AH165" i="1"/>
  <c r="AN165" i="1"/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6" i="1"/>
  <c r="AT169" i="1"/>
  <c r="AT172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15" i="3"/>
  <c r="B3" i="3"/>
  <c r="B5" i="3"/>
  <c r="B9" i="3"/>
  <c r="B21" i="3"/>
  <c r="B11" i="3"/>
  <c r="B18" i="3"/>
  <c r="B7" i="3"/>
  <c r="B6" i="3"/>
  <c r="B23" i="3"/>
  <c r="B19" i="3"/>
  <c r="B12" i="3"/>
  <c r="B17" i="3"/>
  <c r="D17" i="3"/>
  <c r="B13" i="3"/>
  <c r="B10" i="3"/>
  <c r="B20" i="3"/>
  <c r="B16" i="3"/>
  <c r="B4" i="3"/>
  <c r="B14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6" i="1"/>
  <c r="AR169" i="1"/>
  <c r="AR172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3" i="3" s="1"/>
  <c r="AM17" i="2"/>
  <c r="D12" i="3" s="1"/>
  <c r="AI17" i="2"/>
  <c r="D19" i="3" s="1"/>
  <c r="AO17" i="2"/>
  <c r="D6" i="3" s="1"/>
  <c r="AA17" i="2"/>
  <c r="D10" i="3" s="1"/>
  <c r="AC17" i="2"/>
  <c r="D16" i="3" s="1"/>
  <c r="AE17" i="2"/>
  <c r="D4" i="3" s="1"/>
  <c r="AG17" i="2"/>
  <c r="D11" i="3" s="1"/>
  <c r="E17" i="2"/>
  <c r="D7" i="3" s="1"/>
  <c r="I17" i="2"/>
  <c r="D8" i="3" s="1"/>
  <c r="K17" i="2"/>
  <c r="D23" i="3" s="1"/>
  <c r="M17" i="2"/>
  <c r="D20" i="3" s="1"/>
  <c r="G17" i="2"/>
  <c r="D14" i="3" s="1"/>
  <c r="O17" i="2"/>
  <c r="D15" i="3" s="1"/>
  <c r="S17" i="2"/>
  <c r="D21" i="3" s="1"/>
  <c r="U17" i="2"/>
  <c r="D5" i="3" s="1"/>
  <c r="W17" i="2"/>
  <c r="D9" i="3" s="1"/>
  <c r="Y17" i="2"/>
  <c r="D13" i="3" s="1"/>
  <c r="C18" i="3" l="1"/>
  <c r="E18" i="3" s="1"/>
  <c r="C17" i="3"/>
  <c r="E17" i="3" s="1"/>
  <c r="C22" i="3"/>
  <c r="E22" i="3" s="1"/>
  <c r="C24" i="3"/>
  <c r="E24" i="3" s="1"/>
  <c r="C6" i="3"/>
  <c r="E6" i="3" s="1"/>
  <c r="C16" i="3"/>
  <c r="E16" i="3" s="1"/>
  <c r="C21" i="3"/>
  <c r="E21" i="3" s="1"/>
  <c r="C4" i="3"/>
  <c r="E4" i="3" s="1"/>
  <c r="C15" i="3"/>
  <c r="E15" i="3" s="1"/>
  <c r="C20" i="3"/>
  <c r="E20" i="3" s="1"/>
  <c r="C19" i="3"/>
  <c r="E19" i="3" s="1"/>
  <c r="C7" i="3"/>
  <c r="E7" i="3" s="1"/>
  <c r="C9" i="3"/>
  <c r="E9" i="3" s="1"/>
  <c r="C23" i="3"/>
  <c r="E23" i="3" s="1"/>
  <c r="C3" i="3"/>
  <c r="E3" i="3" s="1"/>
  <c r="C10" i="3"/>
  <c r="E10" i="3" s="1"/>
  <c r="C14" i="3"/>
  <c r="E14" i="3" s="1"/>
  <c r="C13" i="3"/>
  <c r="E13" i="3" s="1"/>
  <c r="C8" i="3"/>
  <c r="E8" i="3" s="1"/>
  <c r="C12" i="3"/>
  <c r="E12" i="3" s="1"/>
  <c r="C5" i="3"/>
  <c r="E5" i="3" s="1"/>
  <c r="C11" i="3"/>
  <c r="E11" i="3" s="1"/>
  <c r="A24" i="3" l="1"/>
  <c r="A12" i="3"/>
  <c r="A8" i="3"/>
  <c r="A17" i="3"/>
  <c r="A11" i="3"/>
  <c r="A7" i="3"/>
  <c r="A13" i="3"/>
  <c r="A23" i="3"/>
  <c r="A15" i="3"/>
  <c r="A6" i="3"/>
  <c r="A19" i="3"/>
  <c r="A5" i="3"/>
  <c r="A20" i="3"/>
  <c r="A14" i="3"/>
  <c r="A22" i="3"/>
  <c r="A21" i="3"/>
  <c r="A9" i="3"/>
  <c r="A3" i="3"/>
  <c r="A4" i="3"/>
  <c r="A16" i="3"/>
  <c r="A10" i="3"/>
  <c r="A18" i="3"/>
</calcChain>
</file>

<file path=xl/sharedStrings.xml><?xml version="1.0" encoding="utf-8"?>
<sst xmlns="http://schemas.openxmlformats.org/spreadsheetml/2006/main" count="3019" uniqueCount="278">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</sst>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6" activePane="bottomRight" state="frozen"/>
      <selection pane="topRight"/>
      <selection pane="bottomLeft"/>
      <selection pane="bottomRight" activeCell="C171" sqref="C171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268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3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3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273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3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274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">
      <c r="A138" s="9">
        <v>1.833333333333333</v>
      </c>
      <c r="B138" s="17" t="s">
        <v>67</v>
      </c>
      <c r="C138" s="10" t="s">
        <v>35</v>
      </c>
      <c r="D138" s="1" t="s">
        <v>276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3">
      <c r="A141" s="9">
        <v>1</v>
      </c>
      <c r="B141" s="17" t="s">
        <v>275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3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3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3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39" t="s">
        <v>138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3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">
      <c r="A160" s="9">
        <v>1.916666666666667</v>
      </c>
      <c r="B160" s="17" t="s">
        <v>277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139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3">
      <c r="A164" s="39" t="s">
        <v>140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3">
      <c r="A165" s="9">
        <v>1.916666666666667</v>
      </c>
      <c r="B165" s="17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39" t="s">
        <v>141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3">
      <c r="A168" s="9">
        <v>1.875</v>
      </c>
      <c r="B168" s="17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39" t="s">
        <v>142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3">
      <c r="A171" s="9">
        <v>1.958333333333333</v>
      </c>
      <c r="B171" s="17" t="s">
        <v>94</v>
      </c>
      <c r="C171" s="10"/>
      <c r="D171" s="1" t="s">
        <v>101</v>
      </c>
      <c r="E171" s="10" t="s">
        <v>37</v>
      </c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 t="s">
        <v>33</v>
      </c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 t="s">
        <v>37</v>
      </c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121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 t="s">
        <v>121</v>
      </c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 t="s">
        <v>37</v>
      </c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 t="s">
        <v>35</v>
      </c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 t="s">
        <v>37</v>
      </c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 t="s">
        <v>33</v>
      </c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 t="s">
        <v>37</v>
      </c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 t="s">
        <v>37</v>
      </c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 t="s">
        <v>33</v>
      </c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 t="s">
        <v>33</v>
      </c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 t="s">
        <v>35</v>
      </c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 t="s">
        <v>45</v>
      </c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 t="s">
        <v>35</v>
      </c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 t="s">
        <v>35</v>
      </c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 t="s">
        <v>49</v>
      </c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 t="s">
        <v>35</v>
      </c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 t="s">
        <v>37</v>
      </c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 t="s">
        <v>37</v>
      </c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 t="s">
        <v>39</v>
      </c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39" t="s">
        <v>143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3">
      <c r="A174" s="9">
        <v>1.125</v>
      </c>
      <c r="B174" s="17" t="s">
        <v>95</v>
      </c>
      <c r="C174" s="10"/>
      <c r="D174" s="1" t="s">
        <v>55</v>
      </c>
      <c r="E174" s="10" t="s">
        <v>35</v>
      </c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 t="s">
        <v>33</v>
      </c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 t="s">
        <v>39</v>
      </c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 t="s">
        <v>38</v>
      </c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 t="s">
        <v>49</v>
      </c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 t="s">
        <v>36</v>
      </c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 t="s">
        <v>37</v>
      </c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 t="s">
        <v>36</v>
      </c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 t="s">
        <v>33</v>
      </c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 t="s">
        <v>33</v>
      </c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 t="s">
        <v>33</v>
      </c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 t="s">
        <v>36</v>
      </c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 t="s">
        <v>34</v>
      </c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 t="s">
        <v>33</v>
      </c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 t="s">
        <v>39</v>
      </c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 t="s">
        <v>36</v>
      </c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 t="s">
        <v>39</v>
      </c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 t="s">
        <v>34</v>
      </c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 t="s">
        <v>33</v>
      </c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 t="s">
        <v>33</v>
      </c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 t="s">
        <v>45</v>
      </c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 t="s">
        <v>39</v>
      </c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144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3">
      <c r="A178" s="39" t="s">
        <v>145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3">
      <c r="A179" s="9">
        <v>1.875</v>
      </c>
      <c r="B179" s="17" t="s">
        <v>146</v>
      </c>
      <c r="C179" s="10"/>
      <c r="D179" s="1" t="s">
        <v>147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39" t="s">
        <v>148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3">
      <c r="A182" s="9">
        <v>1.875</v>
      </c>
      <c r="B182" s="17" t="s">
        <v>149</v>
      </c>
      <c r="C182" s="10"/>
      <c r="D182" s="1" t="s">
        <v>150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151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3">
      <c r="A186" s="39" t="s">
        <v>152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3">
      <c r="A187" s="9">
        <v>1.958333333333333</v>
      </c>
      <c r="B187" s="17" t="s">
        <v>153</v>
      </c>
      <c r="C187" s="10"/>
      <c r="D187" s="1" t="s">
        <v>154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155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3">
      <c r="A191" s="39" t="s">
        <v>156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3">
      <c r="A192" s="9">
        <v>1.875</v>
      </c>
      <c r="B192" s="17" t="s">
        <v>157</v>
      </c>
      <c r="C192" s="10"/>
      <c r="D192" s="1" t="s">
        <v>158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" customHeight="1" x14ac:dyDescent="0.3">
      <c r="A2" s="34"/>
      <c r="B2" s="35" t="s">
        <v>159</v>
      </c>
      <c r="C2" s="34" t="s">
        <v>160</v>
      </c>
      <c r="D2" s="36" t="s">
        <v>161</v>
      </c>
      <c r="E2" s="34" t="s">
        <v>28</v>
      </c>
      <c r="F2" s="34" t="s">
        <v>161</v>
      </c>
      <c r="G2" s="34" t="s">
        <v>28</v>
      </c>
      <c r="H2" s="34" t="s">
        <v>161</v>
      </c>
      <c r="I2" s="34" t="s">
        <v>28</v>
      </c>
      <c r="J2" s="34" t="s">
        <v>161</v>
      </c>
      <c r="K2" s="34" t="s">
        <v>28</v>
      </c>
      <c r="L2" s="34" t="s">
        <v>161</v>
      </c>
      <c r="M2" s="34" t="s">
        <v>28</v>
      </c>
      <c r="N2" s="36" t="s">
        <v>161</v>
      </c>
      <c r="O2" s="34" t="s">
        <v>28</v>
      </c>
      <c r="P2" s="36" t="s">
        <v>161</v>
      </c>
      <c r="Q2" s="34" t="s">
        <v>28</v>
      </c>
      <c r="R2" s="36" t="s">
        <v>161</v>
      </c>
      <c r="S2" s="34" t="s">
        <v>28</v>
      </c>
      <c r="T2" s="34" t="s">
        <v>161</v>
      </c>
      <c r="U2" s="34" t="s">
        <v>28</v>
      </c>
      <c r="V2" s="36" t="s">
        <v>161</v>
      </c>
      <c r="W2" s="34" t="s">
        <v>28</v>
      </c>
      <c r="X2" s="36" t="s">
        <v>161</v>
      </c>
      <c r="Y2" s="34" t="s">
        <v>28</v>
      </c>
      <c r="Z2" s="36" t="s">
        <v>161</v>
      </c>
      <c r="AA2" s="34" t="s">
        <v>28</v>
      </c>
      <c r="AB2" s="36" t="s">
        <v>161</v>
      </c>
      <c r="AC2" s="34" t="s">
        <v>28</v>
      </c>
      <c r="AD2" s="36" t="s">
        <v>161</v>
      </c>
      <c r="AE2" s="34" t="s">
        <v>28</v>
      </c>
      <c r="AF2" s="36" t="s">
        <v>161</v>
      </c>
      <c r="AG2" s="34" t="s">
        <v>28</v>
      </c>
      <c r="AH2" s="36" t="s">
        <v>161</v>
      </c>
      <c r="AI2" s="34" t="s">
        <v>28</v>
      </c>
      <c r="AJ2" s="36" t="s">
        <v>161</v>
      </c>
      <c r="AK2" s="34" t="s">
        <v>28</v>
      </c>
      <c r="AL2" s="37" t="s">
        <v>161</v>
      </c>
      <c r="AM2" s="34" t="s">
        <v>28</v>
      </c>
      <c r="AN2" s="36" t="s">
        <v>161</v>
      </c>
      <c r="AO2" s="34" t="s">
        <v>28</v>
      </c>
      <c r="AP2" s="34" t="s">
        <v>161</v>
      </c>
      <c r="AQ2" s="34" t="s">
        <v>28</v>
      </c>
      <c r="AR2" s="36" t="s">
        <v>161</v>
      </c>
      <c r="AS2" s="34" t="s">
        <v>28</v>
      </c>
      <c r="AT2" s="36" t="s">
        <v>161</v>
      </c>
      <c r="AU2" s="34" t="s">
        <v>28</v>
      </c>
    </row>
    <row r="3" spans="1:47" ht="14.4" customHeight="1" x14ac:dyDescent="0.3">
      <c r="A3" s="11">
        <v>1</v>
      </c>
      <c r="B3" s="1" t="s">
        <v>162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163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164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165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166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167</v>
      </c>
      <c r="C6" s="1" t="s">
        <v>170</v>
      </c>
      <c r="D6" s="24" t="s">
        <v>168</v>
      </c>
      <c r="E6" s="11">
        <f t="shared" si="0"/>
        <v>0</v>
      </c>
      <c r="F6" s="10" t="s">
        <v>169</v>
      </c>
      <c r="G6" s="11">
        <f t="shared" si="1"/>
        <v>0</v>
      </c>
      <c r="H6" s="10" t="s">
        <v>170</v>
      </c>
      <c r="I6" s="11">
        <f t="shared" si="2"/>
        <v>10</v>
      </c>
      <c r="J6" s="10" t="s">
        <v>169</v>
      </c>
      <c r="K6" s="11">
        <f t="shared" si="3"/>
        <v>0</v>
      </c>
      <c r="L6" s="10" t="s">
        <v>168</v>
      </c>
      <c r="M6" s="11">
        <f t="shared" si="4"/>
        <v>0</v>
      </c>
      <c r="N6" s="10" t="s">
        <v>168</v>
      </c>
      <c r="O6" s="11">
        <f t="shared" si="5"/>
        <v>0</v>
      </c>
      <c r="P6" s="10" t="s">
        <v>170</v>
      </c>
      <c r="Q6" s="11">
        <f t="shared" si="6"/>
        <v>10</v>
      </c>
      <c r="R6" s="10" t="s">
        <v>169</v>
      </c>
      <c r="S6" s="11">
        <f t="shared" si="7"/>
        <v>0</v>
      </c>
      <c r="T6" s="10" t="s">
        <v>170</v>
      </c>
      <c r="U6" s="11">
        <f t="shared" si="8"/>
        <v>10</v>
      </c>
      <c r="V6" s="10" t="s">
        <v>168</v>
      </c>
      <c r="W6" s="11">
        <f t="shared" si="9"/>
        <v>0</v>
      </c>
      <c r="X6" s="10" t="s">
        <v>170</v>
      </c>
      <c r="Y6" s="11">
        <f t="shared" si="10"/>
        <v>10</v>
      </c>
      <c r="Z6" s="10" t="s">
        <v>168</v>
      </c>
      <c r="AA6" s="11">
        <f t="shared" si="11"/>
        <v>0</v>
      </c>
      <c r="AB6" s="21" t="s">
        <v>169</v>
      </c>
      <c r="AC6" s="11">
        <f t="shared" si="12"/>
        <v>0</v>
      </c>
      <c r="AD6" s="10" t="s">
        <v>168</v>
      </c>
      <c r="AE6" s="11">
        <f t="shared" si="13"/>
        <v>0</v>
      </c>
      <c r="AF6" s="10" t="s">
        <v>170</v>
      </c>
      <c r="AG6" s="11">
        <f t="shared" si="14"/>
        <v>10</v>
      </c>
      <c r="AH6" s="10" t="s">
        <v>168</v>
      </c>
      <c r="AI6" s="11">
        <f t="shared" si="15"/>
        <v>0</v>
      </c>
      <c r="AJ6" s="10" t="s">
        <v>170</v>
      </c>
      <c r="AK6" s="11">
        <f t="shared" si="16"/>
        <v>10</v>
      </c>
      <c r="AL6" s="10" t="s">
        <v>170</v>
      </c>
      <c r="AM6" s="11">
        <f t="shared" si="17"/>
        <v>10</v>
      </c>
      <c r="AN6" s="10" t="s">
        <v>170</v>
      </c>
      <c r="AO6" s="11">
        <f t="shared" si="18"/>
        <v>10</v>
      </c>
      <c r="AP6" s="10" t="s">
        <v>170</v>
      </c>
      <c r="AQ6" s="11">
        <f t="shared" si="19"/>
        <v>10</v>
      </c>
      <c r="AR6" s="10" t="s">
        <v>269</v>
      </c>
      <c r="AS6" s="11">
        <f t="shared" si="20"/>
        <v>0</v>
      </c>
      <c r="AT6" s="10" t="s">
        <v>168</v>
      </c>
      <c r="AU6" s="11">
        <f t="shared" si="21"/>
        <v>0</v>
      </c>
    </row>
    <row r="7" spans="1:47" ht="14.4" customHeight="1" x14ac:dyDescent="0.3">
      <c r="A7" s="11">
        <v>5</v>
      </c>
      <c r="B7" s="1" t="s">
        <v>171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172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" customHeight="1" x14ac:dyDescent="0.3">
      <c r="A8" s="11">
        <v>6</v>
      </c>
      <c r="B8" s="1" t="s">
        <v>173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174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175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176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177</v>
      </c>
      <c r="C9" s="1"/>
      <c r="D9" s="10" t="s">
        <v>178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178</v>
      </c>
      <c r="I9" s="11" t="str">
        <f t="shared" si="2"/>
        <v/>
      </c>
      <c r="J9" s="10" t="s">
        <v>179</v>
      </c>
      <c r="K9" s="11" t="str">
        <f t="shared" si="3"/>
        <v/>
      </c>
      <c r="L9" s="10" t="s">
        <v>179</v>
      </c>
      <c r="M9" s="11" t="str">
        <f t="shared" si="4"/>
        <v/>
      </c>
      <c r="N9" s="10" t="s">
        <v>178</v>
      </c>
      <c r="O9" s="11" t="str">
        <f t="shared" si="5"/>
        <v/>
      </c>
      <c r="P9" s="10" t="s">
        <v>179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178</v>
      </c>
      <c r="U9" s="11" t="str">
        <f t="shared" si="8"/>
        <v/>
      </c>
      <c r="V9" s="10" t="s">
        <v>178</v>
      </c>
      <c r="W9" s="11" t="str">
        <f t="shared" si="9"/>
        <v/>
      </c>
      <c r="X9" s="10" t="s">
        <v>178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179</v>
      </c>
      <c r="AS9" s="11" t="str">
        <f t="shared" si="20"/>
        <v/>
      </c>
      <c r="AT9" s="10" t="s">
        <v>180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181</v>
      </c>
      <c r="C10" s="1"/>
      <c r="D10" s="10" t="s">
        <v>175</v>
      </c>
      <c r="E10" s="11" t="str">
        <f t="shared" si="0"/>
        <v/>
      </c>
      <c r="F10" s="10" t="s">
        <v>175</v>
      </c>
      <c r="G10" s="11" t="str">
        <f t="shared" si="1"/>
        <v/>
      </c>
      <c r="H10" s="10" t="s">
        <v>175</v>
      </c>
      <c r="I10" s="11" t="str">
        <f t="shared" si="2"/>
        <v/>
      </c>
      <c r="J10" s="10" t="s">
        <v>169</v>
      </c>
      <c r="K10" s="11" t="str">
        <f t="shared" si="3"/>
        <v/>
      </c>
      <c r="L10" s="10" t="s">
        <v>182</v>
      </c>
      <c r="M10" s="11" t="str">
        <f t="shared" si="4"/>
        <v/>
      </c>
      <c r="N10" s="10" t="s">
        <v>183</v>
      </c>
      <c r="O10" s="11" t="str">
        <f t="shared" si="5"/>
        <v/>
      </c>
      <c r="P10" s="10" t="s">
        <v>175</v>
      </c>
      <c r="Q10" s="11" t="str">
        <f t="shared" si="6"/>
        <v/>
      </c>
      <c r="R10" s="10" t="s">
        <v>175</v>
      </c>
      <c r="S10" s="11" t="str">
        <f t="shared" si="7"/>
        <v/>
      </c>
      <c r="T10" s="10" t="s">
        <v>184</v>
      </c>
      <c r="U10" s="11" t="str">
        <f t="shared" si="8"/>
        <v/>
      </c>
      <c r="V10" s="10" t="s">
        <v>185</v>
      </c>
      <c r="W10" s="11" t="str">
        <f t="shared" si="9"/>
        <v/>
      </c>
      <c r="X10" s="10" t="s">
        <v>170</v>
      </c>
      <c r="Y10" s="11" t="str">
        <f t="shared" si="10"/>
        <v/>
      </c>
      <c r="Z10" s="10" t="s">
        <v>175</v>
      </c>
      <c r="AA10" s="11" t="str">
        <f t="shared" si="11"/>
        <v/>
      </c>
      <c r="AB10" s="21" t="s">
        <v>175</v>
      </c>
      <c r="AC10" s="11" t="str">
        <f t="shared" si="12"/>
        <v/>
      </c>
      <c r="AD10" s="10" t="s">
        <v>175</v>
      </c>
      <c r="AE10" s="11" t="str">
        <f t="shared" si="13"/>
        <v/>
      </c>
      <c r="AF10" s="10" t="s">
        <v>175</v>
      </c>
      <c r="AG10" s="11" t="str">
        <f t="shared" si="14"/>
        <v/>
      </c>
      <c r="AH10" s="10" t="s">
        <v>175</v>
      </c>
      <c r="AI10" s="11" t="str">
        <f t="shared" si="15"/>
        <v/>
      </c>
      <c r="AJ10" s="10" t="s">
        <v>175</v>
      </c>
      <c r="AK10" s="11" t="str">
        <f t="shared" si="16"/>
        <v/>
      </c>
      <c r="AL10" s="10" t="s">
        <v>186</v>
      </c>
      <c r="AM10" s="11" t="str">
        <f t="shared" si="17"/>
        <v/>
      </c>
      <c r="AN10" s="10" t="s">
        <v>187</v>
      </c>
      <c r="AO10" s="11" t="str">
        <f t="shared" si="18"/>
        <v/>
      </c>
      <c r="AP10" s="10" t="s">
        <v>175</v>
      </c>
      <c r="AQ10" s="11" t="str">
        <f t="shared" si="19"/>
        <v/>
      </c>
      <c r="AR10" s="10" t="s">
        <v>187</v>
      </c>
      <c r="AS10" s="11" t="str">
        <f t="shared" si="20"/>
        <v/>
      </c>
      <c r="AT10" s="10" t="s">
        <v>188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189</v>
      </c>
      <c r="C11" s="1"/>
      <c r="D11" s="10" t="s">
        <v>183</v>
      </c>
      <c r="E11" s="11" t="str">
        <f t="shared" si="0"/>
        <v/>
      </c>
      <c r="F11" s="10" t="s">
        <v>190</v>
      </c>
      <c r="G11" s="11" t="str">
        <f t="shared" si="1"/>
        <v/>
      </c>
      <c r="H11" s="10" t="s">
        <v>183</v>
      </c>
      <c r="I11" s="11" t="str">
        <f t="shared" si="2"/>
        <v/>
      </c>
      <c r="J11" s="10" t="s">
        <v>168</v>
      </c>
      <c r="K11" s="11" t="str">
        <f t="shared" si="3"/>
        <v/>
      </c>
      <c r="L11" s="10" t="s">
        <v>191</v>
      </c>
      <c r="M11" s="11" t="str">
        <f t="shared" si="4"/>
        <v/>
      </c>
      <c r="N11" s="10" t="s">
        <v>186</v>
      </c>
      <c r="O11" s="11" t="str">
        <f t="shared" si="5"/>
        <v/>
      </c>
      <c r="P11" s="10" t="s">
        <v>183</v>
      </c>
      <c r="Q11" s="11" t="str">
        <f t="shared" si="6"/>
        <v/>
      </c>
      <c r="R11" s="10" t="s">
        <v>183</v>
      </c>
      <c r="S11" s="11" t="str">
        <f t="shared" si="7"/>
        <v/>
      </c>
      <c r="T11" s="10" t="s">
        <v>192</v>
      </c>
      <c r="U11" s="11" t="str">
        <f t="shared" si="8"/>
        <v/>
      </c>
      <c r="V11" s="10" t="s">
        <v>192</v>
      </c>
      <c r="W11" s="11" t="str">
        <f t="shared" si="9"/>
        <v/>
      </c>
      <c r="X11" s="10" t="s">
        <v>193</v>
      </c>
      <c r="Y11" s="11" t="str">
        <f t="shared" si="10"/>
        <v/>
      </c>
      <c r="Z11" s="10" t="s">
        <v>192</v>
      </c>
      <c r="AA11" s="11" t="str">
        <f t="shared" si="11"/>
        <v/>
      </c>
      <c r="AB11" s="21" t="s">
        <v>193</v>
      </c>
      <c r="AC11" s="11" t="str">
        <f t="shared" si="12"/>
        <v/>
      </c>
      <c r="AD11" s="10" t="s">
        <v>194</v>
      </c>
      <c r="AE11" s="11" t="str">
        <f t="shared" si="13"/>
        <v/>
      </c>
      <c r="AF11" s="10" t="s">
        <v>195</v>
      </c>
      <c r="AG11" s="11" t="str">
        <f t="shared" si="14"/>
        <v/>
      </c>
      <c r="AH11" s="10" t="s">
        <v>196</v>
      </c>
      <c r="AI11" s="11" t="str">
        <f t="shared" si="15"/>
        <v/>
      </c>
      <c r="AJ11" s="10" t="s">
        <v>183</v>
      </c>
      <c r="AK11" s="11" t="str">
        <f t="shared" si="16"/>
        <v/>
      </c>
      <c r="AL11" s="10" t="s">
        <v>197</v>
      </c>
      <c r="AM11" s="11" t="str">
        <f t="shared" si="17"/>
        <v/>
      </c>
      <c r="AN11" s="10" t="s">
        <v>186</v>
      </c>
      <c r="AO11" s="11" t="str">
        <f t="shared" si="18"/>
        <v/>
      </c>
      <c r="AP11" s="10" t="s">
        <v>198</v>
      </c>
      <c r="AQ11" s="11" t="str">
        <f t="shared" si="19"/>
        <v/>
      </c>
      <c r="AR11" s="10" t="s">
        <v>270</v>
      </c>
      <c r="AS11" s="11" t="str">
        <f t="shared" si="20"/>
        <v/>
      </c>
      <c r="AT11" s="10" t="s">
        <v>175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199</v>
      </c>
      <c r="C12" s="1"/>
      <c r="D12" s="10" t="s">
        <v>200</v>
      </c>
      <c r="E12" s="11" t="str">
        <f t="shared" si="0"/>
        <v/>
      </c>
      <c r="F12" s="10" t="s">
        <v>175</v>
      </c>
      <c r="G12" s="11" t="str">
        <f t="shared" si="1"/>
        <v/>
      </c>
      <c r="H12" s="10" t="s">
        <v>175</v>
      </c>
      <c r="I12" s="11" t="str">
        <f t="shared" si="2"/>
        <v/>
      </c>
      <c r="J12" s="10" t="s">
        <v>201</v>
      </c>
      <c r="K12" s="11" t="str">
        <f t="shared" si="3"/>
        <v/>
      </c>
      <c r="L12" s="10" t="s">
        <v>191</v>
      </c>
      <c r="M12" s="11" t="str">
        <f t="shared" si="4"/>
        <v/>
      </c>
      <c r="N12" s="10" t="s">
        <v>183</v>
      </c>
      <c r="O12" s="11" t="str">
        <f t="shared" si="5"/>
        <v/>
      </c>
      <c r="P12" s="10" t="s">
        <v>198</v>
      </c>
      <c r="Q12" s="11" t="str">
        <f t="shared" si="6"/>
        <v/>
      </c>
      <c r="R12" s="10" t="s">
        <v>202</v>
      </c>
      <c r="S12" s="11" t="str">
        <f t="shared" si="7"/>
        <v/>
      </c>
      <c r="T12" s="10" t="s">
        <v>186</v>
      </c>
      <c r="U12" s="11" t="str">
        <f t="shared" si="8"/>
        <v/>
      </c>
      <c r="V12" s="10" t="s">
        <v>175</v>
      </c>
      <c r="W12" s="11" t="str">
        <f t="shared" si="9"/>
        <v/>
      </c>
      <c r="X12" s="10" t="s">
        <v>170</v>
      </c>
      <c r="Y12" s="11" t="str">
        <f t="shared" si="10"/>
        <v/>
      </c>
      <c r="Z12" s="10" t="s">
        <v>192</v>
      </c>
      <c r="AA12" s="11" t="str">
        <f t="shared" si="11"/>
        <v/>
      </c>
      <c r="AB12" s="21" t="s">
        <v>175</v>
      </c>
      <c r="AC12" s="11" t="str">
        <f t="shared" si="12"/>
        <v/>
      </c>
      <c r="AD12" s="10" t="s">
        <v>203</v>
      </c>
      <c r="AE12" s="11" t="str">
        <f t="shared" si="13"/>
        <v/>
      </c>
      <c r="AF12" s="10" t="s">
        <v>175</v>
      </c>
      <c r="AG12" s="11" t="str">
        <f t="shared" si="14"/>
        <v/>
      </c>
      <c r="AH12" s="10" t="s">
        <v>175</v>
      </c>
      <c r="AI12" s="11" t="str">
        <f t="shared" si="15"/>
        <v/>
      </c>
      <c r="AJ12" s="10" t="s">
        <v>195</v>
      </c>
      <c r="AK12" s="11" t="str">
        <f t="shared" si="16"/>
        <v/>
      </c>
      <c r="AL12" s="10" t="s">
        <v>175</v>
      </c>
      <c r="AM12" s="11" t="str">
        <f t="shared" si="17"/>
        <v/>
      </c>
      <c r="AN12" s="10" t="s">
        <v>183</v>
      </c>
      <c r="AO12" s="11" t="str">
        <f t="shared" si="18"/>
        <v/>
      </c>
      <c r="AP12" s="10" t="s">
        <v>175</v>
      </c>
      <c r="AQ12" s="11" t="str">
        <f t="shared" si="19"/>
        <v/>
      </c>
      <c r="AR12" s="10" t="s">
        <v>198</v>
      </c>
      <c r="AS12" s="11" t="str">
        <f t="shared" si="20"/>
        <v/>
      </c>
      <c r="AT12" s="10" t="s">
        <v>188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204</v>
      </c>
      <c r="C13" s="1"/>
      <c r="D13" s="10" t="s">
        <v>183</v>
      </c>
      <c r="E13" s="11" t="str">
        <f t="shared" si="0"/>
        <v/>
      </c>
      <c r="F13" s="10" t="s">
        <v>193</v>
      </c>
      <c r="G13" s="11" t="str">
        <f t="shared" si="1"/>
        <v/>
      </c>
      <c r="H13" s="10" t="s">
        <v>183</v>
      </c>
      <c r="I13" s="11" t="str">
        <f t="shared" si="2"/>
        <v/>
      </c>
      <c r="J13" s="10" t="s">
        <v>183</v>
      </c>
      <c r="K13" s="11" t="str">
        <f t="shared" si="3"/>
        <v/>
      </c>
      <c r="L13" s="10" t="s">
        <v>207</v>
      </c>
      <c r="M13" s="11" t="str">
        <f t="shared" si="4"/>
        <v/>
      </c>
      <c r="N13" s="10" t="s">
        <v>205</v>
      </c>
      <c r="O13" s="11" t="str">
        <f t="shared" si="5"/>
        <v/>
      </c>
      <c r="P13" s="10" t="s">
        <v>206</v>
      </c>
      <c r="Q13" s="11" t="str">
        <f t="shared" si="6"/>
        <v/>
      </c>
      <c r="R13" s="21" t="s">
        <v>183</v>
      </c>
      <c r="S13" s="11" t="str">
        <f t="shared" si="7"/>
        <v/>
      </c>
      <c r="T13" s="10" t="s">
        <v>183</v>
      </c>
      <c r="U13" s="11" t="str">
        <f t="shared" si="8"/>
        <v/>
      </c>
      <c r="V13" s="10" t="s">
        <v>183</v>
      </c>
      <c r="W13" s="11" t="str">
        <f t="shared" si="9"/>
        <v/>
      </c>
      <c r="X13" s="10" t="s">
        <v>183</v>
      </c>
      <c r="Y13" s="11" t="str">
        <f t="shared" si="10"/>
        <v/>
      </c>
      <c r="Z13" s="10" t="s">
        <v>183</v>
      </c>
      <c r="AA13" s="11" t="str">
        <f t="shared" si="11"/>
        <v/>
      </c>
      <c r="AB13" s="21" t="s">
        <v>183</v>
      </c>
      <c r="AC13" s="11" t="str">
        <f t="shared" si="12"/>
        <v/>
      </c>
      <c r="AD13" s="10" t="s">
        <v>193</v>
      </c>
      <c r="AE13" s="11" t="str">
        <f t="shared" si="13"/>
        <v/>
      </c>
      <c r="AF13" s="10" t="s">
        <v>195</v>
      </c>
      <c r="AG13" s="11" t="str">
        <f t="shared" si="14"/>
        <v/>
      </c>
      <c r="AH13" s="10" t="s">
        <v>207</v>
      </c>
      <c r="AI13" s="11" t="str">
        <f t="shared" si="15"/>
        <v/>
      </c>
      <c r="AJ13" s="10" t="s">
        <v>183</v>
      </c>
      <c r="AK13" s="11" t="str">
        <f t="shared" si="16"/>
        <v/>
      </c>
      <c r="AL13" s="10" t="s">
        <v>183</v>
      </c>
      <c r="AM13" s="11" t="str">
        <f t="shared" si="17"/>
        <v/>
      </c>
      <c r="AN13" s="10" t="s">
        <v>208</v>
      </c>
      <c r="AO13" s="11" t="str">
        <f t="shared" si="18"/>
        <v/>
      </c>
      <c r="AP13" s="10" t="s">
        <v>183</v>
      </c>
      <c r="AQ13" s="11" t="str">
        <f t="shared" si="19"/>
        <v/>
      </c>
      <c r="AR13" s="10" t="s">
        <v>271</v>
      </c>
      <c r="AS13" s="11" t="str">
        <f t="shared" si="20"/>
        <v/>
      </c>
      <c r="AT13" s="10" t="s">
        <v>188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209</v>
      </c>
      <c r="C14" s="1"/>
      <c r="D14" s="10" t="s">
        <v>210</v>
      </c>
      <c r="E14" s="11" t="str">
        <f t="shared" si="0"/>
        <v/>
      </c>
      <c r="F14" s="10" t="s">
        <v>211</v>
      </c>
      <c r="G14" s="11" t="str">
        <f t="shared" si="1"/>
        <v/>
      </c>
      <c r="H14" s="10" t="s">
        <v>212</v>
      </c>
      <c r="I14" s="11" t="str">
        <f t="shared" si="2"/>
        <v/>
      </c>
      <c r="J14" s="10" t="s">
        <v>213</v>
      </c>
      <c r="K14" s="11" t="str">
        <f t="shared" si="3"/>
        <v/>
      </c>
      <c r="L14" s="10" t="s">
        <v>214</v>
      </c>
      <c r="M14" s="11" t="str">
        <f t="shared" si="4"/>
        <v/>
      </c>
      <c r="N14" s="10" t="s">
        <v>215</v>
      </c>
      <c r="O14" s="11" t="str">
        <f t="shared" si="5"/>
        <v/>
      </c>
      <c r="P14" s="10" t="s">
        <v>213</v>
      </c>
      <c r="Q14" s="11" t="str">
        <f t="shared" si="6"/>
        <v/>
      </c>
      <c r="R14" s="10" t="s">
        <v>212</v>
      </c>
      <c r="S14" s="11" t="str">
        <f t="shared" si="7"/>
        <v/>
      </c>
      <c r="T14" s="10" t="s">
        <v>213</v>
      </c>
      <c r="U14" s="11" t="str">
        <f t="shared" si="8"/>
        <v/>
      </c>
      <c r="V14" s="10" t="s">
        <v>212</v>
      </c>
      <c r="W14" s="11" t="str">
        <f t="shared" si="9"/>
        <v/>
      </c>
      <c r="X14" s="10" t="s">
        <v>214</v>
      </c>
      <c r="Y14" s="11" t="str">
        <f t="shared" si="10"/>
        <v/>
      </c>
      <c r="Z14" s="10" t="s">
        <v>215</v>
      </c>
      <c r="AA14" s="11" t="str">
        <f t="shared" si="11"/>
        <v/>
      </c>
      <c r="AB14" s="21" t="s">
        <v>210</v>
      </c>
      <c r="AC14" s="11" t="str">
        <f t="shared" si="12"/>
        <v/>
      </c>
      <c r="AD14" s="10" t="s">
        <v>211</v>
      </c>
      <c r="AE14" s="11" t="str">
        <f t="shared" si="13"/>
        <v/>
      </c>
      <c r="AF14" s="10" t="s">
        <v>211</v>
      </c>
      <c r="AG14" s="11" t="str">
        <f t="shared" si="14"/>
        <v/>
      </c>
      <c r="AH14" s="10" t="s">
        <v>215</v>
      </c>
      <c r="AI14" s="11" t="str">
        <f t="shared" si="15"/>
        <v/>
      </c>
      <c r="AJ14" s="10" t="s">
        <v>216</v>
      </c>
      <c r="AK14" s="11" t="str">
        <f t="shared" si="16"/>
        <v/>
      </c>
      <c r="AL14" s="10" t="s">
        <v>217</v>
      </c>
      <c r="AM14" s="11" t="str">
        <f t="shared" si="17"/>
        <v/>
      </c>
      <c r="AN14" s="10" t="s">
        <v>217</v>
      </c>
      <c r="AO14" s="11" t="str">
        <f t="shared" si="18"/>
        <v/>
      </c>
      <c r="AP14" s="10" t="s">
        <v>214</v>
      </c>
      <c r="AQ14" s="11" t="str">
        <f t="shared" si="19"/>
        <v/>
      </c>
      <c r="AR14" s="10" t="s">
        <v>217</v>
      </c>
      <c r="AS14" s="11" t="str">
        <f t="shared" si="20"/>
        <v/>
      </c>
      <c r="AT14" s="10" t="s">
        <v>213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218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172</v>
      </c>
      <c r="AO15" s="11" t="str">
        <f t="shared" si="18"/>
        <v/>
      </c>
      <c r="AP15" s="10" t="s">
        <v>219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220</v>
      </c>
      <c r="C16" s="1"/>
      <c r="D16" s="10" t="s">
        <v>221</v>
      </c>
      <c r="E16" s="11" t="str">
        <f t="shared" si="0"/>
        <v/>
      </c>
      <c r="F16" s="10" t="s">
        <v>222</v>
      </c>
      <c r="G16" s="11" t="str">
        <f t="shared" si="1"/>
        <v/>
      </c>
      <c r="H16" s="10" t="s">
        <v>223</v>
      </c>
      <c r="I16" s="11" t="str">
        <f t="shared" si="2"/>
        <v/>
      </c>
      <c r="J16" s="10" t="s">
        <v>224</v>
      </c>
      <c r="K16" s="11" t="str">
        <f t="shared" si="3"/>
        <v/>
      </c>
      <c r="L16" s="10" t="s">
        <v>224</v>
      </c>
      <c r="M16" s="11" t="str">
        <f t="shared" si="4"/>
        <v/>
      </c>
      <c r="N16" s="10" t="s">
        <v>221</v>
      </c>
      <c r="O16" s="11" t="str">
        <f t="shared" si="5"/>
        <v/>
      </c>
      <c r="P16" s="10" t="s">
        <v>222</v>
      </c>
      <c r="Q16" s="11" t="str">
        <f t="shared" si="6"/>
        <v/>
      </c>
      <c r="R16" s="10" t="s">
        <v>222</v>
      </c>
      <c r="S16" s="11" t="str">
        <f t="shared" si="7"/>
        <v/>
      </c>
      <c r="T16" s="10" t="s">
        <v>225</v>
      </c>
      <c r="U16" s="11" t="str">
        <f t="shared" si="8"/>
        <v/>
      </c>
      <c r="V16" s="10" t="s">
        <v>222</v>
      </c>
      <c r="W16" s="11" t="str">
        <f t="shared" si="9"/>
        <v/>
      </c>
      <c r="X16" s="10" t="s">
        <v>222</v>
      </c>
      <c r="Y16" s="11" t="str">
        <f t="shared" si="10"/>
        <v/>
      </c>
      <c r="Z16" s="25" t="s">
        <v>224</v>
      </c>
      <c r="AA16" s="11" t="str">
        <f t="shared" si="11"/>
        <v/>
      </c>
      <c r="AB16" s="21" t="s">
        <v>222</v>
      </c>
      <c r="AC16" s="11" t="str">
        <f t="shared" si="12"/>
        <v/>
      </c>
      <c r="AD16" s="10" t="s">
        <v>226</v>
      </c>
      <c r="AE16" s="11" t="str">
        <f t="shared" si="13"/>
        <v/>
      </c>
      <c r="AF16" s="10" t="s">
        <v>222</v>
      </c>
      <c r="AG16" s="11" t="str">
        <f t="shared" si="14"/>
        <v/>
      </c>
      <c r="AH16" s="10" t="s">
        <v>223</v>
      </c>
      <c r="AI16" s="11" t="str">
        <f t="shared" si="15"/>
        <v/>
      </c>
      <c r="AJ16" s="10" t="s">
        <v>222</v>
      </c>
      <c r="AK16" s="11" t="str">
        <f t="shared" si="16"/>
        <v/>
      </c>
      <c r="AL16" s="27" t="s">
        <v>221</v>
      </c>
      <c r="AM16" s="11" t="str">
        <f t="shared" si="17"/>
        <v/>
      </c>
      <c r="AN16" s="10" t="s">
        <v>223</v>
      </c>
      <c r="AO16" s="11" t="str">
        <f t="shared" si="18"/>
        <v/>
      </c>
      <c r="AP16" s="10" t="s">
        <v>222</v>
      </c>
      <c r="AQ16" s="11" t="str">
        <f t="shared" si="19"/>
        <v/>
      </c>
      <c r="AR16" s="10" t="s">
        <v>272</v>
      </c>
      <c r="AS16" s="11" t="str">
        <f t="shared" si="20"/>
        <v/>
      </c>
      <c r="AT16" s="10" t="s">
        <v>223</v>
      </c>
      <c r="AU16" s="11" t="str">
        <f t="shared" si="21"/>
        <v/>
      </c>
    </row>
    <row r="17" spans="1:47" ht="14.4" customHeight="1" x14ac:dyDescent="0.3">
      <c r="A17" s="11"/>
      <c r="B17" s="14" t="s">
        <v>227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228</v>
      </c>
      <c r="B1" s="16"/>
      <c r="C1" s="16"/>
      <c r="D1" s="16"/>
      <c r="E1" s="16"/>
    </row>
    <row r="2" spans="1:5" ht="18" customHeight="1" x14ac:dyDescent="0.3">
      <c r="A2" s="38" t="s">
        <v>229</v>
      </c>
      <c r="B2" s="38" t="s">
        <v>230</v>
      </c>
      <c r="C2" s="38" t="s">
        <v>231</v>
      </c>
      <c r="D2" s="38" t="s">
        <v>232</v>
      </c>
      <c r="E2" s="38" t="s">
        <v>233</v>
      </c>
    </row>
    <row r="3" spans="1:5" ht="18" customHeight="1" x14ac:dyDescent="0.3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501</v>
      </c>
      <c r="D3" s="11">
        <f>Bonus_beheer!AK17</f>
        <v>10</v>
      </c>
      <c r="E3" s="11">
        <f>C3+D3</f>
        <v>511</v>
      </c>
    </row>
    <row r="4" spans="1:5" ht="18" customHeight="1" x14ac:dyDescent="0.3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505</v>
      </c>
      <c r="D4" s="11">
        <f>Bonus_beheer!AE17</f>
        <v>0</v>
      </c>
      <c r="E4" s="11">
        <f>C4+D4</f>
        <v>505</v>
      </c>
    </row>
    <row r="5" spans="1:5" ht="18" customHeight="1" x14ac:dyDescent="0.3">
      <c r="A5" s="11">
        <f>_xlfn.RANK.EQ(E5,$E$3:$E$90,0)</f>
        <v>3</v>
      </c>
      <c r="B5" s="1" t="str">
        <f>Wedstrijden_beheer!U1</f>
        <v>Tom</v>
      </c>
      <c r="C5" s="11">
        <f>SUM(Wedstrijden_beheer!V3:'Wedstrijden_beheer'!V194)</f>
        <v>494</v>
      </c>
      <c r="D5" s="11">
        <f>Bonus_beheer!U17</f>
        <v>10</v>
      </c>
      <c r="E5" s="11">
        <f>C5+D5</f>
        <v>504</v>
      </c>
    </row>
    <row r="6" spans="1:5" ht="18" customHeight="1" x14ac:dyDescent="0.3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490</v>
      </c>
      <c r="D6" s="11">
        <f>Bonus_beheer!AO17</f>
        <v>10</v>
      </c>
      <c r="E6" s="11">
        <f>C6+D6</f>
        <v>500</v>
      </c>
    </row>
    <row r="7" spans="1:5" ht="18" customHeight="1" x14ac:dyDescent="0.3">
      <c r="A7" s="11">
        <f>_xlfn.RANK.EQ(E7,$E$3:$E$90,0)</f>
        <v>4</v>
      </c>
      <c r="B7" s="29" t="str">
        <f>Wedstrijden_beheer!E1</f>
        <v>Roland</v>
      </c>
      <c r="C7" s="11">
        <f>SUM(Wedstrijden_beheer!F3:'Wedstrijden_beheer'!F194)</f>
        <v>500</v>
      </c>
      <c r="D7" s="11">
        <f>Bonus_beheer!E17</f>
        <v>0</v>
      </c>
      <c r="E7" s="11">
        <f>C7+D7</f>
        <v>500</v>
      </c>
    </row>
    <row r="8" spans="1:5" ht="18" customHeight="1" x14ac:dyDescent="0.3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489</v>
      </c>
      <c r="D8" s="11">
        <f>Bonus_beheer!I17</f>
        <v>10</v>
      </c>
      <c r="E8" s="11">
        <f>C8+D8</f>
        <v>499</v>
      </c>
    </row>
    <row r="9" spans="1:5" ht="18" customHeight="1" x14ac:dyDescent="0.3">
      <c r="A9" s="11">
        <f>_xlfn.RANK.EQ(E9,$E$3:$E$90,0)</f>
        <v>7</v>
      </c>
      <c r="B9" s="1" t="str">
        <f>Wedstrijden_beheer!W1</f>
        <v>Jos</v>
      </c>
      <c r="C9" s="11">
        <f>SUM(Wedstrijden_beheer!X3:'Wedstrijden_beheer'!X194)</f>
        <v>467</v>
      </c>
      <c r="D9" s="11">
        <f>Bonus_beheer!W17</f>
        <v>10</v>
      </c>
      <c r="E9" s="11">
        <f>C9+D9</f>
        <v>477</v>
      </c>
    </row>
    <row r="10" spans="1:5" ht="18" customHeight="1" x14ac:dyDescent="0.3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476</v>
      </c>
      <c r="D10" s="11">
        <f>Bonus_beheer!AA17</f>
        <v>0</v>
      </c>
      <c r="E10" s="11">
        <f>C10+D10</f>
        <v>476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463</v>
      </c>
      <c r="D11" s="11">
        <f>Bonus_beheer!AG17</f>
        <v>10</v>
      </c>
      <c r="E11" s="11">
        <f>C11+D11</f>
        <v>473</v>
      </c>
    </row>
    <row r="12" spans="1:5" ht="18" customHeight="1" x14ac:dyDescent="0.3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451</v>
      </c>
      <c r="D12" s="11">
        <f>Bonus_beheer!AM17</f>
        <v>10</v>
      </c>
      <c r="E12" s="11">
        <f>C12+D12</f>
        <v>461</v>
      </c>
    </row>
    <row r="13" spans="1:5" ht="18" customHeight="1" x14ac:dyDescent="0.3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450</v>
      </c>
      <c r="D13" s="11">
        <f>Bonus_beheer!Y17</f>
        <v>10</v>
      </c>
      <c r="E13" s="11">
        <f>C13+D13</f>
        <v>460</v>
      </c>
    </row>
    <row r="14" spans="1:5" ht="18" customHeight="1" x14ac:dyDescent="0.3">
      <c r="A14" s="11">
        <f>_xlfn.RANK.EQ(E14,$E$3:$E$90,0)</f>
        <v>12</v>
      </c>
      <c r="B14" s="1" t="str">
        <f>Wedstrijden_beheer!G1</f>
        <v>Nikki</v>
      </c>
      <c r="C14" s="11">
        <f>SUM(Wedstrijden_beheer!H3:'Wedstrijden_beheer'!H194)</f>
        <v>457</v>
      </c>
      <c r="D14" s="11">
        <f>Bonus_beheer!G17</f>
        <v>0</v>
      </c>
      <c r="E14" s="11">
        <f>C14+D14</f>
        <v>457</v>
      </c>
    </row>
    <row r="15" spans="1:5" ht="18" customHeight="1" x14ac:dyDescent="0.3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446</v>
      </c>
      <c r="D15" s="11">
        <f>Bonus_beheer!O17</f>
        <v>10</v>
      </c>
      <c r="E15" s="11">
        <f>C15+D15</f>
        <v>456</v>
      </c>
    </row>
    <row r="16" spans="1:5" ht="18" customHeight="1" x14ac:dyDescent="0.3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444</v>
      </c>
      <c r="D16" s="11">
        <f>Bonus_beheer!AC17</f>
        <v>0</v>
      </c>
      <c r="E16" s="11">
        <f>C16+D16</f>
        <v>444</v>
      </c>
    </row>
    <row r="17" spans="1:5" ht="18" customHeight="1" x14ac:dyDescent="0.3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430</v>
      </c>
      <c r="D17" s="11">
        <f>Bonus_beheer!AU18</f>
        <v>0</v>
      </c>
      <c r="E17" s="11">
        <f>C17+D17</f>
        <v>430</v>
      </c>
    </row>
    <row r="18" spans="1:5" ht="18" customHeight="1" x14ac:dyDescent="0.3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430</v>
      </c>
      <c r="D18" s="11">
        <f>Bonus_beheer!AU17</f>
        <v>0</v>
      </c>
      <c r="E18" s="11">
        <f>C18+D18</f>
        <v>430</v>
      </c>
    </row>
    <row r="19" spans="1:5" ht="18" customHeight="1" x14ac:dyDescent="0.3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402</v>
      </c>
      <c r="D19" s="11">
        <f>Bonus_beheer!AI17</f>
        <v>10</v>
      </c>
      <c r="E19" s="11">
        <f>C19+D19</f>
        <v>412</v>
      </c>
    </row>
    <row r="20" spans="1:5" ht="18" customHeight="1" x14ac:dyDescent="0.3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395</v>
      </c>
      <c r="D20" s="11">
        <f>Bonus_beheer!M17</f>
        <v>10</v>
      </c>
      <c r="E20" s="11">
        <f>C20+D20</f>
        <v>405</v>
      </c>
    </row>
    <row r="21" spans="1:5" ht="18" customHeight="1" x14ac:dyDescent="0.3">
      <c r="A21" s="11">
        <f>_xlfn.RANK.EQ(E21,$E$3:$E$90,0)</f>
        <v>19</v>
      </c>
      <c r="B21" s="1" t="str">
        <f>Wedstrijden_beheer!S1</f>
        <v>Marc</v>
      </c>
      <c r="C21" s="11">
        <f>SUM(Wedstrijden_beheer!T3:'Wedstrijden_beheer'!T194)</f>
        <v>383</v>
      </c>
      <c r="D21" s="11">
        <f>Bonus_beheer!S17</f>
        <v>0</v>
      </c>
      <c r="E21" s="11">
        <f>C21+D21</f>
        <v>383</v>
      </c>
    </row>
    <row r="22" spans="1:5" ht="18" customHeight="1" x14ac:dyDescent="0.3">
      <c r="A22" s="11">
        <f>_xlfn.RANK.EQ(E22,$E$3:$E$90,0)</f>
        <v>20</v>
      </c>
      <c r="B22" s="1" t="str">
        <f>Wedstrijden_beheer!Q1</f>
        <v>Simone</v>
      </c>
      <c r="C22" s="11">
        <f>SUM(Wedstrijden_beheer!R3:'Wedstrijden_beheer'!R194)</f>
        <v>369</v>
      </c>
      <c r="D22" s="11">
        <f>Bonus_beheer!Q17</f>
        <v>10</v>
      </c>
      <c r="E22" s="11">
        <f>C22+D22</f>
        <v>379</v>
      </c>
    </row>
    <row r="23" spans="1:5" x14ac:dyDescent="0.3">
      <c r="A23" s="11">
        <f>_xlfn.RANK.EQ(E23,$E$3:$E$90,0)</f>
        <v>21</v>
      </c>
      <c r="B23" s="1" t="str">
        <f>Wedstrijden_beheer!K1</f>
        <v>Karsten</v>
      </c>
      <c r="C23" s="11">
        <f>SUM(Wedstrijden_beheer!L3:'Wedstrijden_beheer'!L194)</f>
        <v>375</v>
      </c>
      <c r="D23" s="11">
        <f>Bonus_beheer!K17</f>
        <v>0</v>
      </c>
      <c r="E23" s="11">
        <f>C23+D23</f>
        <v>375</v>
      </c>
    </row>
    <row r="24" spans="1:5" x14ac:dyDescent="0.3">
      <c r="A24" s="11">
        <f>_xlfn.RANK.EQ(E24,$E$3:$E$90,0)</f>
        <v>22</v>
      </c>
      <c r="B24" s="1" t="str">
        <f>Wedstrijden_beheer!AS1</f>
        <v>Andre</v>
      </c>
      <c r="C24" s="11">
        <f>SUM(Wedstrijden_beheer!R4:'Wedstrijden_beheer'!R195)</f>
        <v>369</v>
      </c>
      <c r="D24" s="11">
        <f>Bonus_beheer!Q18</f>
        <v>0</v>
      </c>
      <c r="E24" s="11">
        <f>C24+D24</f>
        <v>369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234</v>
      </c>
      <c r="B1" s="16"/>
    </row>
    <row r="2" spans="1:2" ht="18" customHeight="1" x14ac:dyDescent="0.3">
      <c r="A2" s="38" t="s">
        <v>235</v>
      </c>
      <c r="B2" s="38" t="s">
        <v>236</v>
      </c>
    </row>
    <row r="3" spans="1:2" ht="18" customHeight="1" x14ac:dyDescent="0.3">
      <c r="A3" s="1" t="s">
        <v>237</v>
      </c>
      <c r="B3" s="1" t="s">
        <v>238</v>
      </c>
    </row>
    <row r="4" spans="1:2" ht="18" customHeight="1" x14ac:dyDescent="0.3">
      <c r="A4" s="1" t="s">
        <v>239</v>
      </c>
      <c r="B4" s="1" t="s">
        <v>238</v>
      </c>
    </row>
    <row r="5" spans="1:2" ht="18" customHeight="1" x14ac:dyDescent="0.3">
      <c r="A5" s="1" t="s">
        <v>240</v>
      </c>
      <c r="B5" s="1" t="s">
        <v>241</v>
      </c>
    </row>
    <row r="6" spans="1:2" ht="18" customHeight="1" x14ac:dyDescent="0.3">
      <c r="A6" s="1" t="s">
        <v>242</v>
      </c>
      <c r="B6" s="1" t="s">
        <v>243</v>
      </c>
    </row>
    <row r="7" spans="1:2" ht="18" customHeight="1" x14ac:dyDescent="0.3">
      <c r="A7" s="1" t="s">
        <v>244</v>
      </c>
      <c r="B7" s="1" t="s">
        <v>245</v>
      </c>
    </row>
    <row r="8" spans="1:2" ht="18" customHeight="1" x14ac:dyDescent="0.3">
      <c r="A8" s="1" t="s">
        <v>246</v>
      </c>
      <c r="B8" s="1" t="s">
        <v>247</v>
      </c>
    </row>
    <row r="9" spans="1:2" ht="18" customHeight="1" x14ac:dyDescent="0.3">
      <c r="A9" s="1" t="s">
        <v>248</v>
      </c>
      <c r="B9" s="1" t="s">
        <v>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250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235</v>
      </c>
      <c r="B2" s="38" t="s">
        <v>28</v>
      </c>
      <c r="C2" s="38" t="s">
        <v>251</v>
      </c>
    </row>
    <row r="3" spans="1:44" ht="18" customHeight="1" x14ac:dyDescent="0.3">
      <c r="A3" s="1" t="s">
        <v>252</v>
      </c>
      <c r="B3" s="1">
        <v>10</v>
      </c>
      <c r="C3" s="1" t="s">
        <v>253</v>
      </c>
    </row>
    <row r="4" spans="1:44" ht="18" customHeight="1" x14ac:dyDescent="0.3">
      <c r="A4" s="1" t="s">
        <v>254</v>
      </c>
      <c r="B4" s="1">
        <v>5</v>
      </c>
      <c r="C4" s="1" t="s">
        <v>255</v>
      </c>
    </row>
    <row r="5" spans="1:44" ht="18" customHeight="1" x14ac:dyDescent="0.3">
      <c r="A5" s="1" t="s">
        <v>256</v>
      </c>
      <c r="B5" s="1">
        <v>2</v>
      </c>
      <c r="C5" s="1" t="s">
        <v>257</v>
      </c>
    </row>
    <row r="6" spans="1:44" ht="18" customHeight="1" x14ac:dyDescent="0.3">
      <c r="A6" s="1" t="s">
        <v>258</v>
      </c>
      <c r="B6" s="1">
        <v>2</v>
      </c>
      <c r="C6" s="1" t="s">
        <v>259</v>
      </c>
    </row>
    <row r="7" spans="1:44" ht="18" customHeight="1" x14ac:dyDescent="0.3">
      <c r="A7" s="1" t="s">
        <v>260</v>
      </c>
      <c r="B7" s="1">
        <v>2</v>
      </c>
      <c r="C7" s="1" t="s">
        <v>261</v>
      </c>
    </row>
    <row r="8" spans="1:44" ht="18" customHeight="1" x14ac:dyDescent="0.3">
      <c r="A8" s="1" t="s">
        <v>262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263</v>
      </c>
      <c r="B1" s="22" t="s">
        <v>264</v>
      </c>
      <c r="C1" s="22" t="s">
        <v>265</v>
      </c>
    </row>
    <row r="2" spans="1:3" x14ac:dyDescent="0.3">
      <c r="A2" t="s">
        <v>266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267</v>
      </c>
      <c r="C5" t="s">
        <v>268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2026-07-11T22:20:35Z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