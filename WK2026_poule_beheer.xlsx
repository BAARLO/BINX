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.meijer\Downloads\"/>
    </mc:Choice>
  </mc:AlternateContent>
  <xr:revisionPtr revIDLastSave="0" documentId="13_ncr:1_{0FB5417A-CED6-4715-9D9F-C8D02EE9DEC3}" xr6:coauthVersionLast="47" xr6:coauthVersionMax="47" xr10:uidLastSave="{00000000-0000-0000-0000-000000000000}"/>
  <bookViews>
    <workbookView xWindow="38290" yWindow="-110" windowWidth="38620" windowHeight="21100" activeTab="2" xr2:uid="{00000000-000D-0000-FFFF-FFFF00000000}"/>
  </bookViews>
  <sheets>
    <sheet name="Wedstrijden_beheer" sheetId="1" r:id="rId1"/>
    <sheet name="Bonus_beheer" sheetId="2" r:id="rId2"/>
    <sheet name="Stand TdF" sheetId="7" r:id="rId3"/>
    <sheet name="Stand" sheetId="3" r:id="rId4"/>
    <sheet name="Deadlines" sheetId="4" r:id="rId5"/>
    <sheet name="Puntentelling" sheetId="5" r:id="rId6"/>
    <sheet name="Prijzenpot" sheetId="6" r:id="rId7"/>
  </sheets>
  <definedNames>
    <definedName name="_xlnm._FilterDatabase" localSheetId="3" hidden="1">Stand!$E$2:$E$22</definedName>
    <definedName name="_xlnm._FilterDatabase" localSheetId="2" hidden="1">'Stand TdF'!$C$2:$C$22</definedName>
    <definedName name="_xlnm._FilterDatabase" localSheetId="0" hidden="1">Wedstrijden_beheer!$A$1:$AX$194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2" l="1"/>
  <c r="AO5" i="2"/>
  <c r="AO6" i="2"/>
  <c r="AO7" i="2"/>
  <c r="AO8" i="2"/>
  <c r="AO9" i="2"/>
  <c r="AO10" i="2"/>
  <c r="AO11" i="2"/>
  <c r="AO12" i="2"/>
  <c r="AO13" i="2"/>
  <c r="AO14" i="2"/>
  <c r="AO16" i="2"/>
  <c r="A3" i="7"/>
  <c r="A5" i="7"/>
  <c r="A4" i="7"/>
  <c r="A6" i="7"/>
  <c r="A11" i="7"/>
  <c r="A10" i="7"/>
  <c r="A8" i="7"/>
  <c r="A14" i="7"/>
  <c r="A16" i="7"/>
  <c r="A9" i="7"/>
  <c r="A15" i="7"/>
  <c r="A12" i="7"/>
  <c r="A7" i="7"/>
  <c r="A13" i="7"/>
  <c r="AT6" i="1"/>
  <c r="AT10" i="1"/>
  <c r="AT14" i="1"/>
  <c r="AT19" i="1"/>
  <c r="AT21" i="1"/>
  <c r="AT26" i="1"/>
  <c r="AT27" i="1"/>
  <c r="AT31" i="1"/>
  <c r="AT32" i="1"/>
  <c r="AT37" i="1"/>
  <c r="AT39" i="1"/>
  <c r="AT43" i="1"/>
  <c r="AT45" i="1"/>
  <c r="AT49" i="1"/>
  <c r="AT50" i="1"/>
  <c r="AT54" i="1"/>
  <c r="AT57" i="1"/>
  <c r="AT60" i="1"/>
  <c r="AT62" i="1"/>
  <c r="AT63" i="1"/>
  <c r="AT65" i="1"/>
  <c r="AT69" i="1"/>
  <c r="AT71" i="1"/>
  <c r="AT72" i="1"/>
  <c r="AT73" i="1"/>
  <c r="AT74" i="1"/>
  <c r="AT75" i="1"/>
  <c r="AT81" i="1"/>
  <c r="AT84" i="1"/>
  <c r="AT87" i="1"/>
  <c r="AT88" i="1"/>
  <c r="AT89" i="1"/>
  <c r="AT94" i="1"/>
  <c r="AT95" i="1"/>
  <c r="AT97" i="1"/>
  <c r="AT105" i="1"/>
  <c r="AT108" i="1"/>
  <c r="AT111" i="1"/>
  <c r="AT112" i="1"/>
  <c r="AT115" i="1"/>
  <c r="AT116" i="1"/>
  <c r="AT118" i="1"/>
  <c r="AT120" i="1"/>
  <c r="AT122" i="1"/>
  <c r="AT125" i="1"/>
  <c r="AT127" i="1"/>
  <c r="AT128" i="1"/>
  <c r="AT130" i="1"/>
  <c r="AT133" i="1"/>
  <c r="AT134" i="1"/>
  <c r="AT139" i="1"/>
  <c r="AT141" i="1"/>
  <c r="AT143" i="1"/>
  <c r="AT144" i="1"/>
  <c r="AT147" i="1"/>
  <c r="AT149" i="1"/>
  <c r="AT152" i="1"/>
  <c r="AT154" i="1"/>
  <c r="AT155" i="1"/>
  <c r="AT156" i="1"/>
  <c r="AT159" i="1"/>
  <c r="AT161" i="1"/>
  <c r="AT162" i="1"/>
  <c r="AT166" i="1"/>
  <c r="AT168" i="1"/>
  <c r="AT169" i="1"/>
  <c r="AT172" i="1"/>
  <c r="AT174" i="1"/>
  <c r="AT175" i="1"/>
  <c r="AT176" i="1"/>
  <c r="AT179" i="1"/>
  <c r="AT180" i="1"/>
  <c r="AT183" i="1"/>
  <c r="AT184" i="1"/>
  <c r="AT188" i="1"/>
  <c r="AT189" i="1"/>
  <c r="AT192" i="1"/>
  <c r="AT193" i="1"/>
  <c r="AT194" i="1"/>
  <c r="B23" i="3"/>
  <c r="D23" i="3"/>
  <c r="AR1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V8" i="1"/>
  <c r="AV20" i="1"/>
  <c r="AV30" i="1"/>
  <c r="AV31" i="1"/>
  <c r="AV34" i="1"/>
  <c r="AV49" i="1"/>
  <c r="AV54" i="1"/>
  <c r="AV60" i="1"/>
  <c r="AV62" i="1"/>
  <c r="AV68" i="1"/>
  <c r="AV71" i="1"/>
  <c r="AV72" i="1"/>
  <c r="AV74" i="1"/>
  <c r="AV80" i="1"/>
  <c r="AV83" i="1"/>
  <c r="AV84" i="1"/>
  <c r="AV85" i="1"/>
  <c r="AV87" i="1"/>
  <c r="AV88" i="1"/>
  <c r="AV91" i="1"/>
  <c r="AV96" i="1"/>
  <c r="AV115" i="1"/>
  <c r="AV122" i="1"/>
  <c r="AV123" i="1"/>
  <c r="AV141" i="1"/>
  <c r="AV147" i="1"/>
  <c r="AV155" i="1"/>
  <c r="AV159" i="1"/>
  <c r="AV165" i="1"/>
  <c r="AV168" i="1"/>
  <c r="AV171" i="1"/>
  <c r="AV174" i="1"/>
  <c r="AV179" i="1"/>
  <c r="AV192" i="1"/>
  <c r="AT1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B22" i="3"/>
  <c r="B15" i="3"/>
  <c r="B5" i="3"/>
  <c r="B8" i="3"/>
  <c r="B7" i="3"/>
  <c r="B21" i="3"/>
  <c r="B10" i="3"/>
  <c r="B18" i="3"/>
  <c r="B6" i="3"/>
  <c r="B4" i="3"/>
  <c r="B24" i="3"/>
  <c r="B17" i="3"/>
  <c r="B14" i="3"/>
  <c r="B19" i="3"/>
  <c r="D19" i="3"/>
  <c r="B16" i="3"/>
  <c r="B12" i="3"/>
  <c r="B20" i="3"/>
  <c r="B13" i="3"/>
  <c r="B3" i="3"/>
  <c r="B11" i="3"/>
  <c r="B9" i="3"/>
  <c r="AR6" i="1"/>
  <c r="AR10" i="1"/>
  <c r="AR14" i="1"/>
  <c r="AR20" i="1"/>
  <c r="AR21" i="1"/>
  <c r="AR27" i="1"/>
  <c r="AR30" i="1"/>
  <c r="AR31" i="1"/>
  <c r="AR32" i="1"/>
  <c r="AR35" i="1"/>
  <c r="AR36" i="1"/>
  <c r="AR38" i="1"/>
  <c r="AR39" i="1"/>
  <c r="AR41" i="1"/>
  <c r="AR42" i="1"/>
  <c r="AR44" i="1"/>
  <c r="AR45" i="1"/>
  <c r="AR47" i="1"/>
  <c r="AR48" i="1"/>
  <c r="AR50" i="1"/>
  <c r="AR54" i="1"/>
  <c r="AR57" i="1"/>
  <c r="AR62" i="1"/>
  <c r="AR63" i="1"/>
  <c r="AR68" i="1"/>
  <c r="AR69" i="1"/>
  <c r="AR75" i="1"/>
  <c r="AR80" i="1"/>
  <c r="AR81" i="1"/>
  <c r="AR83" i="1"/>
  <c r="AR84" i="1"/>
  <c r="AR85" i="1"/>
  <c r="AR87" i="1"/>
  <c r="AR88" i="1"/>
  <c r="AR89" i="1"/>
  <c r="AR91" i="1"/>
  <c r="AR93" i="1"/>
  <c r="AR96" i="1"/>
  <c r="AR97" i="1"/>
  <c r="AR105" i="1"/>
  <c r="AR111" i="1"/>
  <c r="AR112" i="1"/>
  <c r="AR115" i="1"/>
  <c r="AR116" i="1"/>
  <c r="AR118" i="1"/>
  <c r="AR120" i="1"/>
  <c r="AR122" i="1"/>
  <c r="AR123" i="1"/>
  <c r="AR125" i="1"/>
  <c r="AR128" i="1"/>
  <c r="AR130" i="1"/>
  <c r="AR133" i="1"/>
  <c r="AR134" i="1"/>
  <c r="AR139" i="1"/>
  <c r="AR142" i="1"/>
  <c r="AR143" i="1"/>
  <c r="AR144" i="1"/>
  <c r="AR147" i="1"/>
  <c r="AR149" i="1"/>
  <c r="AR151" i="1"/>
  <c r="AR152" i="1"/>
  <c r="AR154" i="1"/>
  <c r="AR155" i="1"/>
  <c r="AR156" i="1"/>
  <c r="AR159" i="1"/>
  <c r="AR161" i="1"/>
  <c r="AR162" i="1"/>
  <c r="AR165" i="1"/>
  <c r="AR166" i="1"/>
  <c r="AR168" i="1"/>
  <c r="AR169" i="1"/>
  <c r="AR171" i="1"/>
  <c r="AR172" i="1"/>
  <c r="AR174" i="1"/>
  <c r="AR175" i="1"/>
  <c r="AR176" i="1"/>
  <c r="AR179" i="1"/>
  <c r="AR180" i="1"/>
  <c r="AR183" i="1"/>
  <c r="AR184" i="1"/>
  <c r="AR188" i="1"/>
  <c r="AR189" i="1"/>
  <c r="AR192" i="1"/>
  <c r="AR193" i="1"/>
  <c r="AR194" i="1"/>
  <c r="AW5" i="1"/>
  <c r="AX5" i="1"/>
  <c r="AW8" i="1"/>
  <c r="AT8" i="1" s="1"/>
  <c r="AX8" i="1"/>
  <c r="AW9" i="1"/>
  <c r="AX9" i="1"/>
  <c r="AH9" i="1" s="1"/>
  <c r="AW12" i="1"/>
  <c r="AD12" i="1" s="1"/>
  <c r="AX12" i="1"/>
  <c r="AV12" i="1" s="1"/>
  <c r="AW13" i="1"/>
  <c r="AL13" i="1" s="1"/>
  <c r="AX13" i="1"/>
  <c r="R13" i="1" s="1"/>
  <c r="AW16" i="1"/>
  <c r="AT16" i="1" s="1"/>
  <c r="AX16" i="1"/>
  <c r="AW17" i="1"/>
  <c r="R17" i="1" s="1"/>
  <c r="AX17" i="1"/>
  <c r="P17" i="1" s="1"/>
  <c r="AW18" i="1"/>
  <c r="X18" i="1" s="1"/>
  <c r="AX18" i="1"/>
  <c r="AW19" i="1"/>
  <c r="AV19" i="1" s="1"/>
  <c r="AX19" i="1"/>
  <c r="N19" i="1" s="1"/>
  <c r="AW20" i="1"/>
  <c r="AT20" i="1" s="1"/>
  <c r="AX20" i="1"/>
  <c r="J20" i="1" s="1"/>
  <c r="AW23" i="1"/>
  <c r="AF23" i="1" s="1"/>
  <c r="AX23" i="1"/>
  <c r="AW24" i="1"/>
  <c r="AJ24" i="1" s="1"/>
  <c r="AX24" i="1"/>
  <c r="L24" i="1" s="1"/>
  <c r="AW25" i="1"/>
  <c r="AT25" i="1" s="1"/>
  <c r="AX25" i="1"/>
  <c r="AW26" i="1"/>
  <c r="AR26" i="1" s="1"/>
  <c r="AX26" i="1"/>
  <c r="AL26" i="1" s="1"/>
  <c r="AW29" i="1"/>
  <c r="AR29" i="1" s="1"/>
  <c r="AX29" i="1"/>
  <c r="X29" i="1" s="1"/>
  <c r="AW30" i="1"/>
  <c r="AP30" i="1" s="1"/>
  <c r="AX30" i="1"/>
  <c r="AW31" i="1"/>
  <c r="P31" i="1" s="1"/>
  <c r="AX31" i="1"/>
  <c r="AW34" i="1"/>
  <c r="AR34" i="1" s="1"/>
  <c r="AX34" i="1"/>
  <c r="AW35" i="1"/>
  <c r="AJ35" i="1" s="1"/>
  <c r="AX35" i="1"/>
  <c r="AF35" i="1" s="1"/>
  <c r="AW36" i="1"/>
  <c r="AX36" i="1"/>
  <c r="AN36" i="1" s="1"/>
  <c r="AW37" i="1"/>
  <c r="R37" i="1" s="1"/>
  <c r="AX37" i="1"/>
  <c r="AW38" i="1"/>
  <c r="J38" i="1" s="1"/>
  <c r="AX38" i="1"/>
  <c r="AB38" i="1" s="1"/>
  <c r="AW41" i="1"/>
  <c r="R41" i="1" s="1"/>
  <c r="AX41" i="1"/>
  <c r="F41" i="1" s="1"/>
  <c r="AW42" i="1"/>
  <c r="X42" i="1" s="1"/>
  <c r="AX42" i="1"/>
  <c r="AP42" i="1" s="1"/>
  <c r="AW43" i="1"/>
  <c r="J43" i="1" s="1"/>
  <c r="AX43" i="1"/>
  <c r="AD43" i="1" s="1"/>
  <c r="AW44" i="1"/>
  <c r="AJ44" i="1" s="1"/>
  <c r="AX44" i="1"/>
  <c r="N44" i="1" s="1"/>
  <c r="AW47" i="1"/>
  <c r="AV47" i="1" s="1"/>
  <c r="AX47" i="1"/>
  <c r="L47" i="1" s="1"/>
  <c r="AW48" i="1"/>
  <c r="AN48" i="1" s="1"/>
  <c r="AX48" i="1"/>
  <c r="R48" i="1" s="1"/>
  <c r="AW49" i="1"/>
  <c r="Z49" i="1" s="1"/>
  <c r="AX49" i="1"/>
  <c r="X49" i="1" s="1"/>
  <c r="AW52" i="1"/>
  <c r="N52" i="1" s="1"/>
  <c r="AX52" i="1"/>
  <c r="AW53" i="1"/>
  <c r="Z53" i="1" s="1"/>
  <c r="AX53" i="1"/>
  <c r="AW54" i="1"/>
  <c r="AX54" i="1"/>
  <c r="AF54" i="1" s="1"/>
  <c r="AW55" i="1"/>
  <c r="AV55" i="1" s="1"/>
  <c r="AX55" i="1"/>
  <c r="AW56" i="1"/>
  <c r="H56" i="1" s="1"/>
  <c r="AX56" i="1"/>
  <c r="AW59" i="1"/>
  <c r="Z59" i="1" s="1"/>
  <c r="AX59" i="1"/>
  <c r="AW60" i="1"/>
  <c r="N60" i="1" s="1"/>
  <c r="AX60" i="1"/>
  <c r="AR60" i="1" s="1"/>
  <c r="AW61" i="1"/>
  <c r="AV61" i="1" s="1"/>
  <c r="AX61" i="1"/>
  <c r="X61" i="1" s="1"/>
  <c r="AW62" i="1"/>
  <c r="AF62" i="1" s="1"/>
  <c r="AX62" i="1"/>
  <c r="F62" i="1" s="1"/>
  <c r="AW65" i="1"/>
  <c r="AN65" i="1" s="1"/>
  <c r="AX65" i="1"/>
  <c r="J65" i="1" s="1"/>
  <c r="AW66" i="1"/>
  <c r="AV66" i="1" s="1"/>
  <c r="AX66" i="1"/>
  <c r="H66" i="1" s="1"/>
  <c r="AW67" i="1"/>
  <c r="AX67" i="1"/>
  <c r="H67" i="1" s="1"/>
  <c r="AW68" i="1"/>
  <c r="AL68" i="1" s="1"/>
  <c r="AX68" i="1"/>
  <c r="AW71" i="1"/>
  <c r="AH71" i="1" s="1"/>
  <c r="AX71" i="1"/>
  <c r="V71" i="1" s="1"/>
  <c r="AW72" i="1"/>
  <c r="AP72" i="1" s="1"/>
  <c r="AX72" i="1"/>
  <c r="AR72" i="1" s="1"/>
  <c r="AW73" i="1"/>
  <c r="AV73" i="1" s="1"/>
  <c r="AX73" i="1"/>
  <c r="AW74" i="1"/>
  <c r="R74" i="1" s="1"/>
  <c r="AX74" i="1"/>
  <c r="Z74" i="1" s="1"/>
  <c r="AW77" i="1"/>
  <c r="F77" i="1" s="1"/>
  <c r="AX77" i="1"/>
  <c r="X77" i="1" s="1"/>
  <c r="AW78" i="1"/>
  <c r="AN78" i="1" s="1"/>
  <c r="AX78" i="1"/>
  <c r="AF78" i="1" s="1"/>
  <c r="AW79" i="1"/>
  <c r="AV79" i="1" s="1"/>
  <c r="AX79" i="1"/>
  <c r="AW80" i="1"/>
  <c r="AP80" i="1" s="1"/>
  <c r="AX80" i="1"/>
  <c r="X80" i="1" s="1"/>
  <c r="AW83" i="1"/>
  <c r="L83" i="1" s="1"/>
  <c r="AX83" i="1"/>
  <c r="AW84" i="1"/>
  <c r="AN84" i="1" s="1"/>
  <c r="AX84" i="1"/>
  <c r="AL84" i="1" s="1"/>
  <c r="AW85" i="1"/>
  <c r="AL85" i="1" s="1"/>
  <c r="AX85" i="1"/>
  <c r="H85" i="1" s="1"/>
  <c r="AW86" i="1"/>
  <c r="AP86" i="1" s="1"/>
  <c r="AX86" i="1"/>
  <c r="AW87" i="1"/>
  <c r="AX87" i="1"/>
  <c r="AP87" i="1" s="1"/>
  <c r="AW88" i="1"/>
  <c r="AN88" i="1" s="1"/>
  <c r="AX88" i="1"/>
  <c r="AH88" i="1" s="1"/>
  <c r="AW91" i="1"/>
  <c r="AP91" i="1" s="1"/>
  <c r="AX91" i="1"/>
  <c r="AN91" i="1" s="1"/>
  <c r="AW92" i="1"/>
  <c r="AR92" i="1" s="1"/>
  <c r="AX92" i="1"/>
  <c r="AW93" i="1"/>
  <c r="AP93" i="1" s="1"/>
  <c r="AX93" i="1"/>
  <c r="AF93" i="1" s="1"/>
  <c r="AW94" i="1"/>
  <c r="AH94" i="1" s="1"/>
  <c r="AX94" i="1"/>
  <c r="V94" i="1" s="1"/>
  <c r="AW95" i="1"/>
  <c r="AN95" i="1" s="1"/>
  <c r="AX95" i="1"/>
  <c r="AW96" i="1"/>
  <c r="AN96" i="1" s="1"/>
  <c r="AX96" i="1"/>
  <c r="AJ96" i="1" s="1"/>
  <c r="AW99" i="1"/>
  <c r="J99" i="1" s="1"/>
  <c r="AX99" i="1"/>
  <c r="AW100" i="1"/>
  <c r="N100" i="1" s="1"/>
  <c r="AX100" i="1"/>
  <c r="R100" i="1" s="1"/>
  <c r="AW101" i="1"/>
  <c r="R101" i="1" s="1"/>
  <c r="AX101" i="1"/>
  <c r="F101" i="1" s="1"/>
  <c r="AW102" i="1"/>
  <c r="V102" i="1" s="1"/>
  <c r="AX102" i="1"/>
  <c r="AD102" i="1" s="1"/>
  <c r="AW103" i="1"/>
  <c r="Z103" i="1" s="1"/>
  <c r="AX103" i="1"/>
  <c r="X103" i="1" s="1"/>
  <c r="AW104" i="1"/>
  <c r="AD104" i="1" s="1"/>
  <c r="AX104" i="1"/>
  <c r="AT104" i="1" s="1"/>
  <c r="AW107" i="1"/>
  <c r="AH107" i="1" s="1"/>
  <c r="AX107" i="1"/>
  <c r="J107" i="1" s="1"/>
  <c r="AW108" i="1"/>
  <c r="AL108" i="1" s="1"/>
  <c r="AX108" i="1"/>
  <c r="V108" i="1" s="1"/>
  <c r="AW109" i="1"/>
  <c r="AN109" i="1" s="1"/>
  <c r="AX109" i="1"/>
  <c r="AJ109" i="1" s="1"/>
  <c r="AW110" i="1"/>
  <c r="AD110" i="1" s="1"/>
  <c r="AX110" i="1"/>
  <c r="Z110" i="1" s="1"/>
  <c r="AW115" i="1"/>
  <c r="AX115" i="1"/>
  <c r="AW118" i="1"/>
  <c r="V118" i="1" s="1"/>
  <c r="AX118" i="1"/>
  <c r="AW119" i="1"/>
  <c r="AD119" i="1" s="1"/>
  <c r="AX119" i="1"/>
  <c r="AT119" i="1" s="1"/>
  <c r="AW122" i="1"/>
  <c r="AX122" i="1"/>
  <c r="AW123" i="1"/>
  <c r="N123" i="1" s="1"/>
  <c r="AX123" i="1"/>
  <c r="AW124" i="1"/>
  <c r="AR124" i="1" s="1"/>
  <c r="AX124" i="1"/>
  <c r="AT124" i="1" s="1"/>
  <c r="AW127" i="1"/>
  <c r="J127" i="1" s="1"/>
  <c r="AX127" i="1"/>
  <c r="T127" i="1" s="1"/>
  <c r="AW128" i="1"/>
  <c r="AV128" i="1" s="1"/>
  <c r="AX128" i="1"/>
  <c r="AL128" i="1" s="1"/>
  <c r="AW129" i="1"/>
  <c r="AP129" i="1" s="1"/>
  <c r="AX129" i="1"/>
  <c r="AW132" i="1"/>
  <c r="AP132" i="1" s="1"/>
  <c r="AX132" i="1"/>
  <c r="AW133" i="1"/>
  <c r="P133" i="1" s="1"/>
  <c r="AX133" i="1"/>
  <c r="AW136" i="1"/>
  <c r="T136" i="1" s="1"/>
  <c r="AX136" i="1"/>
  <c r="AJ136" i="1" s="1"/>
  <c r="AW137" i="1"/>
  <c r="H137" i="1" s="1"/>
  <c r="AX137" i="1"/>
  <c r="AL137" i="1" s="1"/>
  <c r="AW138" i="1"/>
  <c r="AT138" i="1" s="1"/>
  <c r="AX138" i="1"/>
  <c r="AF138" i="1" s="1"/>
  <c r="AW141" i="1"/>
  <c r="Z141" i="1" s="1"/>
  <c r="AX141" i="1"/>
  <c r="AW142" i="1"/>
  <c r="R142" i="1" s="1"/>
  <c r="AX142" i="1"/>
  <c r="AW147" i="1"/>
  <c r="AX147" i="1"/>
  <c r="AW148" i="1"/>
  <c r="AH148" i="1" s="1"/>
  <c r="AX148" i="1"/>
  <c r="AR148" i="1" s="1"/>
  <c r="AW151" i="1"/>
  <c r="AN151" i="1" s="1"/>
  <c r="AX151" i="1"/>
  <c r="AW154" i="1"/>
  <c r="AP154" i="1" s="1"/>
  <c r="AX154" i="1"/>
  <c r="X154" i="1" s="1"/>
  <c r="AW155" i="1"/>
  <c r="AX155" i="1"/>
  <c r="AW158" i="1"/>
  <c r="V158" i="1" s="1"/>
  <c r="AX158" i="1"/>
  <c r="AD158" i="1" s="1"/>
  <c r="AW159" i="1"/>
  <c r="AX159" i="1"/>
  <c r="AW160" i="1"/>
  <c r="AR160" i="1" s="1"/>
  <c r="AX160" i="1"/>
  <c r="F160" i="1" s="1"/>
  <c r="AW165" i="1"/>
  <c r="X165" i="1" s="1"/>
  <c r="AX165" i="1"/>
  <c r="P165" i="1" s="1"/>
  <c r="AW168" i="1"/>
  <c r="AX168" i="1"/>
  <c r="AW171" i="1"/>
  <c r="AP171" i="1" s="1"/>
  <c r="AX171" i="1"/>
  <c r="R171" i="1" s="1"/>
  <c r="AW174" i="1"/>
  <c r="AP174" i="1" s="1"/>
  <c r="AX174" i="1"/>
  <c r="F174" i="1" s="1"/>
  <c r="AW179" i="1"/>
  <c r="AX179" i="1"/>
  <c r="AW182" i="1"/>
  <c r="Z182" i="1" s="1"/>
  <c r="AX182" i="1"/>
  <c r="AW187" i="1"/>
  <c r="AV187" i="1" s="1"/>
  <c r="AX187" i="1"/>
  <c r="AW192" i="1"/>
  <c r="AH192" i="1" s="1"/>
  <c r="AX192" i="1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AQ3" i="2"/>
  <c r="AP1" i="2"/>
  <c r="AF1" i="2"/>
  <c r="Z1" i="2"/>
  <c r="D1" i="2"/>
  <c r="F12" i="1"/>
  <c r="F13" i="1"/>
  <c r="F16" i="1"/>
  <c r="F17" i="1"/>
  <c r="F20" i="1"/>
  <c r="F30" i="1"/>
  <c r="F31" i="1"/>
  <c r="F34" i="1"/>
  <c r="F35" i="1"/>
  <c r="F36" i="1"/>
  <c r="F38" i="1"/>
  <c r="F49" i="1"/>
  <c r="F54" i="1"/>
  <c r="F59" i="1"/>
  <c r="F60" i="1"/>
  <c r="F61" i="1"/>
  <c r="F72" i="1"/>
  <c r="F74" i="1"/>
  <c r="F78" i="1"/>
  <c r="F80" i="1"/>
  <c r="F84" i="1"/>
  <c r="F93" i="1"/>
  <c r="F94" i="1"/>
  <c r="F109" i="1"/>
  <c r="F115" i="1"/>
  <c r="F118" i="1"/>
  <c r="F122" i="1"/>
  <c r="F124" i="1"/>
  <c r="F127" i="1"/>
  <c r="F128" i="1"/>
  <c r="F141" i="1"/>
  <c r="F147" i="1"/>
  <c r="F151" i="1"/>
  <c r="F154" i="1"/>
  <c r="F155" i="1"/>
  <c r="F158" i="1"/>
  <c r="F159" i="1"/>
  <c r="F168" i="1"/>
  <c r="F179" i="1"/>
  <c r="AM16" i="2"/>
  <c r="AK16" i="2"/>
  <c r="AI16" i="2"/>
  <c r="AG16" i="2"/>
  <c r="AE16" i="2"/>
  <c r="AC16" i="2"/>
  <c r="AA16" i="2"/>
  <c r="Y16" i="2"/>
  <c r="W16" i="2"/>
  <c r="U16" i="2"/>
  <c r="S16" i="2"/>
  <c r="Q16" i="2"/>
  <c r="O16" i="2"/>
  <c r="M16" i="2"/>
  <c r="K16" i="2"/>
  <c r="I16" i="2"/>
  <c r="G16" i="2"/>
  <c r="E16" i="2"/>
  <c r="AM15" i="2"/>
  <c r="AK15" i="2"/>
  <c r="AI15" i="2"/>
  <c r="AG15" i="2"/>
  <c r="AE15" i="2"/>
  <c r="AC15" i="2"/>
  <c r="AA15" i="2"/>
  <c r="Y15" i="2"/>
  <c r="W15" i="2"/>
  <c r="U15" i="2"/>
  <c r="S15" i="2"/>
  <c r="Q15" i="2"/>
  <c r="O15" i="2"/>
  <c r="M15" i="2"/>
  <c r="K15" i="2"/>
  <c r="I15" i="2"/>
  <c r="G15" i="2"/>
  <c r="E15" i="2"/>
  <c r="AM14" i="2"/>
  <c r="AK14" i="2"/>
  <c r="AI14" i="2"/>
  <c r="AG14" i="2"/>
  <c r="AE14" i="2"/>
  <c r="AC14" i="2"/>
  <c r="AA14" i="2"/>
  <c r="Y14" i="2"/>
  <c r="W14" i="2"/>
  <c r="U14" i="2"/>
  <c r="S14" i="2"/>
  <c r="Q14" i="2"/>
  <c r="O14" i="2"/>
  <c r="M14" i="2"/>
  <c r="K14" i="2"/>
  <c r="I14" i="2"/>
  <c r="G14" i="2"/>
  <c r="E14" i="2"/>
  <c r="AM13" i="2"/>
  <c r="AK13" i="2"/>
  <c r="AI13" i="2"/>
  <c r="AG13" i="2"/>
  <c r="AE13" i="2"/>
  <c r="AC13" i="2"/>
  <c r="AA13" i="2"/>
  <c r="Y13" i="2"/>
  <c r="W13" i="2"/>
  <c r="U13" i="2"/>
  <c r="S13" i="2"/>
  <c r="Q13" i="2"/>
  <c r="O13" i="2"/>
  <c r="M13" i="2"/>
  <c r="K13" i="2"/>
  <c r="I13" i="2"/>
  <c r="G13" i="2"/>
  <c r="E13" i="2"/>
  <c r="AM12" i="2"/>
  <c r="AK12" i="2"/>
  <c r="AI12" i="2"/>
  <c r="AG12" i="2"/>
  <c r="AE12" i="2"/>
  <c r="AC12" i="2"/>
  <c r="AA12" i="2"/>
  <c r="Y12" i="2"/>
  <c r="W12" i="2"/>
  <c r="U12" i="2"/>
  <c r="S12" i="2"/>
  <c r="Q12" i="2"/>
  <c r="O12" i="2"/>
  <c r="M12" i="2"/>
  <c r="K12" i="2"/>
  <c r="I12" i="2"/>
  <c r="G12" i="2"/>
  <c r="E12" i="2"/>
  <c r="AM11" i="2"/>
  <c r="AK11" i="2"/>
  <c r="AI11" i="2"/>
  <c r="AG11" i="2"/>
  <c r="AE11" i="2"/>
  <c r="AC11" i="2"/>
  <c r="AA11" i="2"/>
  <c r="Y11" i="2"/>
  <c r="W11" i="2"/>
  <c r="U11" i="2"/>
  <c r="S11" i="2"/>
  <c r="Q11" i="2"/>
  <c r="O11" i="2"/>
  <c r="M11" i="2"/>
  <c r="K11" i="2"/>
  <c r="I11" i="2"/>
  <c r="G11" i="2"/>
  <c r="E11" i="2"/>
  <c r="AM10" i="2"/>
  <c r="AK10" i="2"/>
  <c r="AI10" i="2"/>
  <c r="AG10" i="2"/>
  <c r="AE10" i="2"/>
  <c r="AC10" i="2"/>
  <c r="AA10" i="2"/>
  <c r="Y10" i="2"/>
  <c r="W10" i="2"/>
  <c r="U10" i="2"/>
  <c r="S10" i="2"/>
  <c r="Q10" i="2"/>
  <c r="O10" i="2"/>
  <c r="M10" i="2"/>
  <c r="K10" i="2"/>
  <c r="I10" i="2"/>
  <c r="G10" i="2"/>
  <c r="E10" i="2"/>
  <c r="AM9" i="2"/>
  <c r="AK9" i="2"/>
  <c r="AI9" i="2"/>
  <c r="AG9" i="2"/>
  <c r="AE9" i="2"/>
  <c r="AC9" i="2"/>
  <c r="AA9" i="2"/>
  <c r="Y9" i="2"/>
  <c r="W9" i="2"/>
  <c r="U9" i="2"/>
  <c r="S9" i="2"/>
  <c r="Q9" i="2"/>
  <c r="O9" i="2"/>
  <c r="M9" i="2"/>
  <c r="K9" i="2"/>
  <c r="I9" i="2"/>
  <c r="G9" i="2"/>
  <c r="E9" i="2"/>
  <c r="AM8" i="2"/>
  <c r="AK8" i="2"/>
  <c r="AI8" i="2"/>
  <c r="AG8" i="2"/>
  <c r="AE8" i="2"/>
  <c r="AC8" i="2"/>
  <c r="AA8" i="2"/>
  <c r="Y8" i="2"/>
  <c r="W8" i="2"/>
  <c r="U8" i="2"/>
  <c r="S8" i="2"/>
  <c r="Q8" i="2"/>
  <c r="O8" i="2"/>
  <c r="M8" i="2"/>
  <c r="K8" i="2"/>
  <c r="I8" i="2"/>
  <c r="G8" i="2"/>
  <c r="E8" i="2"/>
  <c r="AM7" i="2"/>
  <c r="AK7" i="2"/>
  <c r="AI7" i="2"/>
  <c r="AG7" i="2"/>
  <c r="AE7" i="2"/>
  <c r="AC7" i="2"/>
  <c r="AA7" i="2"/>
  <c r="Y7" i="2"/>
  <c r="W7" i="2"/>
  <c r="U7" i="2"/>
  <c r="S7" i="2"/>
  <c r="Q7" i="2"/>
  <c r="O7" i="2"/>
  <c r="M7" i="2"/>
  <c r="K7" i="2"/>
  <c r="I7" i="2"/>
  <c r="G7" i="2"/>
  <c r="E7" i="2"/>
  <c r="AM6" i="2"/>
  <c r="AK6" i="2"/>
  <c r="AI6" i="2"/>
  <c r="AG6" i="2"/>
  <c r="AE6" i="2"/>
  <c r="AC6" i="2"/>
  <c r="AA6" i="2"/>
  <c r="Y6" i="2"/>
  <c r="W6" i="2"/>
  <c r="U6" i="2"/>
  <c r="S6" i="2"/>
  <c r="Q6" i="2"/>
  <c r="O6" i="2"/>
  <c r="M6" i="2"/>
  <c r="K6" i="2"/>
  <c r="I6" i="2"/>
  <c r="G6" i="2"/>
  <c r="E6" i="2"/>
  <c r="AM5" i="2"/>
  <c r="AK5" i="2"/>
  <c r="AI5" i="2"/>
  <c r="AG5" i="2"/>
  <c r="AE5" i="2"/>
  <c r="AC5" i="2"/>
  <c r="AA5" i="2"/>
  <c r="Y5" i="2"/>
  <c r="W5" i="2"/>
  <c r="U5" i="2"/>
  <c r="S5" i="2"/>
  <c r="Q5" i="2"/>
  <c r="O5" i="2"/>
  <c r="M5" i="2"/>
  <c r="K5" i="2"/>
  <c r="I5" i="2"/>
  <c r="G5" i="2"/>
  <c r="E5" i="2"/>
  <c r="AM4" i="2"/>
  <c r="AK4" i="2"/>
  <c r="AI4" i="2"/>
  <c r="AG4" i="2"/>
  <c r="AE4" i="2"/>
  <c r="AC4" i="2"/>
  <c r="AA4" i="2"/>
  <c r="Y4" i="2"/>
  <c r="W4" i="2"/>
  <c r="U4" i="2"/>
  <c r="S4" i="2"/>
  <c r="Q4" i="2"/>
  <c r="O4" i="2"/>
  <c r="M4" i="2"/>
  <c r="K4" i="2"/>
  <c r="I4" i="2"/>
  <c r="G4" i="2"/>
  <c r="E4" i="2"/>
  <c r="AM3" i="2"/>
  <c r="AK3" i="2"/>
  <c r="AI3" i="2"/>
  <c r="AG3" i="2"/>
  <c r="AE3" i="2"/>
  <c r="AC3" i="2"/>
  <c r="AA3" i="2"/>
  <c r="Y3" i="2"/>
  <c r="W3" i="2"/>
  <c r="U3" i="2"/>
  <c r="S3" i="2"/>
  <c r="Q3" i="2"/>
  <c r="O3" i="2"/>
  <c r="M3" i="2"/>
  <c r="K3" i="2"/>
  <c r="I3" i="2"/>
  <c r="G3" i="2"/>
  <c r="E3" i="2"/>
  <c r="AN1" i="2"/>
  <c r="AH1" i="2"/>
  <c r="AD1" i="2"/>
  <c r="AB1" i="2"/>
  <c r="X1" i="2"/>
  <c r="V1" i="2"/>
  <c r="T1" i="2"/>
  <c r="R1" i="2"/>
  <c r="P1" i="2"/>
  <c r="N1" i="2"/>
  <c r="L1" i="2"/>
  <c r="J1" i="2"/>
  <c r="H1" i="2"/>
  <c r="F1" i="2"/>
  <c r="AP192" i="1"/>
  <c r="AN192" i="1"/>
  <c r="AL192" i="1"/>
  <c r="AJ192" i="1"/>
  <c r="AB192" i="1"/>
  <c r="Z192" i="1"/>
  <c r="R192" i="1"/>
  <c r="H192" i="1"/>
  <c r="AP187" i="1"/>
  <c r="AN187" i="1"/>
  <c r="AL187" i="1"/>
  <c r="AJ187" i="1"/>
  <c r="AH187" i="1"/>
  <c r="AF187" i="1"/>
  <c r="AB187" i="1"/>
  <c r="X187" i="1"/>
  <c r="V187" i="1"/>
  <c r="N187" i="1"/>
  <c r="AP179" i="1"/>
  <c r="AN179" i="1"/>
  <c r="AL179" i="1"/>
  <c r="AJ179" i="1"/>
  <c r="AH179" i="1"/>
  <c r="AF179" i="1"/>
  <c r="AD179" i="1"/>
  <c r="AB179" i="1"/>
  <c r="Z179" i="1"/>
  <c r="X179" i="1"/>
  <c r="V179" i="1"/>
  <c r="T179" i="1"/>
  <c r="R179" i="1"/>
  <c r="P179" i="1"/>
  <c r="N179" i="1"/>
  <c r="L179" i="1"/>
  <c r="J179" i="1"/>
  <c r="H179" i="1"/>
  <c r="AH174" i="1"/>
  <c r="AF174" i="1"/>
  <c r="AD174" i="1"/>
  <c r="V174" i="1"/>
  <c r="T174" i="1"/>
  <c r="R174" i="1"/>
  <c r="P174" i="1"/>
  <c r="N174" i="1"/>
  <c r="L174" i="1"/>
  <c r="J174" i="1"/>
  <c r="H174" i="1"/>
  <c r="P171" i="1"/>
  <c r="N171" i="1"/>
  <c r="L171" i="1"/>
  <c r="J171" i="1"/>
  <c r="H171" i="1"/>
  <c r="AP168" i="1"/>
  <c r="AN168" i="1"/>
  <c r="AL168" i="1"/>
  <c r="AJ168" i="1"/>
  <c r="AH168" i="1"/>
  <c r="AF168" i="1"/>
  <c r="AD168" i="1"/>
  <c r="AB168" i="1"/>
  <c r="Z168" i="1"/>
  <c r="X168" i="1"/>
  <c r="V168" i="1"/>
  <c r="T168" i="1"/>
  <c r="R168" i="1"/>
  <c r="P168" i="1"/>
  <c r="N168" i="1"/>
  <c r="L168" i="1"/>
  <c r="J168" i="1"/>
  <c r="H168" i="1"/>
  <c r="AP165" i="1"/>
  <c r="AN165" i="1"/>
  <c r="AL165" i="1"/>
  <c r="AJ165" i="1"/>
  <c r="AH165" i="1"/>
  <c r="AF165" i="1"/>
  <c r="AD165" i="1"/>
  <c r="AB165" i="1"/>
  <c r="Z165" i="1"/>
  <c r="V165" i="1"/>
  <c r="T165" i="1"/>
  <c r="L165" i="1"/>
  <c r="J165" i="1"/>
  <c r="H165" i="1"/>
  <c r="AP160" i="1"/>
  <c r="AD160" i="1"/>
  <c r="Z160" i="1"/>
  <c r="AP159" i="1"/>
  <c r="AN159" i="1"/>
  <c r="AL159" i="1"/>
  <c r="AJ159" i="1"/>
  <c r="AH159" i="1"/>
  <c r="AF159" i="1"/>
  <c r="AD159" i="1"/>
  <c r="AB159" i="1"/>
  <c r="Z159" i="1"/>
  <c r="X159" i="1"/>
  <c r="V159" i="1"/>
  <c r="T159" i="1"/>
  <c r="R159" i="1"/>
  <c r="P159" i="1"/>
  <c r="N159" i="1"/>
  <c r="L159" i="1"/>
  <c r="J159" i="1"/>
  <c r="H159" i="1"/>
  <c r="AB158" i="1"/>
  <c r="Z158" i="1"/>
  <c r="X158" i="1"/>
  <c r="AP155" i="1"/>
  <c r="AN155" i="1"/>
  <c r="AL155" i="1"/>
  <c r="AJ155" i="1"/>
  <c r="AH155" i="1"/>
  <c r="AF155" i="1"/>
  <c r="AD155" i="1"/>
  <c r="AB155" i="1"/>
  <c r="Z155" i="1"/>
  <c r="X155" i="1"/>
  <c r="V155" i="1"/>
  <c r="T155" i="1"/>
  <c r="R155" i="1"/>
  <c r="P155" i="1"/>
  <c r="N155" i="1"/>
  <c r="L155" i="1"/>
  <c r="J155" i="1"/>
  <c r="H155" i="1"/>
  <c r="L154" i="1"/>
  <c r="J154" i="1"/>
  <c r="H154" i="1"/>
  <c r="AP151" i="1"/>
  <c r="AP148" i="1"/>
  <c r="Z148" i="1"/>
  <c r="X148" i="1"/>
  <c r="L148" i="1"/>
  <c r="AP147" i="1"/>
  <c r="AN147" i="1"/>
  <c r="AL147" i="1"/>
  <c r="AJ147" i="1"/>
  <c r="AH147" i="1"/>
  <c r="AF147" i="1"/>
  <c r="AD147" i="1"/>
  <c r="AB147" i="1"/>
  <c r="Z147" i="1"/>
  <c r="X147" i="1"/>
  <c r="V147" i="1"/>
  <c r="T147" i="1"/>
  <c r="R147" i="1"/>
  <c r="P147" i="1"/>
  <c r="N147" i="1"/>
  <c r="L147" i="1"/>
  <c r="J147" i="1"/>
  <c r="H147" i="1"/>
  <c r="AD142" i="1"/>
  <c r="AB142" i="1"/>
  <c r="Z142" i="1"/>
  <c r="X142" i="1"/>
  <c r="V142" i="1"/>
  <c r="T142" i="1"/>
  <c r="AN141" i="1"/>
  <c r="AL141" i="1"/>
  <c r="AF141" i="1"/>
  <c r="AD141" i="1"/>
  <c r="AB141" i="1"/>
  <c r="X141" i="1"/>
  <c r="R141" i="1"/>
  <c r="N141" i="1"/>
  <c r="L141" i="1"/>
  <c r="H141" i="1"/>
  <c r="AD138" i="1"/>
  <c r="AB138" i="1"/>
  <c r="Z138" i="1"/>
  <c r="X138" i="1"/>
  <c r="V138" i="1"/>
  <c r="P138" i="1"/>
  <c r="AJ137" i="1"/>
  <c r="AH137" i="1"/>
  <c r="V137" i="1"/>
  <c r="T137" i="1"/>
  <c r="P137" i="1"/>
  <c r="N137" i="1"/>
  <c r="L137" i="1"/>
  <c r="J137" i="1"/>
  <c r="AH136" i="1"/>
  <c r="AF136" i="1"/>
  <c r="AD136" i="1"/>
  <c r="AB136" i="1"/>
  <c r="Z136" i="1"/>
  <c r="X136" i="1"/>
  <c r="V136" i="1"/>
  <c r="AP133" i="1"/>
  <c r="AN133" i="1"/>
  <c r="AL133" i="1"/>
  <c r="AJ133" i="1"/>
  <c r="AH133" i="1"/>
  <c r="AF133" i="1"/>
  <c r="AD133" i="1"/>
  <c r="AB133" i="1"/>
  <c r="Z133" i="1"/>
  <c r="X133" i="1"/>
  <c r="V133" i="1"/>
  <c r="T133" i="1"/>
  <c r="R133" i="1"/>
  <c r="AD132" i="1"/>
  <c r="AB132" i="1"/>
  <c r="V132" i="1"/>
  <c r="P132" i="1"/>
  <c r="N132" i="1"/>
  <c r="AP128" i="1"/>
  <c r="AN128" i="1"/>
  <c r="AF128" i="1"/>
  <c r="AD128" i="1"/>
  <c r="AB128" i="1"/>
  <c r="Z128" i="1"/>
  <c r="V128" i="1"/>
  <c r="T128" i="1"/>
  <c r="R128" i="1"/>
  <c r="P128" i="1"/>
  <c r="N128" i="1"/>
  <c r="L128" i="1"/>
  <c r="J128" i="1"/>
  <c r="H128" i="1"/>
  <c r="R127" i="1"/>
  <c r="P127" i="1"/>
  <c r="N127" i="1"/>
  <c r="L127" i="1"/>
  <c r="L124" i="1"/>
  <c r="J124" i="1"/>
  <c r="H124" i="1"/>
  <c r="AP123" i="1"/>
  <c r="AH123" i="1"/>
  <c r="AF123" i="1"/>
  <c r="AD123" i="1"/>
  <c r="AB123" i="1"/>
  <c r="R123" i="1"/>
  <c r="P123" i="1"/>
  <c r="AP122" i="1"/>
  <c r="AN122" i="1"/>
  <c r="AL122" i="1"/>
  <c r="AJ122" i="1"/>
  <c r="AH122" i="1"/>
  <c r="AF122" i="1"/>
  <c r="AD122" i="1"/>
  <c r="AB122" i="1"/>
  <c r="Z122" i="1"/>
  <c r="X122" i="1"/>
  <c r="V122" i="1"/>
  <c r="T122" i="1"/>
  <c r="R122" i="1"/>
  <c r="P122" i="1"/>
  <c r="N122" i="1"/>
  <c r="L122" i="1"/>
  <c r="J122" i="1"/>
  <c r="H122" i="1"/>
  <c r="AP119" i="1"/>
  <c r="AN119" i="1"/>
  <c r="AL119" i="1"/>
  <c r="AJ119" i="1"/>
  <c r="AH119" i="1"/>
  <c r="AF119" i="1"/>
  <c r="AP118" i="1"/>
  <c r="AN118" i="1"/>
  <c r="AL118" i="1"/>
  <c r="AJ118" i="1"/>
  <c r="AH118" i="1"/>
  <c r="AF118" i="1"/>
  <c r="AD118" i="1"/>
  <c r="AB118" i="1"/>
  <c r="Z118" i="1"/>
  <c r="X118" i="1"/>
  <c r="P118" i="1"/>
  <c r="N118" i="1"/>
  <c r="L118" i="1"/>
  <c r="J118" i="1"/>
  <c r="H118" i="1"/>
  <c r="AP115" i="1"/>
  <c r="AN115" i="1"/>
  <c r="AL115" i="1"/>
  <c r="AJ115" i="1"/>
  <c r="AH115" i="1"/>
  <c r="AF115" i="1"/>
  <c r="AD115" i="1"/>
  <c r="AB115" i="1"/>
  <c r="Z115" i="1"/>
  <c r="X115" i="1"/>
  <c r="V115" i="1"/>
  <c r="T115" i="1"/>
  <c r="R115" i="1"/>
  <c r="P115" i="1"/>
  <c r="N115" i="1"/>
  <c r="L115" i="1"/>
  <c r="J115" i="1"/>
  <c r="H115" i="1"/>
  <c r="R110" i="1"/>
  <c r="P110" i="1"/>
  <c r="N110" i="1"/>
  <c r="L110" i="1"/>
  <c r="J110" i="1"/>
  <c r="H110" i="1"/>
  <c r="AP109" i="1"/>
  <c r="AH109" i="1"/>
  <c r="Z109" i="1"/>
  <c r="X109" i="1"/>
  <c r="V109" i="1"/>
  <c r="T109" i="1"/>
  <c r="J109" i="1"/>
  <c r="H109" i="1"/>
  <c r="AP108" i="1"/>
  <c r="AN108" i="1"/>
  <c r="T108" i="1"/>
  <c r="R108" i="1"/>
  <c r="P108" i="1"/>
  <c r="N108" i="1"/>
  <c r="AP107" i="1"/>
  <c r="AN107" i="1"/>
  <c r="AL107" i="1"/>
  <c r="AJ107" i="1"/>
  <c r="AN104" i="1"/>
  <c r="AL104" i="1"/>
  <c r="AJ104" i="1"/>
  <c r="AH104" i="1"/>
  <c r="AF104" i="1"/>
  <c r="AN103" i="1"/>
  <c r="AL103" i="1"/>
  <c r="AF103" i="1"/>
  <c r="AB103" i="1"/>
  <c r="P103" i="1"/>
  <c r="H103" i="1"/>
  <c r="AB102" i="1"/>
  <c r="Z102" i="1"/>
  <c r="X102" i="1"/>
  <c r="V101" i="1"/>
  <c r="T101" i="1"/>
  <c r="P100" i="1"/>
  <c r="L99" i="1"/>
  <c r="P96" i="1"/>
  <c r="N96" i="1"/>
  <c r="L96" i="1"/>
  <c r="J96" i="1"/>
  <c r="X95" i="1"/>
  <c r="V95" i="1"/>
  <c r="H95" i="1"/>
  <c r="AL94" i="1"/>
  <c r="AJ94" i="1"/>
  <c r="AF94" i="1"/>
  <c r="AD94" i="1"/>
  <c r="Z94" i="1"/>
  <c r="T94" i="1"/>
  <c r="R94" i="1"/>
  <c r="P94" i="1"/>
  <c r="N94" i="1"/>
  <c r="L94" i="1"/>
  <c r="H94" i="1"/>
  <c r="AL93" i="1"/>
  <c r="AD93" i="1"/>
  <c r="X93" i="1"/>
  <c r="V93" i="1"/>
  <c r="P93" i="1"/>
  <c r="AL91" i="1"/>
  <c r="AP88" i="1"/>
  <c r="AF88" i="1"/>
  <c r="AD88" i="1"/>
  <c r="AB88" i="1"/>
  <c r="T88" i="1"/>
  <c r="R88" i="1"/>
  <c r="J88" i="1"/>
  <c r="H88" i="1"/>
  <c r="AJ87" i="1"/>
  <c r="AH87" i="1"/>
  <c r="AF87" i="1"/>
  <c r="AB87" i="1"/>
  <c r="Z87" i="1"/>
  <c r="X87" i="1"/>
  <c r="V87" i="1"/>
  <c r="T87" i="1"/>
  <c r="R87" i="1"/>
  <c r="P87" i="1"/>
  <c r="N87" i="1"/>
  <c r="L87" i="1"/>
  <c r="J87" i="1"/>
  <c r="H87" i="1"/>
  <c r="AP85" i="1"/>
  <c r="AN85" i="1"/>
  <c r="AP84" i="1"/>
  <c r="AJ84" i="1"/>
  <c r="AH84" i="1"/>
  <c r="AF84" i="1"/>
  <c r="AD84" i="1"/>
  <c r="AB84" i="1"/>
  <c r="T84" i="1"/>
  <c r="R84" i="1"/>
  <c r="L84" i="1"/>
  <c r="J84" i="1"/>
  <c r="H84" i="1"/>
  <c r="AN83" i="1"/>
  <c r="AD83" i="1"/>
  <c r="AB83" i="1"/>
  <c r="Z83" i="1"/>
  <c r="X83" i="1"/>
  <c r="V83" i="1"/>
  <c r="T83" i="1"/>
  <c r="R83" i="1"/>
  <c r="P83" i="1"/>
  <c r="N83" i="1"/>
  <c r="V80" i="1"/>
  <c r="T80" i="1"/>
  <c r="R80" i="1"/>
  <c r="P80" i="1"/>
  <c r="N80" i="1"/>
  <c r="L80" i="1"/>
  <c r="H80" i="1"/>
  <c r="AP78" i="1"/>
  <c r="AP77" i="1"/>
  <c r="AN77" i="1"/>
  <c r="AL77" i="1"/>
  <c r="AJ77" i="1"/>
  <c r="P77" i="1"/>
  <c r="N77" i="1"/>
  <c r="H77" i="1"/>
  <c r="AP74" i="1"/>
  <c r="AN74" i="1"/>
  <c r="AL74" i="1"/>
  <c r="AJ74" i="1"/>
  <c r="AH74" i="1"/>
  <c r="AF74" i="1"/>
  <c r="AD74" i="1"/>
  <c r="AB74" i="1"/>
  <c r="X74" i="1"/>
  <c r="V74" i="1"/>
  <c r="T74" i="1"/>
  <c r="AP73" i="1"/>
  <c r="AN73" i="1"/>
  <c r="AL73" i="1"/>
  <c r="AD73" i="1"/>
  <c r="AB73" i="1"/>
  <c r="J73" i="1"/>
  <c r="H73" i="1"/>
  <c r="Z72" i="1"/>
  <c r="X72" i="1"/>
  <c r="V72" i="1"/>
  <c r="T72" i="1"/>
  <c r="R72" i="1"/>
  <c r="P72" i="1"/>
  <c r="N72" i="1"/>
  <c r="L72" i="1"/>
  <c r="J72" i="1"/>
  <c r="H72" i="1"/>
  <c r="T71" i="1"/>
  <c r="R71" i="1"/>
  <c r="P71" i="1"/>
  <c r="N71" i="1"/>
  <c r="L71" i="1"/>
  <c r="J71" i="1"/>
  <c r="H71" i="1"/>
  <c r="AP68" i="1"/>
  <c r="AN68" i="1"/>
  <c r="P68" i="1"/>
  <c r="N68" i="1"/>
  <c r="L68" i="1"/>
  <c r="AP65" i="1"/>
  <c r="H65" i="1"/>
  <c r="AP62" i="1"/>
  <c r="AN62" i="1"/>
  <c r="AL62" i="1"/>
  <c r="AJ62" i="1"/>
  <c r="AH62" i="1"/>
  <c r="AB62" i="1"/>
  <c r="Z62" i="1"/>
  <c r="P62" i="1"/>
  <c r="N62" i="1"/>
  <c r="L62" i="1"/>
  <c r="J62" i="1"/>
  <c r="AJ61" i="1"/>
  <c r="AH61" i="1"/>
  <c r="AF61" i="1"/>
  <c r="AD61" i="1"/>
  <c r="AB61" i="1"/>
  <c r="AP60" i="1"/>
  <c r="AN60" i="1"/>
  <c r="AL60" i="1"/>
  <c r="AJ60" i="1"/>
  <c r="AH60" i="1"/>
  <c r="AD60" i="1"/>
  <c r="AB60" i="1"/>
  <c r="Z60" i="1"/>
  <c r="X60" i="1"/>
  <c r="V60" i="1"/>
  <c r="T60" i="1"/>
  <c r="R60" i="1"/>
  <c r="P60" i="1"/>
  <c r="J60" i="1"/>
  <c r="H60" i="1"/>
  <c r="AN59" i="1"/>
  <c r="AD59" i="1"/>
  <c r="AB59" i="1"/>
  <c r="X59" i="1"/>
  <c r="V59" i="1"/>
  <c r="P59" i="1"/>
  <c r="N59" i="1"/>
  <c r="J59" i="1"/>
  <c r="H59" i="1"/>
  <c r="AP56" i="1"/>
  <c r="AN56" i="1"/>
  <c r="AF56" i="1"/>
  <c r="AB56" i="1"/>
  <c r="R56" i="1"/>
  <c r="P56" i="1"/>
  <c r="N56" i="1"/>
  <c r="L56" i="1"/>
  <c r="J56" i="1"/>
  <c r="AP55" i="1"/>
  <c r="AN55" i="1"/>
  <c r="AL55" i="1"/>
  <c r="AJ55" i="1"/>
  <c r="AH55" i="1"/>
  <c r="AF55" i="1"/>
  <c r="AD55" i="1"/>
  <c r="AB55" i="1"/>
  <c r="V55" i="1"/>
  <c r="T55" i="1"/>
  <c r="R55" i="1"/>
  <c r="P55" i="1"/>
  <c r="H55" i="1"/>
  <c r="AP54" i="1"/>
  <c r="AN54" i="1"/>
  <c r="AL54" i="1"/>
  <c r="AJ54" i="1"/>
  <c r="AH54" i="1"/>
  <c r="AD54" i="1"/>
  <c r="AB54" i="1"/>
  <c r="Z54" i="1"/>
  <c r="X54" i="1"/>
  <c r="V54" i="1"/>
  <c r="T54" i="1"/>
  <c r="R54" i="1"/>
  <c r="P54" i="1"/>
  <c r="J54" i="1"/>
  <c r="H54" i="1"/>
  <c r="AN53" i="1"/>
  <c r="AD53" i="1"/>
  <c r="AB53" i="1"/>
  <c r="V53" i="1"/>
  <c r="P53" i="1"/>
  <c r="N53" i="1"/>
  <c r="J53" i="1"/>
  <c r="H53" i="1"/>
  <c r="AP52" i="1"/>
  <c r="AN52" i="1"/>
  <c r="AF52" i="1"/>
  <c r="AB52" i="1"/>
  <c r="R52" i="1"/>
  <c r="P52" i="1"/>
  <c r="J52" i="1"/>
  <c r="AP49" i="1"/>
  <c r="AN49" i="1"/>
  <c r="AL49" i="1"/>
  <c r="AJ49" i="1"/>
  <c r="AH49" i="1"/>
  <c r="AF49" i="1"/>
  <c r="AD49" i="1"/>
  <c r="AB49" i="1"/>
  <c r="V49" i="1"/>
  <c r="T49" i="1"/>
  <c r="R49" i="1"/>
  <c r="P49" i="1"/>
  <c r="N49" i="1"/>
  <c r="J49" i="1"/>
  <c r="H49" i="1"/>
  <c r="P48" i="1"/>
  <c r="N48" i="1"/>
  <c r="L48" i="1"/>
  <c r="J48" i="1"/>
  <c r="H48" i="1"/>
  <c r="AP47" i="1"/>
  <c r="AN47" i="1"/>
  <c r="AL47" i="1"/>
  <c r="AJ47" i="1"/>
  <c r="AH47" i="1"/>
  <c r="J47" i="1"/>
  <c r="H47" i="1"/>
  <c r="AP44" i="1"/>
  <c r="AN44" i="1"/>
  <c r="AL44" i="1"/>
  <c r="AB43" i="1"/>
  <c r="X43" i="1"/>
  <c r="L43" i="1"/>
  <c r="AN42" i="1"/>
  <c r="AL42" i="1"/>
  <c r="AJ42" i="1"/>
  <c r="AH42" i="1"/>
  <c r="AF42" i="1"/>
  <c r="AD42" i="1"/>
  <c r="AB42" i="1"/>
  <c r="Z42" i="1"/>
  <c r="AF41" i="1"/>
  <c r="AD41" i="1"/>
  <c r="AB41" i="1"/>
  <c r="Z41" i="1"/>
  <c r="X41" i="1"/>
  <c r="V41" i="1"/>
  <c r="T41" i="1"/>
  <c r="AL38" i="1"/>
  <c r="AJ38" i="1"/>
  <c r="Z38" i="1"/>
  <c r="X38" i="1"/>
  <c r="V38" i="1"/>
  <c r="T38" i="1"/>
  <c r="R38" i="1"/>
  <c r="P38" i="1"/>
  <c r="N38" i="1"/>
  <c r="L38" i="1"/>
  <c r="AN37" i="1"/>
  <c r="AL37" i="1"/>
  <c r="AB36" i="1"/>
  <c r="Z36" i="1"/>
  <c r="V36" i="1"/>
  <c r="AP35" i="1"/>
  <c r="AN35" i="1"/>
  <c r="AL35" i="1"/>
  <c r="V35" i="1"/>
  <c r="AP34" i="1"/>
  <c r="AN34" i="1"/>
  <c r="AL34" i="1"/>
  <c r="AJ34" i="1"/>
  <c r="AH34" i="1"/>
  <c r="AF34" i="1"/>
  <c r="AD34" i="1"/>
  <c r="Z34" i="1"/>
  <c r="X34" i="1"/>
  <c r="V34" i="1"/>
  <c r="T34" i="1"/>
  <c r="N34" i="1"/>
  <c r="J34" i="1"/>
  <c r="H34" i="1"/>
  <c r="AN31" i="1"/>
  <c r="AJ31" i="1"/>
  <c r="AH31" i="1"/>
  <c r="AD31" i="1"/>
  <c r="AB31" i="1"/>
  <c r="Z31" i="1"/>
  <c r="X31" i="1"/>
  <c r="V31" i="1"/>
  <c r="T31" i="1"/>
  <c r="R31" i="1"/>
  <c r="N31" i="1"/>
  <c r="L31" i="1"/>
  <c r="J31" i="1"/>
  <c r="H31" i="1"/>
  <c r="AH30" i="1"/>
  <c r="AD30" i="1"/>
  <c r="Z30" i="1"/>
  <c r="X30" i="1"/>
  <c r="V30" i="1"/>
  <c r="T30" i="1"/>
  <c r="R30" i="1"/>
  <c r="P30" i="1"/>
  <c r="N30" i="1"/>
  <c r="L30" i="1"/>
  <c r="J30" i="1"/>
  <c r="H30" i="1"/>
  <c r="V29" i="1"/>
  <c r="T29" i="1"/>
  <c r="R29" i="1"/>
  <c r="P29" i="1"/>
  <c r="N29" i="1"/>
  <c r="L29" i="1"/>
  <c r="J29" i="1"/>
  <c r="H29" i="1"/>
  <c r="AF26" i="1"/>
  <c r="V26" i="1"/>
  <c r="P26" i="1"/>
  <c r="N26" i="1"/>
  <c r="L26" i="1"/>
  <c r="J26" i="1"/>
  <c r="H26" i="1"/>
  <c r="AN25" i="1"/>
  <c r="AL25" i="1"/>
  <c r="AH25" i="1"/>
  <c r="AF25" i="1"/>
  <c r="Z25" i="1"/>
  <c r="N25" i="1"/>
  <c r="AP24" i="1"/>
  <c r="AN24" i="1"/>
  <c r="AL24" i="1"/>
  <c r="AP23" i="1"/>
  <c r="AN23" i="1"/>
  <c r="AL23" i="1"/>
  <c r="AJ23" i="1"/>
  <c r="AH23" i="1"/>
  <c r="AP20" i="1"/>
  <c r="AN20" i="1"/>
  <c r="AF20" i="1"/>
  <c r="AB20" i="1"/>
  <c r="Z20" i="1"/>
  <c r="V20" i="1"/>
  <c r="T20" i="1"/>
  <c r="R20" i="1"/>
  <c r="P20" i="1"/>
  <c r="L20" i="1"/>
  <c r="H20" i="1"/>
  <c r="AP19" i="1"/>
  <c r="H19" i="1"/>
  <c r="AN18" i="1"/>
  <c r="AL18" i="1"/>
  <c r="AJ18" i="1"/>
  <c r="AH18" i="1"/>
  <c r="AF18" i="1"/>
  <c r="AD18" i="1"/>
  <c r="AB18" i="1"/>
  <c r="Z18" i="1"/>
  <c r="AF17" i="1"/>
  <c r="AD17" i="1"/>
  <c r="AB17" i="1"/>
  <c r="Z17" i="1"/>
  <c r="X17" i="1"/>
  <c r="V17" i="1"/>
  <c r="T17" i="1"/>
  <c r="X16" i="1"/>
  <c r="V16" i="1"/>
  <c r="T16" i="1"/>
  <c r="R16" i="1"/>
  <c r="P16" i="1"/>
  <c r="N16" i="1"/>
  <c r="L16" i="1"/>
  <c r="J16" i="1"/>
  <c r="H16" i="1"/>
  <c r="P13" i="1"/>
  <c r="N13" i="1"/>
  <c r="L13" i="1"/>
  <c r="J13" i="1"/>
  <c r="H13" i="1"/>
  <c r="J192" i="1" l="1"/>
  <c r="L192" i="1"/>
  <c r="N192" i="1"/>
  <c r="P192" i="1"/>
  <c r="T192" i="1"/>
  <c r="V192" i="1"/>
  <c r="X192" i="1"/>
  <c r="F192" i="1"/>
  <c r="AD192" i="1"/>
  <c r="AF192" i="1"/>
  <c r="R187" i="1"/>
  <c r="AD187" i="1"/>
  <c r="AT187" i="1"/>
  <c r="AR187" i="1"/>
  <c r="H187" i="1"/>
  <c r="J187" i="1"/>
  <c r="L187" i="1"/>
  <c r="P187" i="1"/>
  <c r="F187" i="1"/>
  <c r="T187" i="1"/>
  <c r="Z187" i="1"/>
  <c r="AR182" i="1"/>
  <c r="AD182" i="1"/>
  <c r="AF182" i="1"/>
  <c r="AB182" i="1"/>
  <c r="X182" i="1"/>
  <c r="AH182" i="1"/>
  <c r="AJ182" i="1"/>
  <c r="AP182" i="1"/>
  <c r="AN182" i="1"/>
  <c r="H182" i="1"/>
  <c r="AT182" i="1"/>
  <c r="AL182" i="1"/>
  <c r="F182" i="1"/>
  <c r="J182" i="1"/>
  <c r="L182" i="1"/>
  <c r="N182" i="1"/>
  <c r="P182" i="1"/>
  <c r="R182" i="1"/>
  <c r="T182" i="1"/>
  <c r="V182" i="1"/>
  <c r="AV182" i="1"/>
  <c r="X174" i="1"/>
  <c r="Z174" i="1"/>
  <c r="AB174" i="1"/>
  <c r="AL174" i="1"/>
  <c r="AN174" i="1"/>
  <c r="AJ174" i="1"/>
  <c r="Z171" i="1"/>
  <c r="F171" i="1"/>
  <c r="T171" i="1"/>
  <c r="V171" i="1"/>
  <c r="X171" i="1"/>
  <c r="AB171" i="1"/>
  <c r="AT171" i="1"/>
  <c r="AL171" i="1"/>
  <c r="AN171" i="1"/>
  <c r="AD171" i="1"/>
  <c r="AF171" i="1"/>
  <c r="AH171" i="1"/>
  <c r="AJ171" i="1"/>
  <c r="F165" i="1"/>
  <c r="N165" i="1"/>
  <c r="AT165" i="1"/>
  <c r="R165" i="1"/>
  <c r="H160" i="1"/>
  <c r="J160" i="1"/>
  <c r="L160" i="1"/>
  <c r="N160" i="1"/>
  <c r="AT160" i="1"/>
  <c r="X160" i="1"/>
  <c r="AV160" i="1"/>
  <c r="V160" i="1"/>
  <c r="AB160" i="1"/>
  <c r="P160" i="1"/>
  <c r="AF160" i="1"/>
  <c r="AH160" i="1"/>
  <c r="AJ160" i="1"/>
  <c r="T160" i="1"/>
  <c r="AL160" i="1"/>
  <c r="R160" i="1"/>
  <c r="AN160" i="1"/>
  <c r="AF158" i="1"/>
  <c r="AH158" i="1"/>
  <c r="AJ158" i="1"/>
  <c r="AL158" i="1"/>
  <c r="AN158" i="1"/>
  <c r="AP158" i="1"/>
  <c r="AT158" i="1"/>
  <c r="AV158" i="1"/>
  <c r="H158" i="1"/>
  <c r="L158" i="1"/>
  <c r="N158" i="1"/>
  <c r="J158" i="1"/>
  <c r="P158" i="1"/>
  <c r="R158" i="1"/>
  <c r="T158" i="1"/>
  <c r="AR158" i="1"/>
  <c r="N154" i="1"/>
  <c r="P154" i="1"/>
  <c r="R154" i="1"/>
  <c r="T154" i="1"/>
  <c r="V154" i="1"/>
  <c r="AF154" i="1"/>
  <c r="AV154" i="1"/>
  <c r="AB154" i="1"/>
  <c r="AH154" i="1"/>
  <c r="AD154" i="1"/>
  <c r="AJ154" i="1"/>
  <c r="AL154" i="1"/>
  <c r="Z154" i="1"/>
  <c r="AN154" i="1"/>
  <c r="H151" i="1"/>
  <c r="L151" i="1"/>
  <c r="J151" i="1"/>
  <c r="N151" i="1"/>
  <c r="P151" i="1"/>
  <c r="R151" i="1"/>
  <c r="X151" i="1"/>
  <c r="AT151" i="1"/>
  <c r="T151" i="1"/>
  <c r="Z151" i="1"/>
  <c r="V151" i="1"/>
  <c r="AV151" i="1"/>
  <c r="AB151" i="1"/>
  <c r="AD151" i="1"/>
  <c r="AH151" i="1"/>
  <c r="AJ151" i="1"/>
  <c r="AL151" i="1"/>
  <c r="AF151" i="1"/>
  <c r="AL148" i="1"/>
  <c r="V148" i="1"/>
  <c r="AN148" i="1"/>
  <c r="AJ148" i="1"/>
  <c r="AF148" i="1"/>
  <c r="H148" i="1"/>
  <c r="J148" i="1"/>
  <c r="N148" i="1"/>
  <c r="AV148" i="1"/>
  <c r="R148" i="1"/>
  <c r="P148" i="1"/>
  <c r="T148" i="1"/>
  <c r="AT148" i="1"/>
  <c r="AB148" i="1"/>
  <c r="AD148" i="1"/>
  <c r="F148" i="1"/>
  <c r="AL142" i="1"/>
  <c r="AN142" i="1"/>
  <c r="AF142" i="1"/>
  <c r="AH142" i="1"/>
  <c r="AJ142" i="1"/>
  <c r="AP142" i="1"/>
  <c r="H142" i="1"/>
  <c r="L142" i="1"/>
  <c r="F142" i="1"/>
  <c r="J142" i="1"/>
  <c r="N142" i="1"/>
  <c r="P142" i="1"/>
  <c r="AV142" i="1"/>
  <c r="AT142" i="1"/>
  <c r="J141" i="1"/>
  <c r="AR141" i="1"/>
  <c r="P141" i="1"/>
  <c r="T141" i="1"/>
  <c r="V141" i="1"/>
  <c r="AH141" i="1"/>
  <c r="AJ141" i="1"/>
  <c r="AP141" i="1"/>
  <c r="AR138" i="1"/>
  <c r="H138" i="1"/>
  <c r="J138" i="1"/>
  <c r="L138" i="1"/>
  <c r="N138" i="1"/>
  <c r="T138" i="1"/>
  <c r="R138" i="1"/>
  <c r="AJ138" i="1"/>
  <c r="AL138" i="1"/>
  <c r="F138" i="1"/>
  <c r="AP138" i="1"/>
  <c r="AN138" i="1"/>
  <c r="AH138" i="1"/>
  <c r="AV138" i="1"/>
  <c r="H133" i="1"/>
  <c r="J133" i="1"/>
  <c r="AV133" i="1"/>
  <c r="L133" i="1"/>
  <c r="F133" i="1"/>
  <c r="N133" i="1"/>
  <c r="AL136" i="1"/>
  <c r="AN136" i="1"/>
  <c r="AP136" i="1"/>
  <c r="AV136" i="1"/>
  <c r="F136" i="1"/>
  <c r="H136" i="1"/>
  <c r="L136" i="1"/>
  <c r="N136" i="1"/>
  <c r="J136" i="1"/>
  <c r="P136" i="1"/>
  <c r="AR136" i="1"/>
  <c r="R136" i="1"/>
  <c r="AT136" i="1"/>
  <c r="R137" i="1"/>
  <c r="AB137" i="1"/>
  <c r="AD137" i="1"/>
  <c r="F137" i="1"/>
  <c r="X137" i="1"/>
  <c r="Z137" i="1"/>
  <c r="AF137" i="1"/>
  <c r="AV137" i="1"/>
  <c r="AN137" i="1"/>
  <c r="AP137" i="1"/>
  <c r="AR137" i="1"/>
  <c r="AT137" i="1"/>
  <c r="AT129" i="1"/>
  <c r="Z129" i="1"/>
  <c r="AB129" i="1"/>
  <c r="X129" i="1"/>
  <c r="AD129" i="1"/>
  <c r="H129" i="1"/>
  <c r="T129" i="1"/>
  <c r="V129" i="1"/>
  <c r="X128" i="1"/>
  <c r="AH128" i="1"/>
  <c r="AJ128" i="1"/>
  <c r="J129" i="1"/>
  <c r="F129" i="1"/>
  <c r="L129" i="1"/>
  <c r="N129" i="1"/>
  <c r="P129" i="1"/>
  <c r="AV129" i="1"/>
  <c r="R129" i="1"/>
  <c r="AF129" i="1"/>
  <c r="AL129" i="1"/>
  <c r="AN129" i="1"/>
  <c r="AR129" i="1"/>
  <c r="AH129" i="1"/>
  <c r="AJ129" i="1"/>
  <c r="F132" i="1"/>
  <c r="AV132" i="1"/>
  <c r="H132" i="1"/>
  <c r="J132" i="1"/>
  <c r="L132" i="1"/>
  <c r="T132" i="1"/>
  <c r="R132" i="1"/>
  <c r="X132" i="1"/>
  <c r="Z132" i="1"/>
  <c r="AR132" i="1"/>
  <c r="AF132" i="1"/>
  <c r="AJ132" i="1"/>
  <c r="AL132" i="1"/>
  <c r="AT132" i="1"/>
  <c r="AH132" i="1"/>
  <c r="AN132" i="1"/>
  <c r="V127" i="1"/>
  <c r="AH127" i="1"/>
  <c r="AL127" i="1"/>
  <c r="Z127" i="1"/>
  <c r="AJ127" i="1"/>
  <c r="AN127" i="1"/>
  <c r="AD127" i="1"/>
  <c r="AP127" i="1"/>
  <c r="AF127" i="1"/>
  <c r="AR127" i="1"/>
  <c r="AV127" i="1"/>
  <c r="X127" i="1"/>
  <c r="AB127" i="1"/>
  <c r="H127" i="1"/>
  <c r="N124" i="1"/>
  <c r="R124" i="1"/>
  <c r="T124" i="1"/>
  <c r="V124" i="1"/>
  <c r="AV124" i="1"/>
  <c r="X124" i="1"/>
  <c r="Z124" i="1"/>
  <c r="AB124" i="1"/>
  <c r="AF124" i="1"/>
  <c r="P124" i="1"/>
  <c r="AD124" i="1"/>
  <c r="AH124" i="1"/>
  <c r="AL124" i="1"/>
  <c r="AP124" i="1"/>
  <c r="AJ124" i="1"/>
  <c r="AN124" i="1"/>
  <c r="F123" i="1"/>
  <c r="AT123" i="1"/>
  <c r="J123" i="1"/>
  <c r="L123" i="1"/>
  <c r="T123" i="1"/>
  <c r="V123" i="1"/>
  <c r="X123" i="1"/>
  <c r="Z123" i="1"/>
  <c r="H123" i="1"/>
  <c r="AJ123" i="1"/>
  <c r="AL123" i="1"/>
  <c r="AN123" i="1"/>
  <c r="AV118" i="1"/>
  <c r="R118" i="1"/>
  <c r="T118" i="1"/>
  <c r="AV119" i="1"/>
  <c r="H119" i="1"/>
  <c r="J119" i="1"/>
  <c r="L119" i="1"/>
  <c r="N119" i="1"/>
  <c r="AR119" i="1"/>
  <c r="P119" i="1"/>
  <c r="F119" i="1"/>
  <c r="AB119" i="1"/>
  <c r="R119" i="1"/>
  <c r="T119" i="1"/>
  <c r="V119" i="1"/>
  <c r="X119" i="1"/>
  <c r="Z119" i="1"/>
  <c r="AV110" i="1"/>
  <c r="T110" i="1"/>
  <c r="V110" i="1"/>
  <c r="X110" i="1"/>
  <c r="AT110" i="1"/>
  <c r="AB110" i="1"/>
  <c r="AF110" i="1"/>
  <c r="AH110" i="1"/>
  <c r="AJ110" i="1"/>
  <c r="AL110" i="1"/>
  <c r="AR110" i="1"/>
  <c r="AP110" i="1"/>
  <c r="F110" i="1"/>
  <c r="AN110" i="1"/>
  <c r="AV109" i="1"/>
  <c r="L109" i="1"/>
  <c r="N109" i="1"/>
  <c r="P109" i="1"/>
  <c r="R109" i="1"/>
  <c r="AT109" i="1"/>
  <c r="AD109" i="1"/>
  <c r="AR109" i="1"/>
  <c r="AB109" i="1"/>
  <c r="AF109" i="1"/>
  <c r="AL109" i="1"/>
  <c r="AV108" i="1"/>
  <c r="H108" i="1"/>
  <c r="J108" i="1"/>
  <c r="L108" i="1"/>
  <c r="Z108" i="1"/>
  <c r="AB108" i="1"/>
  <c r="AR108" i="1"/>
  <c r="X108" i="1"/>
  <c r="F108" i="1"/>
  <c r="AD108" i="1"/>
  <c r="AF108" i="1"/>
  <c r="AH108" i="1"/>
  <c r="AJ108" i="1"/>
  <c r="AV107" i="1"/>
  <c r="H107" i="1"/>
  <c r="L107" i="1"/>
  <c r="N107" i="1"/>
  <c r="F107" i="1"/>
  <c r="AR107" i="1"/>
  <c r="P107" i="1"/>
  <c r="R107" i="1"/>
  <c r="T107" i="1"/>
  <c r="V107" i="1"/>
  <c r="X107" i="1"/>
  <c r="Z107" i="1"/>
  <c r="AB107" i="1"/>
  <c r="AT107" i="1"/>
  <c r="AD107" i="1"/>
  <c r="AF107" i="1"/>
  <c r="AP104" i="1"/>
  <c r="AV104" i="1"/>
  <c r="F104" i="1"/>
  <c r="P104" i="1"/>
  <c r="R104" i="1"/>
  <c r="T104" i="1"/>
  <c r="V104" i="1"/>
  <c r="X104" i="1"/>
  <c r="Z104" i="1"/>
  <c r="AR104" i="1"/>
  <c r="L104" i="1"/>
  <c r="AB104" i="1"/>
  <c r="H104" i="1"/>
  <c r="J104" i="1"/>
  <c r="N104" i="1"/>
  <c r="AD103" i="1"/>
  <c r="AV103" i="1"/>
  <c r="F103" i="1"/>
  <c r="AP103" i="1"/>
  <c r="AJ103" i="1"/>
  <c r="AR103" i="1"/>
  <c r="AT103" i="1"/>
  <c r="AH103" i="1"/>
  <c r="J103" i="1"/>
  <c r="L103" i="1"/>
  <c r="N103" i="1"/>
  <c r="R103" i="1"/>
  <c r="T103" i="1"/>
  <c r="V103" i="1"/>
  <c r="AF102" i="1"/>
  <c r="AV102" i="1"/>
  <c r="F102" i="1"/>
  <c r="AH102" i="1"/>
  <c r="AJ102" i="1"/>
  <c r="AL102" i="1"/>
  <c r="AN102" i="1"/>
  <c r="AR102" i="1"/>
  <c r="AP102" i="1"/>
  <c r="AT102" i="1"/>
  <c r="H102" i="1"/>
  <c r="L102" i="1"/>
  <c r="J102" i="1"/>
  <c r="N102" i="1"/>
  <c r="P102" i="1"/>
  <c r="R102" i="1"/>
  <c r="T102" i="1"/>
  <c r="X101" i="1"/>
  <c r="AL101" i="1"/>
  <c r="AN101" i="1"/>
  <c r="AV101" i="1"/>
  <c r="Z101" i="1"/>
  <c r="AB101" i="1"/>
  <c r="AD101" i="1"/>
  <c r="AF101" i="1"/>
  <c r="AH101" i="1"/>
  <c r="AJ101" i="1"/>
  <c r="AP101" i="1"/>
  <c r="AT101" i="1"/>
  <c r="H101" i="1"/>
  <c r="AR101" i="1"/>
  <c r="J101" i="1"/>
  <c r="L101" i="1"/>
  <c r="N101" i="1"/>
  <c r="P101" i="1"/>
  <c r="AV100" i="1"/>
  <c r="V100" i="1"/>
  <c r="Z100" i="1"/>
  <c r="AF100" i="1"/>
  <c r="AH100" i="1"/>
  <c r="AJ100" i="1"/>
  <c r="T100" i="1"/>
  <c r="X100" i="1"/>
  <c r="AB100" i="1"/>
  <c r="AL100" i="1"/>
  <c r="AR100" i="1"/>
  <c r="AT100" i="1"/>
  <c r="AP100" i="1"/>
  <c r="AD100" i="1"/>
  <c r="AN100" i="1"/>
  <c r="J100" i="1"/>
  <c r="L100" i="1"/>
  <c r="F100" i="1"/>
  <c r="H100" i="1"/>
  <c r="AF99" i="1"/>
  <c r="V99" i="1"/>
  <c r="N99" i="1"/>
  <c r="AR99" i="1"/>
  <c r="AD99" i="1"/>
  <c r="AT99" i="1"/>
  <c r="T99" i="1"/>
  <c r="AJ99" i="1"/>
  <c r="R99" i="1"/>
  <c r="X99" i="1"/>
  <c r="Z99" i="1"/>
  <c r="AB99" i="1"/>
  <c r="AH99" i="1"/>
  <c r="AL99" i="1"/>
  <c r="AN99" i="1"/>
  <c r="AP99" i="1"/>
  <c r="F99" i="1"/>
  <c r="H99" i="1"/>
  <c r="AV99" i="1"/>
  <c r="P99" i="1"/>
  <c r="H96" i="1"/>
  <c r="T96" i="1"/>
  <c r="V96" i="1"/>
  <c r="X96" i="1"/>
  <c r="R96" i="1"/>
  <c r="Z96" i="1"/>
  <c r="AT96" i="1"/>
  <c r="AB96" i="1"/>
  <c r="AF96" i="1"/>
  <c r="AD96" i="1"/>
  <c r="AH96" i="1"/>
  <c r="F96" i="1"/>
  <c r="AL96" i="1"/>
  <c r="AP96" i="1"/>
  <c r="AV95" i="1"/>
  <c r="AR95" i="1"/>
  <c r="Z95" i="1"/>
  <c r="J95" i="1"/>
  <c r="L95" i="1"/>
  <c r="N95" i="1"/>
  <c r="P95" i="1"/>
  <c r="R95" i="1"/>
  <c r="T95" i="1"/>
  <c r="AB95" i="1"/>
  <c r="AD95" i="1"/>
  <c r="AF95" i="1"/>
  <c r="AH95" i="1"/>
  <c r="AJ95" i="1"/>
  <c r="AL95" i="1"/>
  <c r="F95" i="1"/>
  <c r="AP95" i="1"/>
  <c r="AN94" i="1"/>
  <c r="AR94" i="1"/>
  <c r="AV94" i="1"/>
  <c r="AP94" i="1"/>
  <c r="J94" i="1"/>
  <c r="X94" i="1"/>
  <c r="AB94" i="1"/>
  <c r="AD87" i="1"/>
  <c r="AL87" i="1"/>
  <c r="AN87" i="1"/>
  <c r="F87" i="1"/>
  <c r="L88" i="1"/>
  <c r="N88" i="1"/>
  <c r="P88" i="1"/>
  <c r="X88" i="1"/>
  <c r="F88" i="1"/>
  <c r="V88" i="1"/>
  <c r="Z88" i="1"/>
  <c r="AJ88" i="1"/>
  <c r="AL88" i="1"/>
  <c r="H91" i="1"/>
  <c r="J91" i="1"/>
  <c r="L91" i="1"/>
  <c r="N91" i="1"/>
  <c r="P91" i="1"/>
  <c r="R91" i="1"/>
  <c r="T91" i="1"/>
  <c r="V91" i="1"/>
  <c r="F91" i="1"/>
  <c r="Z91" i="1"/>
  <c r="AT91" i="1"/>
  <c r="X91" i="1"/>
  <c r="AB91" i="1"/>
  <c r="AD91" i="1"/>
  <c r="AF91" i="1"/>
  <c r="AH91" i="1"/>
  <c r="AJ91" i="1"/>
  <c r="H92" i="1"/>
  <c r="J92" i="1"/>
  <c r="L92" i="1"/>
  <c r="N92" i="1"/>
  <c r="P92" i="1"/>
  <c r="R92" i="1"/>
  <c r="T92" i="1"/>
  <c r="V92" i="1"/>
  <c r="F92" i="1"/>
  <c r="X92" i="1"/>
  <c r="Z92" i="1"/>
  <c r="AF92" i="1"/>
  <c r="AT92" i="1"/>
  <c r="AH92" i="1"/>
  <c r="AJ92" i="1"/>
  <c r="AN92" i="1"/>
  <c r="AB92" i="1"/>
  <c r="AD92" i="1"/>
  <c r="AL92" i="1"/>
  <c r="AP92" i="1"/>
  <c r="AV92" i="1"/>
  <c r="J93" i="1"/>
  <c r="H93" i="1"/>
  <c r="L93" i="1"/>
  <c r="N93" i="1"/>
  <c r="R93" i="1"/>
  <c r="T93" i="1"/>
  <c r="AT93" i="1"/>
  <c r="Z93" i="1"/>
  <c r="AB93" i="1"/>
  <c r="AH93" i="1"/>
  <c r="AJ93" i="1"/>
  <c r="AV93" i="1"/>
  <c r="AN93" i="1"/>
  <c r="J80" i="1"/>
  <c r="AF83" i="1"/>
  <c r="AH83" i="1"/>
  <c r="AJ83" i="1"/>
  <c r="F83" i="1"/>
  <c r="AL83" i="1"/>
  <c r="AP83" i="1"/>
  <c r="AT83" i="1"/>
  <c r="H83" i="1"/>
  <c r="J83" i="1"/>
  <c r="N84" i="1"/>
  <c r="P84" i="1"/>
  <c r="V84" i="1"/>
  <c r="X84" i="1"/>
  <c r="Z84" i="1"/>
  <c r="L85" i="1"/>
  <c r="N85" i="1"/>
  <c r="F85" i="1"/>
  <c r="P85" i="1"/>
  <c r="V85" i="1"/>
  <c r="X85" i="1"/>
  <c r="Z85" i="1"/>
  <c r="AB85" i="1"/>
  <c r="AT85" i="1"/>
  <c r="T85" i="1"/>
  <c r="AD85" i="1"/>
  <c r="AF85" i="1"/>
  <c r="J85" i="1"/>
  <c r="R85" i="1"/>
  <c r="AH85" i="1"/>
  <c r="AJ85" i="1"/>
  <c r="V86" i="1"/>
  <c r="H86" i="1"/>
  <c r="F86" i="1"/>
  <c r="J86" i="1"/>
  <c r="L86" i="1"/>
  <c r="N86" i="1"/>
  <c r="P86" i="1"/>
  <c r="R86" i="1"/>
  <c r="T86" i="1"/>
  <c r="X86" i="1"/>
  <c r="Z86" i="1"/>
  <c r="AB86" i="1"/>
  <c r="AD86" i="1"/>
  <c r="AF86" i="1"/>
  <c r="AH86" i="1"/>
  <c r="AT86" i="1"/>
  <c r="AJ86" i="1"/>
  <c r="AN86" i="1"/>
  <c r="AR86" i="1"/>
  <c r="AV86" i="1"/>
  <c r="AL86" i="1"/>
  <c r="F79" i="1"/>
  <c r="AH79" i="1"/>
  <c r="H79" i="1"/>
  <c r="N79" i="1"/>
  <c r="L79" i="1"/>
  <c r="J79" i="1"/>
  <c r="AB80" i="1"/>
  <c r="AD80" i="1"/>
  <c r="AF80" i="1"/>
  <c r="AH80" i="1"/>
  <c r="AJ80" i="1"/>
  <c r="AT80" i="1"/>
  <c r="Z80" i="1"/>
  <c r="AL80" i="1"/>
  <c r="AN80" i="1"/>
  <c r="P79" i="1"/>
  <c r="R79" i="1"/>
  <c r="T79" i="1"/>
  <c r="V79" i="1"/>
  <c r="Z79" i="1"/>
  <c r="AB79" i="1"/>
  <c r="AD79" i="1"/>
  <c r="AF79" i="1"/>
  <c r="X79" i="1"/>
  <c r="AL79" i="1"/>
  <c r="AJ79" i="1"/>
  <c r="AP79" i="1"/>
  <c r="AN79" i="1"/>
  <c r="AT79" i="1"/>
  <c r="AR79" i="1"/>
  <c r="N78" i="1"/>
  <c r="H78" i="1"/>
  <c r="J78" i="1"/>
  <c r="L78" i="1"/>
  <c r="P78" i="1"/>
  <c r="V78" i="1"/>
  <c r="X78" i="1"/>
  <c r="R78" i="1"/>
  <c r="T78" i="1"/>
  <c r="Z78" i="1"/>
  <c r="AB78" i="1"/>
  <c r="AD78" i="1"/>
  <c r="AT78" i="1"/>
  <c r="AH78" i="1"/>
  <c r="AJ78" i="1"/>
  <c r="AR78" i="1"/>
  <c r="AL78" i="1"/>
  <c r="AV78" i="1"/>
  <c r="J77" i="1"/>
  <c r="L77" i="1"/>
  <c r="R77" i="1"/>
  <c r="T77" i="1"/>
  <c r="V77" i="1"/>
  <c r="Z77" i="1"/>
  <c r="AB77" i="1"/>
  <c r="AR77" i="1"/>
  <c r="AD77" i="1"/>
  <c r="AT77" i="1"/>
  <c r="AF77" i="1"/>
  <c r="AV77" i="1"/>
  <c r="AH77" i="1"/>
  <c r="J74" i="1"/>
  <c r="H74" i="1"/>
  <c r="L74" i="1"/>
  <c r="N74" i="1"/>
  <c r="P74" i="1"/>
  <c r="AR74" i="1"/>
  <c r="V73" i="1"/>
  <c r="T73" i="1"/>
  <c r="X73" i="1"/>
  <c r="Z73" i="1"/>
  <c r="AH73" i="1"/>
  <c r="AJ73" i="1"/>
  <c r="L73" i="1"/>
  <c r="AR73" i="1"/>
  <c r="N73" i="1"/>
  <c r="F73" i="1"/>
  <c r="P73" i="1"/>
  <c r="AF73" i="1"/>
  <c r="R73" i="1"/>
  <c r="AB72" i="1"/>
  <c r="AD72" i="1"/>
  <c r="AF72" i="1"/>
  <c r="AH72" i="1"/>
  <c r="AJ72" i="1"/>
  <c r="AL72" i="1"/>
  <c r="AN72" i="1"/>
  <c r="AF71" i="1"/>
  <c r="AJ71" i="1"/>
  <c r="AL71" i="1"/>
  <c r="AN71" i="1"/>
  <c r="AP71" i="1"/>
  <c r="F71" i="1"/>
  <c r="AR71" i="1"/>
  <c r="X71" i="1"/>
  <c r="Z71" i="1"/>
  <c r="AB71" i="1"/>
  <c r="AD71" i="1"/>
  <c r="AT68" i="1"/>
  <c r="H68" i="1"/>
  <c r="J68" i="1"/>
  <c r="X68" i="1"/>
  <c r="Z68" i="1"/>
  <c r="R68" i="1"/>
  <c r="AB68" i="1"/>
  <c r="AD68" i="1"/>
  <c r="F68" i="1"/>
  <c r="AF68" i="1"/>
  <c r="AH68" i="1"/>
  <c r="T68" i="1"/>
  <c r="V68" i="1"/>
  <c r="AJ68" i="1"/>
  <c r="AV67" i="1"/>
  <c r="J67" i="1"/>
  <c r="L67" i="1"/>
  <c r="R67" i="1"/>
  <c r="N67" i="1"/>
  <c r="T67" i="1"/>
  <c r="V67" i="1"/>
  <c r="F67" i="1"/>
  <c r="P67" i="1"/>
  <c r="X67" i="1"/>
  <c r="AN67" i="1"/>
  <c r="Z67" i="1"/>
  <c r="AP67" i="1"/>
  <c r="AT67" i="1"/>
  <c r="AR67" i="1"/>
  <c r="AF67" i="1"/>
  <c r="AH67" i="1"/>
  <c r="AB67" i="1"/>
  <c r="AD67" i="1"/>
  <c r="AJ67" i="1"/>
  <c r="AL67" i="1"/>
  <c r="H62" i="1"/>
  <c r="R62" i="1"/>
  <c r="T62" i="1"/>
  <c r="V62" i="1"/>
  <c r="X62" i="1"/>
  <c r="AD62" i="1"/>
  <c r="AN61" i="1"/>
  <c r="AL61" i="1"/>
  <c r="AT61" i="1"/>
  <c r="AP61" i="1"/>
  <c r="J61" i="1"/>
  <c r="L61" i="1"/>
  <c r="N61" i="1"/>
  <c r="P61" i="1"/>
  <c r="AR61" i="1"/>
  <c r="R61" i="1"/>
  <c r="H61" i="1"/>
  <c r="T61" i="1"/>
  <c r="V61" i="1"/>
  <c r="Z61" i="1"/>
  <c r="R65" i="1"/>
  <c r="T65" i="1"/>
  <c r="V65" i="1"/>
  <c r="AR65" i="1"/>
  <c r="X65" i="1"/>
  <c r="P65" i="1"/>
  <c r="Z65" i="1"/>
  <c r="AB65" i="1"/>
  <c r="AV65" i="1"/>
  <c r="L65" i="1"/>
  <c r="F65" i="1"/>
  <c r="N65" i="1"/>
  <c r="AD65" i="1"/>
  <c r="AF65" i="1"/>
  <c r="AH65" i="1"/>
  <c r="AJ65" i="1"/>
  <c r="AL65" i="1"/>
  <c r="F66" i="1"/>
  <c r="N66" i="1"/>
  <c r="P66" i="1"/>
  <c r="V66" i="1"/>
  <c r="X66" i="1"/>
  <c r="AR66" i="1"/>
  <c r="AD66" i="1"/>
  <c r="AF66" i="1"/>
  <c r="AH66" i="1"/>
  <c r="AJ66" i="1"/>
  <c r="AL66" i="1"/>
  <c r="AP66" i="1"/>
  <c r="AT66" i="1"/>
  <c r="J66" i="1"/>
  <c r="L66" i="1"/>
  <c r="R66" i="1"/>
  <c r="T66" i="1"/>
  <c r="Z66" i="1"/>
  <c r="AB66" i="1"/>
  <c r="AN66" i="1"/>
  <c r="T52" i="1"/>
  <c r="AF53" i="1"/>
  <c r="T56" i="1"/>
  <c r="AF59" i="1"/>
  <c r="AR59" i="1"/>
  <c r="V52" i="1"/>
  <c r="AH53" i="1"/>
  <c r="J55" i="1"/>
  <c r="V56" i="1"/>
  <c r="AH59" i="1"/>
  <c r="L49" i="1"/>
  <c r="X52" i="1"/>
  <c r="AJ53" i="1"/>
  <c r="L55" i="1"/>
  <c r="X56" i="1"/>
  <c r="AJ59" i="1"/>
  <c r="AR56" i="1"/>
  <c r="AT59" i="1"/>
  <c r="Z52" i="1"/>
  <c r="AL53" i="1"/>
  <c r="N55" i="1"/>
  <c r="Z56" i="1"/>
  <c r="AL59" i="1"/>
  <c r="AR55" i="1"/>
  <c r="AT56" i="1"/>
  <c r="AD52" i="1"/>
  <c r="AP53" i="1"/>
  <c r="AD56" i="1"/>
  <c r="AP59" i="1"/>
  <c r="AR53" i="1"/>
  <c r="AT55" i="1"/>
  <c r="AT53" i="1"/>
  <c r="AR52" i="1"/>
  <c r="AH52" i="1"/>
  <c r="AH56" i="1"/>
  <c r="AT52" i="1"/>
  <c r="AJ52" i="1"/>
  <c r="L54" i="1"/>
  <c r="X55" i="1"/>
  <c r="AJ56" i="1"/>
  <c r="L60" i="1"/>
  <c r="AR49" i="1"/>
  <c r="AL52" i="1"/>
  <c r="N54" i="1"/>
  <c r="Z55" i="1"/>
  <c r="AL56" i="1"/>
  <c r="L53" i="1"/>
  <c r="L59" i="1"/>
  <c r="F56" i="1"/>
  <c r="AV59" i="1"/>
  <c r="F55" i="1"/>
  <c r="AV56" i="1"/>
  <c r="R59" i="1"/>
  <c r="R53" i="1"/>
  <c r="F53" i="1"/>
  <c r="H52" i="1"/>
  <c r="T53" i="1"/>
  <c r="T59" i="1"/>
  <c r="AF60" i="1"/>
  <c r="F52" i="1"/>
  <c r="AV53" i="1"/>
  <c r="AV52" i="1"/>
  <c r="X53" i="1"/>
  <c r="L52" i="1"/>
  <c r="T48" i="1"/>
  <c r="AT48" i="1"/>
  <c r="X48" i="1"/>
  <c r="V48" i="1"/>
  <c r="Z48" i="1"/>
  <c r="AB48" i="1"/>
  <c r="AF48" i="1"/>
  <c r="AH48" i="1"/>
  <c r="F48" i="1"/>
  <c r="AL48" i="1"/>
  <c r="AV48" i="1"/>
  <c r="AD48" i="1"/>
  <c r="AP48" i="1"/>
  <c r="AJ48" i="1"/>
  <c r="V47" i="1"/>
  <c r="N47" i="1"/>
  <c r="P47" i="1"/>
  <c r="R47" i="1"/>
  <c r="T47" i="1"/>
  <c r="X47" i="1"/>
  <c r="AT47" i="1"/>
  <c r="Z47" i="1"/>
  <c r="F47" i="1"/>
  <c r="AB47" i="1"/>
  <c r="AD47" i="1"/>
  <c r="AF47" i="1"/>
  <c r="H44" i="1"/>
  <c r="J44" i="1"/>
  <c r="L44" i="1"/>
  <c r="AT44" i="1"/>
  <c r="V44" i="1"/>
  <c r="AV44" i="1"/>
  <c r="X44" i="1"/>
  <c r="Z44" i="1"/>
  <c r="AB44" i="1"/>
  <c r="P44" i="1"/>
  <c r="F44" i="1"/>
  <c r="T44" i="1"/>
  <c r="AD44" i="1"/>
  <c r="AF44" i="1"/>
  <c r="R44" i="1"/>
  <c r="AH44" i="1"/>
  <c r="AF43" i="1"/>
  <c r="AJ43" i="1"/>
  <c r="AR43" i="1"/>
  <c r="AH43" i="1"/>
  <c r="AN43" i="1"/>
  <c r="AP43" i="1"/>
  <c r="AL43" i="1"/>
  <c r="F43" i="1"/>
  <c r="H43" i="1"/>
  <c r="N43" i="1"/>
  <c r="P43" i="1"/>
  <c r="R43" i="1"/>
  <c r="AV43" i="1"/>
  <c r="T43" i="1"/>
  <c r="V43" i="1"/>
  <c r="Z43" i="1"/>
  <c r="F42" i="1"/>
  <c r="H42" i="1"/>
  <c r="J42" i="1"/>
  <c r="AV42" i="1"/>
  <c r="L42" i="1"/>
  <c r="N42" i="1"/>
  <c r="V42" i="1"/>
  <c r="AT42" i="1"/>
  <c r="P42" i="1"/>
  <c r="R42" i="1"/>
  <c r="T42" i="1"/>
  <c r="AH41" i="1"/>
  <c r="AJ41" i="1"/>
  <c r="AL41" i="1"/>
  <c r="AN41" i="1"/>
  <c r="AP41" i="1"/>
  <c r="AV41" i="1"/>
  <c r="H41" i="1"/>
  <c r="L41" i="1"/>
  <c r="AT41" i="1"/>
  <c r="N41" i="1"/>
  <c r="J41" i="1"/>
  <c r="P41" i="1"/>
  <c r="AD38" i="1"/>
  <c r="AF38" i="1"/>
  <c r="AH38" i="1"/>
  <c r="AT38" i="1"/>
  <c r="AV38" i="1"/>
  <c r="AP38" i="1"/>
  <c r="AN38" i="1"/>
  <c r="H38" i="1"/>
  <c r="L37" i="1"/>
  <c r="N37" i="1"/>
  <c r="F37" i="1"/>
  <c r="P37" i="1"/>
  <c r="H37" i="1"/>
  <c r="J37" i="1"/>
  <c r="AR37" i="1"/>
  <c r="T37" i="1"/>
  <c r="V37" i="1"/>
  <c r="X37" i="1"/>
  <c r="Z37" i="1"/>
  <c r="AB37" i="1"/>
  <c r="AD37" i="1"/>
  <c r="AF37" i="1"/>
  <c r="AH37" i="1"/>
  <c r="AV37" i="1"/>
  <c r="AJ37" i="1"/>
  <c r="AP37" i="1"/>
  <c r="AP36" i="1"/>
  <c r="AT36" i="1"/>
  <c r="H36" i="1"/>
  <c r="J36" i="1"/>
  <c r="L36" i="1"/>
  <c r="T36" i="1"/>
  <c r="P36" i="1"/>
  <c r="N36" i="1"/>
  <c r="R36" i="1"/>
  <c r="X36" i="1"/>
  <c r="AV36" i="1"/>
  <c r="AD36" i="1"/>
  <c r="AH36" i="1"/>
  <c r="AF36" i="1"/>
  <c r="AJ36" i="1"/>
  <c r="AL36" i="1"/>
  <c r="H35" i="1"/>
  <c r="J35" i="1"/>
  <c r="L35" i="1"/>
  <c r="N35" i="1"/>
  <c r="AV35" i="1"/>
  <c r="P35" i="1"/>
  <c r="R35" i="1"/>
  <c r="AT35" i="1"/>
  <c r="T35" i="1"/>
  <c r="Z35" i="1"/>
  <c r="X35" i="1"/>
  <c r="AB35" i="1"/>
  <c r="AD35" i="1"/>
  <c r="AH35" i="1"/>
  <c r="AT34" i="1"/>
  <c r="L34" i="1"/>
  <c r="P34" i="1"/>
  <c r="R34" i="1"/>
  <c r="AB34" i="1"/>
  <c r="AF31" i="1"/>
  <c r="AL31" i="1"/>
  <c r="AP31" i="1"/>
  <c r="AB30" i="1"/>
  <c r="AF30" i="1"/>
  <c r="AJ30" i="1"/>
  <c r="AL30" i="1"/>
  <c r="AN30" i="1"/>
  <c r="AT30" i="1"/>
  <c r="AF29" i="1"/>
  <c r="AH29" i="1"/>
  <c r="AV29" i="1"/>
  <c r="AD29" i="1"/>
  <c r="AJ29" i="1"/>
  <c r="AT29" i="1"/>
  <c r="Z29" i="1"/>
  <c r="AL29" i="1"/>
  <c r="AN29" i="1"/>
  <c r="AP29" i="1"/>
  <c r="AB29" i="1"/>
  <c r="F29" i="1"/>
  <c r="R26" i="1"/>
  <c r="T26" i="1"/>
  <c r="X26" i="1"/>
  <c r="Z26" i="1"/>
  <c r="AV26" i="1"/>
  <c r="AB26" i="1"/>
  <c r="AD26" i="1"/>
  <c r="AJ26" i="1"/>
  <c r="AH26" i="1"/>
  <c r="AN26" i="1"/>
  <c r="AP26" i="1"/>
  <c r="F26" i="1"/>
  <c r="AR25" i="1"/>
  <c r="AP25" i="1"/>
  <c r="H25" i="1"/>
  <c r="J25" i="1"/>
  <c r="AV25" i="1"/>
  <c r="R25" i="1"/>
  <c r="T25" i="1"/>
  <c r="P25" i="1"/>
  <c r="V25" i="1"/>
  <c r="AJ25" i="1"/>
  <c r="L25" i="1"/>
  <c r="X25" i="1"/>
  <c r="AB25" i="1"/>
  <c r="AD25" i="1"/>
  <c r="F25" i="1"/>
  <c r="H24" i="1"/>
  <c r="J24" i="1"/>
  <c r="AV24" i="1"/>
  <c r="R24" i="1"/>
  <c r="T24" i="1"/>
  <c r="F24" i="1"/>
  <c r="V24" i="1"/>
  <c r="X24" i="1"/>
  <c r="AT24" i="1"/>
  <c r="P24" i="1"/>
  <c r="Z24" i="1"/>
  <c r="AB24" i="1"/>
  <c r="AR24" i="1"/>
  <c r="AD24" i="1"/>
  <c r="AF24" i="1"/>
  <c r="N24" i="1"/>
  <c r="AH24" i="1"/>
  <c r="AV23" i="1"/>
  <c r="L23" i="1"/>
  <c r="N23" i="1"/>
  <c r="R23" i="1"/>
  <c r="P23" i="1"/>
  <c r="T23" i="1"/>
  <c r="AR23" i="1"/>
  <c r="V23" i="1"/>
  <c r="AT23" i="1"/>
  <c r="X23" i="1"/>
  <c r="Z23" i="1"/>
  <c r="J23" i="1"/>
  <c r="AB23" i="1"/>
  <c r="H23" i="1"/>
  <c r="F23" i="1"/>
  <c r="AD23" i="1"/>
  <c r="X20" i="1"/>
  <c r="AD20" i="1"/>
  <c r="AH20" i="1"/>
  <c r="AJ20" i="1"/>
  <c r="N20" i="1"/>
  <c r="AL20" i="1"/>
  <c r="H18" i="1"/>
  <c r="AR18" i="1"/>
  <c r="J18" i="1"/>
  <c r="L18" i="1"/>
  <c r="N18" i="1"/>
  <c r="P18" i="1"/>
  <c r="AP18" i="1"/>
  <c r="F18" i="1"/>
  <c r="AV18" i="1"/>
  <c r="R18" i="1"/>
  <c r="AT18" i="1"/>
  <c r="T18" i="1"/>
  <c r="V18" i="1"/>
  <c r="AV17" i="1"/>
  <c r="AJ17" i="1"/>
  <c r="AL17" i="1"/>
  <c r="AP17" i="1"/>
  <c r="AH17" i="1"/>
  <c r="AR17" i="1"/>
  <c r="AN17" i="1"/>
  <c r="H17" i="1"/>
  <c r="J17" i="1"/>
  <c r="AT17" i="1"/>
  <c r="L17" i="1"/>
  <c r="N17" i="1"/>
  <c r="Z16" i="1"/>
  <c r="AV16" i="1"/>
  <c r="AB16" i="1"/>
  <c r="AD16" i="1"/>
  <c r="AF16" i="1"/>
  <c r="AH16" i="1"/>
  <c r="AJ16" i="1"/>
  <c r="AR16" i="1"/>
  <c r="AL16" i="1"/>
  <c r="AP16" i="1"/>
  <c r="AN16" i="1"/>
  <c r="V13" i="1"/>
  <c r="X13" i="1"/>
  <c r="Z13" i="1"/>
  <c r="AB13" i="1"/>
  <c r="AR13" i="1"/>
  <c r="AD13" i="1"/>
  <c r="AF13" i="1"/>
  <c r="AH13" i="1"/>
  <c r="AJ13" i="1"/>
  <c r="AN13" i="1"/>
  <c r="AT13" i="1"/>
  <c r="AP13" i="1"/>
  <c r="AV13" i="1"/>
  <c r="T13" i="1"/>
  <c r="AR12" i="1"/>
  <c r="V12" i="1"/>
  <c r="X12" i="1"/>
  <c r="Z12" i="1"/>
  <c r="AF12" i="1"/>
  <c r="AH12" i="1"/>
  <c r="AL12" i="1"/>
  <c r="AN12" i="1"/>
  <c r="AP12" i="1"/>
  <c r="T12" i="1"/>
  <c r="H12" i="1"/>
  <c r="AB12" i="1"/>
  <c r="AT12" i="1"/>
  <c r="AJ12" i="1"/>
  <c r="R12" i="1"/>
  <c r="AF9" i="1"/>
  <c r="AB9" i="1"/>
  <c r="AV9" i="1"/>
  <c r="AT9" i="1"/>
  <c r="AF8" i="1"/>
  <c r="AT5" i="1"/>
  <c r="AV5" i="1"/>
  <c r="AS17" i="2"/>
  <c r="AU17" i="2"/>
  <c r="D18" i="3" s="1"/>
  <c r="AH8" i="1"/>
  <c r="AN9" i="1"/>
  <c r="AR9" i="1"/>
  <c r="AD9" i="1"/>
  <c r="AL9" i="1"/>
  <c r="J9" i="1"/>
  <c r="H9" i="1"/>
  <c r="L9" i="1"/>
  <c r="P9" i="1"/>
  <c r="F9" i="1"/>
  <c r="R9" i="1"/>
  <c r="AJ9" i="1"/>
  <c r="T9" i="1"/>
  <c r="N9" i="1"/>
  <c r="AP9" i="1"/>
  <c r="Z9" i="1"/>
  <c r="V9" i="1"/>
  <c r="X9" i="1"/>
  <c r="AR8" i="1"/>
  <c r="R8" i="1"/>
  <c r="T8" i="1"/>
  <c r="AP8" i="1"/>
  <c r="AJ8" i="1"/>
  <c r="AJ5" i="1"/>
  <c r="AP5" i="1"/>
  <c r="AJ19" i="1"/>
  <c r="J19" i="1"/>
  <c r="L19" i="1"/>
  <c r="F19" i="1"/>
  <c r="P19" i="1"/>
  <c r="T19" i="1"/>
  <c r="V19" i="1"/>
  <c r="X19" i="1"/>
  <c r="Z19" i="1"/>
  <c r="AB19" i="1"/>
  <c r="AD19" i="1"/>
  <c r="AF19" i="1"/>
  <c r="AR19" i="1"/>
  <c r="AN19" i="1"/>
  <c r="AL19" i="1"/>
  <c r="R19" i="1"/>
  <c r="AH19" i="1"/>
  <c r="AR5" i="1"/>
  <c r="V8" i="1"/>
  <c r="X8" i="1"/>
  <c r="F8" i="1"/>
  <c r="N8" i="1"/>
  <c r="P8" i="1"/>
  <c r="Z8" i="1"/>
  <c r="AB8" i="1"/>
  <c r="AD8" i="1"/>
  <c r="AL8" i="1"/>
  <c r="AN8" i="1"/>
  <c r="H8" i="1"/>
  <c r="J8" i="1"/>
  <c r="L8" i="1"/>
  <c r="T5" i="1"/>
  <c r="AD5" i="1"/>
  <c r="AH5" i="1"/>
  <c r="H5" i="1"/>
  <c r="V5" i="1"/>
  <c r="X5" i="1"/>
  <c r="AB5" i="1"/>
  <c r="AL5" i="1"/>
  <c r="F5" i="1"/>
  <c r="AN5" i="1"/>
  <c r="R5" i="1"/>
  <c r="J5" i="1"/>
  <c r="L5" i="1"/>
  <c r="N5" i="1"/>
  <c r="P5" i="1"/>
  <c r="Z5" i="1"/>
  <c r="AF5" i="1"/>
  <c r="AQ17" i="2"/>
  <c r="P12" i="1"/>
  <c r="L12" i="1"/>
  <c r="J12" i="1"/>
  <c r="N12" i="1"/>
  <c r="Q17" i="2"/>
  <c r="D22" i="3" s="1"/>
  <c r="AK17" i="2"/>
  <c r="D5" i="3" s="1"/>
  <c r="AM17" i="2"/>
  <c r="D14" i="3" s="1"/>
  <c r="AI17" i="2"/>
  <c r="D17" i="3" s="1"/>
  <c r="AO17" i="2"/>
  <c r="D4" i="3" s="1"/>
  <c r="AA17" i="2"/>
  <c r="D12" i="3" s="1"/>
  <c r="AC17" i="2"/>
  <c r="D13" i="3" s="1"/>
  <c r="AE17" i="2"/>
  <c r="D3" i="3" s="1"/>
  <c r="AG17" i="2"/>
  <c r="D10" i="3" s="1"/>
  <c r="E17" i="2"/>
  <c r="D6" i="3" s="1"/>
  <c r="I17" i="2"/>
  <c r="D9" i="3" s="1"/>
  <c r="K17" i="2"/>
  <c r="D24" i="3" s="1"/>
  <c r="M17" i="2"/>
  <c r="D20" i="3" s="1"/>
  <c r="G17" i="2"/>
  <c r="D11" i="3" s="1"/>
  <c r="O17" i="2"/>
  <c r="D15" i="3" s="1"/>
  <c r="S17" i="2"/>
  <c r="D21" i="3" s="1"/>
  <c r="U17" i="2"/>
  <c r="D8" i="3" s="1"/>
  <c r="W17" i="2"/>
  <c r="D7" i="3" s="1"/>
  <c r="Y17" i="2"/>
  <c r="D16" i="3" s="1"/>
  <c r="C18" i="3" l="1"/>
  <c r="C19" i="3"/>
  <c r="C22" i="3"/>
  <c r="C23" i="3"/>
  <c r="C4" i="3"/>
  <c r="C13" i="3"/>
  <c r="C21" i="3"/>
  <c r="C3" i="3"/>
  <c r="C15" i="3"/>
  <c r="E15" i="3" s="1"/>
  <c r="C20" i="3"/>
  <c r="C17" i="3"/>
  <c r="C6" i="3"/>
  <c r="C7" i="3"/>
  <c r="C24" i="3"/>
  <c r="C5" i="3"/>
  <c r="C12" i="3"/>
  <c r="C11" i="3"/>
  <c r="C16" i="3"/>
  <c r="C9" i="3"/>
  <c r="C14" i="3"/>
  <c r="C8" i="3"/>
  <c r="E8" i="3" s="1"/>
  <c r="C10" i="3"/>
  <c r="E4" i="3" l="1"/>
  <c r="E22" i="3"/>
  <c r="E23" i="3"/>
  <c r="E20" i="3"/>
  <c r="E3" i="3"/>
  <c r="E12" i="3"/>
  <c r="E13" i="3"/>
  <c r="E18" i="3"/>
  <c r="E7" i="3"/>
  <c r="E17" i="3"/>
  <c r="E6" i="3"/>
  <c r="E5" i="3"/>
  <c r="E11" i="3"/>
  <c r="E16" i="3"/>
  <c r="E21" i="3"/>
  <c r="E9" i="3"/>
  <c r="E24" i="3"/>
  <c r="E14" i="3"/>
  <c r="E10" i="3"/>
  <c r="E19" i="3"/>
  <c r="A16" i="3" l="1"/>
  <c r="A14" i="3"/>
  <c r="A19" i="3"/>
  <c r="A6" i="3"/>
  <c r="A10" i="3"/>
  <c r="A24" i="3"/>
  <c r="A9" i="3"/>
  <c r="A15" i="3"/>
  <c r="A17" i="3"/>
  <c r="A4" i="3"/>
  <c r="A23" i="3"/>
  <c r="A13" i="3"/>
  <c r="A8" i="3"/>
  <c r="A21" i="3"/>
  <c r="A11" i="3"/>
  <c r="A7" i="3"/>
  <c r="A20" i="3"/>
  <c r="A18" i="3"/>
  <c r="A12" i="3"/>
  <c r="A3" i="3"/>
  <c r="A5" i="3"/>
  <c r="A22" i="3"/>
</calcChain>
</file>

<file path=xl/sharedStrings.xml><?xml version="1.0" encoding="utf-8"?>
<sst xmlns="http://schemas.openxmlformats.org/spreadsheetml/2006/main" count="3141" uniqueCount="281">
  <si>
    <t>Tijd</t>
  </si>
  <si>
    <t>Thuis</t>
  </si>
  <si>
    <t>Uitslag</t>
  </si>
  <si>
    <t>Uit</t>
  </si>
  <si>
    <t>Roland</t>
  </si>
  <si>
    <t>Nikki</t>
  </si>
  <si>
    <t>Abdussamed</t>
  </si>
  <si>
    <t>Karsten</t>
  </si>
  <si>
    <t>Bas</t>
  </si>
  <si>
    <t>Maik</t>
  </si>
  <si>
    <t>Simone</t>
  </si>
  <si>
    <t>Marc</t>
  </si>
  <si>
    <t>Tom</t>
  </si>
  <si>
    <t>Jos</t>
  </si>
  <si>
    <t>Lesley</t>
  </si>
  <si>
    <t>Ivo</t>
  </si>
  <si>
    <t>Ron</t>
  </si>
  <si>
    <t>Jeroen</t>
  </si>
  <si>
    <t>Erwin</t>
  </si>
  <si>
    <t>Tim</t>
  </si>
  <si>
    <t>Kim</t>
  </si>
  <si>
    <t>Kristel</t>
  </si>
  <si>
    <t>Patrick</t>
  </si>
  <si>
    <t>Jeno</t>
  </si>
  <si>
    <t>Raymond</t>
  </si>
  <si>
    <t>_ActThuis</t>
  </si>
  <si>
    <t>_ActUit</t>
  </si>
  <si>
    <t>Voorspelling</t>
  </si>
  <si>
    <t>Punten</t>
  </si>
  <si>
    <t>Groepsfase</t>
  </si>
  <si>
    <t>donderdag 11 juni 2026</t>
  </si>
  <si>
    <t>Mexico</t>
  </si>
  <si>
    <t>Zuid-Afrika</t>
  </si>
  <si>
    <t>2-1</t>
  </si>
  <si>
    <t>3-1</t>
  </si>
  <si>
    <t>1-1</t>
  </si>
  <si>
    <t>2-0</t>
  </si>
  <si>
    <t>1-2</t>
  </si>
  <si>
    <t>3-0</t>
  </si>
  <si>
    <t>1-0</t>
  </si>
  <si>
    <t>vrijdag 12 juni 2026</t>
  </si>
  <si>
    <t>Zuid-Korea</t>
  </si>
  <si>
    <t>Tsjechië</t>
  </si>
  <si>
    <t>4-1</t>
  </si>
  <si>
    <t>2-3</t>
  </si>
  <si>
    <t>0-1</t>
  </si>
  <si>
    <t>Canada</t>
  </si>
  <si>
    <t>Bosnië en Herzegovina</t>
  </si>
  <si>
    <t>0-2</t>
  </si>
  <si>
    <t>2-2</t>
  </si>
  <si>
    <t>0-0</t>
  </si>
  <si>
    <t>zaterdag 13 juni 2026</t>
  </si>
  <si>
    <t>Verenigde Staten</t>
  </si>
  <si>
    <t>Paraguay</t>
  </si>
  <si>
    <t>Qatar</t>
  </si>
  <si>
    <t>Zwitserland</t>
  </si>
  <si>
    <t>0-3</t>
  </si>
  <si>
    <t>1-3</t>
  </si>
  <si>
    <t>zondag 14 juni 2026</t>
  </si>
  <si>
    <t>Brazilië</t>
  </si>
  <si>
    <t>Marokko</t>
  </si>
  <si>
    <t>3-2</t>
  </si>
  <si>
    <t>4-2</t>
  </si>
  <si>
    <t>4-0</t>
  </si>
  <si>
    <t>Haïti</t>
  </si>
  <si>
    <t>Schotland</t>
  </si>
  <si>
    <t>0-4</t>
  </si>
  <si>
    <t>Australië</t>
  </si>
  <si>
    <t>Turkije</t>
  </si>
  <si>
    <t>Duitsland</t>
  </si>
  <si>
    <t>Curaçao</t>
  </si>
  <si>
    <t>5-0</t>
  </si>
  <si>
    <t>6-0</t>
  </si>
  <si>
    <t>Nederland</t>
  </si>
  <si>
    <t>Japan</t>
  </si>
  <si>
    <t>maandag 15 juni 2026</t>
  </si>
  <si>
    <t>Ivoorkust</t>
  </si>
  <si>
    <t>Ecuador</t>
  </si>
  <si>
    <t>Zweden</t>
  </si>
  <si>
    <t>Tunesië</t>
  </si>
  <si>
    <t>Spanje</t>
  </si>
  <si>
    <t>Kaapverdië</t>
  </si>
  <si>
    <t>België</t>
  </si>
  <si>
    <t>Egypte</t>
  </si>
  <si>
    <t>dinsdag 16 juni 2026</t>
  </si>
  <si>
    <t>Saoedi-Arabië</t>
  </si>
  <si>
    <t>Uruguay</t>
  </si>
  <si>
    <t>Iran</t>
  </si>
  <si>
    <t>Nieuw-Zeeland</t>
  </si>
  <si>
    <t>Frankrijk</t>
  </si>
  <si>
    <t>Senegal</t>
  </si>
  <si>
    <t>5-2</t>
  </si>
  <si>
    <t>woensdag 17 juni 2026</t>
  </si>
  <si>
    <t>Irak</t>
  </si>
  <si>
    <t>Noorwegen</t>
  </si>
  <si>
    <t>Argentinië</t>
  </si>
  <si>
    <t>Algerije</t>
  </si>
  <si>
    <t>Oostenrijk</t>
  </si>
  <si>
    <t>Jordanië</t>
  </si>
  <si>
    <t>Portugal</t>
  </si>
  <si>
    <t>DR Congo</t>
  </si>
  <si>
    <t>Engeland</t>
  </si>
  <si>
    <t>Kroatië</t>
  </si>
  <si>
    <t>donderdag 18 juni 2026</t>
  </si>
  <si>
    <t>Ghana</t>
  </si>
  <si>
    <t>Panama</t>
  </si>
  <si>
    <t>4-3</t>
  </si>
  <si>
    <t>Oezbekistan</t>
  </si>
  <si>
    <t>Colombia</t>
  </si>
  <si>
    <t>3-4</t>
  </si>
  <si>
    <t>vrijdag 19 juni 2026</t>
  </si>
  <si>
    <t>zaterdag 20 juni 2026</t>
  </si>
  <si>
    <t>7-0</t>
  </si>
  <si>
    <t>5-1</t>
  </si>
  <si>
    <t>zondag 21 juni 2026</t>
  </si>
  <si>
    <t>1-4</t>
  </si>
  <si>
    <t>maandag 22 juni 2026</t>
  </si>
  <si>
    <t>dinsdag 23 juni 2026</t>
  </si>
  <si>
    <t>woensdag 24 juni 2026</t>
  </si>
  <si>
    <t>donderdag 25 juni 2026</t>
  </si>
  <si>
    <t>1-5</t>
  </si>
  <si>
    <t>2-4</t>
  </si>
  <si>
    <t>vrijdag 26 juni 2026</t>
  </si>
  <si>
    <t>3-3</t>
  </si>
  <si>
    <t>0-5</t>
  </si>
  <si>
    <t>zaterdag 27 juni 2026</t>
  </si>
  <si>
    <t>zondag 28 juni 2026</t>
  </si>
  <si>
    <t>0-6</t>
  </si>
  <si>
    <t>Zestiende finales</t>
  </si>
  <si>
    <t>maandag 29 juni 2026</t>
  </si>
  <si>
    <t>dinsdag 30 juni 2026</t>
  </si>
  <si>
    <t>woensdag 1 juli 2026</t>
  </si>
  <si>
    <t>donderdag 2 juli 2026</t>
  </si>
  <si>
    <t>vrijdag 3 juli 2026</t>
  </si>
  <si>
    <t>zaterdag 4 juli 2026</t>
  </si>
  <si>
    <t>Achtste finales</t>
  </si>
  <si>
    <t>zondag 5 juli 2026</t>
  </si>
  <si>
    <t>maandag 6 juli 2026</t>
  </si>
  <si>
    <t>Kwartfinales</t>
  </si>
  <si>
    <t>donderdag 9 juli 2026</t>
  </si>
  <si>
    <t>vrijdag 10 juli 2026</t>
  </si>
  <si>
    <t>zaterdag 11 juli 2026</t>
  </si>
  <si>
    <t>zondag 12 juli 2026</t>
  </si>
  <si>
    <t>Halve finales</t>
  </si>
  <si>
    <t>dinsdag 14 juli 2026</t>
  </si>
  <si>
    <t>woensdag 15 juli 2026</t>
  </si>
  <si>
    <t>Troostfinale</t>
  </si>
  <si>
    <t>zaterdag 18 juli 2026</t>
  </si>
  <si>
    <t>Finale</t>
  </si>
  <si>
    <t>zondag 19 juli 2026</t>
  </si>
  <si>
    <t>Bonusvraag</t>
  </si>
  <si>
    <t>Correct antwoord</t>
  </si>
  <si>
    <t>Antwoord</t>
  </si>
  <si>
    <t>Welk land kroont zich tot Wereldkampioen?</t>
  </si>
  <si>
    <t>Welk land wordt de verliezend finalist?</t>
  </si>
  <si>
    <t>Welk land zal de Troostfinale winnen?</t>
  </si>
  <si>
    <t xml:space="preserve">Frankrijk </t>
  </si>
  <si>
    <t>Wie wordt er topscorer van het Nederlands Elftal op het WK?</t>
  </si>
  <si>
    <t>Malen</t>
  </si>
  <si>
    <t>Depay</t>
  </si>
  <si>
    <t>Gakpo</t>
  </si>
  <si>
    <t>Hoeveel verschillende spelers van het Nederlands Elftal krijgen speelminuten op dit WK?</t>
  </si>
  <si>
    <t>16</t>
  </si>
  <si>
    <t>Welk land scoort de meeste doelpunten tijdens dit WK?</t>
  </si>
  <si>
    <t>Argentinïe</t>
  </si>
  <si>
    <t>Mbappe</t>
  </si>
  <si>
    <t>Brazilie</t>
  </si>
  <si>
    <t>Welk land krijgt de meeste tegendoelpunten tijdens dit WK?</t>
  </si>
  <si>
    <t>Curacao</t>
  </si>
  <si>
    <t>Haiti</t>
  </si>
  <si>
    <t>Congo</t>
  </si>
  <si>
    <t>Wie wordt er topscorer van dit toernooi?</t>
  </si>
  <si>
    <t>Ueda</t>
  </si>
  <si>
    <t>Yamal</t>
  </si>
  <si>
    <t>Havertz</t>
  </si>
  <si>
    <t>Kane</t>
  </si>
  <si>
    <t>Olise</t>
  </si>
  <si>
    <t>Torres</t>
  </si>
  <si>
    <t>Jesus</t>
  </si>
  <si>
    <t>Welke speler geeft de meeste assists dit toernooi?</t>
  </si>
  <si>
    <t>de Bruyne</t>
  </si>
  <si>
    <t>Saibari</t>
  </si>
  <si>
    <t>Bruno Fernandes</t>
  </si>
  <si>
    <t>Bellingham</t>
  </si>
  <si>
    <t>Antoine Griezmann</t>
  </si>
  <si>
    <t>Pedri</t>
  </si>
  <si>
    <t>Odegaard</t>
  </si>
  <si>
    <t>Dumfries</t>
  </si>
  <si>
    <t>Haaland</t>
  </si>
  <si>
    <t>Welke speler zal worden gekroond tot ‘beste speler van het toernooi’?</t>
  </si>
  <si>
    <t>Rodri</t>
  </si>
  <si>
    <t>van Dijk</t>
  </si>
  <si>
    <t>Musiala</t>
  </si>
  <si>
    <t>Welke speler zal worden gekozen als ‘beste jonge speler van het toernooi’?</t>
  </si>
  <si>
    <t>Doue</t>
  </si>
  <si>
    <t>Jurkas</t>
  </si>
  <si>
    <t>Mora</t>
  </si>
  <si>
    <t>Estevao</t>
  </si>
  <si>
    <t>Welke keeper zal de Gouden Handschoen winnen?</t>
  </si>
  <si>
    <t>Becker</t>
  </si>
  <si>
    <t>Maignan</t>
  </si>
  <si>
    <t>Simon</t>
  </si>
  <si>
    <t>Neuer</t>
  </si>
  <si>
    <t>Verbruggen</t>
  </si>
  <si>
    <t>Raya</t>
  </si>
  <si>
    <t>Costa</t>
  </si>
  <si>
    <t>Martinez</t>
  </si>
  <si>
    <t>Hoeveel rode kaarten worden er uitgedeeld dit toernooi?</t>
  </si>
  <si>
    <t>4</t>
  </si>
  <si>
    <t>Welke scheidsrechter zal de WK-finale mogen fluiten?</t>
  </si>
  <si>
    <t>Oliver</t>
  </si>
  <si>
    <t>Marciniak</t>
  </si>
  <si>
    <t>Makkelie</t>
  </si>
  <si>
    <t>Turpin</t>
  </si>
  <si>
    <t>Orsato</t>
  </si>
  <si>
    <t>Totaal (bonus)</t>
  </si>
  <si>
    <t>Stand</t>
  </si>
  <si>
    <t>Rang</t>
  </si>
  <si>
    <t>Deelnemer</t>
  </si>
  <si>
    <t>Punten wedstrijden</t>
  </si>
  <si>
    <t>Punten bonus</t>
  </si>
  <si>
    <t>Totaal</t>
  </si>
  <si>
    <t>Deadlines</t>
  </si>
  <si>
    <t>Onderdeel</t>
  </si>
  <si>
    <t>Datum</t>
  </si>
  <si>
    <t>Deadline voor bonusvragen</t>
  </si>
  <si>
    <t>maandag 8 juni 23.59 uur</t>
  </si>
  <si>
    <t>poulefase</t>
  </si>
  <si>
    <t>zestiende finales</t>
  </si>
  <si>
    <t>zondag 28 juni 17.00 uur</t>
  </si>
  <si>
    <t>achtste finales</t>
  </si>
  <si>
    <t>zaterdag 4 juli 15.00 uur</t>
  </si>
  <si>
    <t>kwartfinales</t>
  </si>
  <si>
    <t>donderdag 9 juli 17.00 uur</t>
  </si>
  <si>
    <t>halve finales</t>
  </si>
  <si>
    <t>dinsdag 14 juli 17.00 uur</t>
  </si>
  <si>
    <t>(verliezers)finale</t>
  </si>
  <si>
    <t>vrijdag 17 juli 23.59 uur</t>
  </si>
  <si>
    <t>Puntentelling</t>
  </si>
  <si>
    <t>Voorbeeld</t>
  </si>
  <si>
    <t>Goed geraden uitslag (exact)</t>
  </si>
  <si>
    <t>Voorspelling: 3-0, uitslag: 3-0</t>
  </si>
  <si>
    <t>Goed geraden winnaar per wedstrijd (of gelijkspel)</t>
  </si>
  <si>
    <t>Voorspelling: 2-1, uitslag: 4-0</t>
  </si>
  <si>
    <t>Goed geraden verschil in doelpunten tussen beide teams</t>
  </si>
  <si>
    <t>Voorspelling: 3-1, uitslag: 2-0</t>
  </si>
  <si>
    <t>Goed geraden aantal doelpunten thuisteam per wedstrijd</t>
  </si>
  <si>
    <t>Voorspelling: 0-3, uitslag: 0-0</t>
  </si>
  <si>
    <t>Goed geraden aantal doelpunten uitteam per wedstrijd</t>
  </si>
  <si>
    <t>Voorspelling: 3-0, uitslag: 0-0</t>
  </si>
  <si>
    <t>Bonusvraag goed</t>
  </si>
  <si>
    <t>Contant betaald</t>
  </si>
  <si>
    <t>Tikkie betaald</t>
  </si>
  <si>
    <t>niet betaald</t>
  </si>
  <si>
    <t>Richard</t>
  </si>
  <si>
    <t>Tim G.</t>
  </si>
  <si>
    <t>Andre</t>
  </si>
  <si>
    <t>Summerville</t>
  </si>
  <si>
    <t>Frenkie de Jong</t>
  </si>
  <si>
    <t>Bouaddi</t>
  </si>
  <si>
    <t>Penso</t>
  </si>
  <si>
    <t>7-1</t>
  </si>
  <si>
    <t>Tom Verbong</t>
  </si>
  <si>
    <t>Jos Heinemans</t>
  </si>
  <si>
    <t>Roland Meijer</t>
  </si>
  <si>
    <t>Ron Bominaar</t>
  </si>
  <si>
    <t>Patrick Wissink</t>
  </si>
  <si>
    <t>Nikki Peeters</t>
  </si>
  <si>
    <t>Jeroen Sturme</t>
  </si>
  <si>
    <t>Vincent Ten Brinke</t>
  </si>
  <si>
    <t>Simone Noten - 2</t>
  </si>
  <si>
    <t>Simone Noten - 1</t>
  </si>
  <si>
    <t>Maik van Tilburg</t>
  </si>
  <si>
    <t>André van den Heuvel</t>
  </si>
  <si>
    <t>Simone Noten - 3</t>
  </si>
  <si>
    <t>Bas Mattheijssen</t>
  </si>
  <si>
    <t xml:space="preserve"> Orsato</t>
  </si>
  <si>
    <t>4-6</t>
  </si>
  <si>
    <t>Vincic</t>
  </si>
  <si>
    <t>Tunesie, Irak</t>
  </si>
  <si>
    <t>Cubarsi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</si>
</sst>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2868"/>
      <name val="Calibri"/>
    </font>
    <font>
      <b/>
      <sz val="13"/>
      <color rgb="FFFFFFFF"/>
      <name val="Calibri"/>
    </font>
    <font>
      <b/>
      <sz val="12"/>
      <color rgb="FFFFFFFF"/>
      <name val="Calibri"/>
    </font>
    <font>
      <b/>
      <sz val="13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2868"/>
      <name val="Calibri"/>
      <family val="2"/>
    </font>
    <font>
      <sz val="11"/>
      <color theme="1"/>
      <name val="Segoe UI"/>
      <family val="2"/>
    </font>
    <font>
      <sz val="10"/>
      <color rgb="FF1A1A1A"/>
      <name val="Arial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868"/>
      </patternFill>
    </fill>
    <fill>
      <patternFill patternType="solid">
        <fgColor rgb="FFBF0A30"/>
      </patternFill>
    </fill>
    <fill>
      <patternFill patternType="solid">
        <fgColor rgb="FFF3F6FB"/>
      </patternFill>
    </fill>
    <fill>
      <patternFill patternType="solid">
        <fgColor rgb="FFBF283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4" xfId="0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2" xfId="0" applyBorder="1"/>
    <xf numFmtId="0" fontId="2" fillId="4" borderId="4" xfId="0" applyFont="1" applyFill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3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0" fontId="0" fillId="0" borderId="4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49" fontId="0" fillId="0" borderId="4" xfId="0" applyNumberFormat="1" applyBorder="1"/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7" fillId="5" borderId="4" xfId="0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9" fillId="0" borderId="0" xfId="0" applyFont="1"/>
    <xf numFmtId="0" fontId="10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6" fillId="0" borderId="0" xfId="0" applyFont="1"/>
    <xf numFmtId="0" fontId="5" fillId="2" borderId="4" xfId="0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left" vertical="center" wrapText="1"/>
    </xf>
    <xf numFmtId="1" fontId="0" fillId="0" borderId="4" xfId="0" applyNumberForma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0" fontId="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BF2830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94"/>
  <sheetViews>
    <sheetView workbookViewId="0">
      <pane xSplit="4" ySplit="2" topLeftCell="AD181" activePane="bottomRight" state="frozen"/>
      <selection pane="topRight"/>
      <selection pane="bottomLeft"/>
      <selection pane="bottomRight" activeCell="C193" sqref="C193"/>
    </sheetView>
  </sheetViews>
  <sheetFormatPr defaultRowHeight="14.4" x14ac:dyDescent="0.3"/>
  <cols>
    <col min="1" max="1" width="10.5546875" customWidth="1"/>
    <col min="2" max="2" width="20.5546875" style="19" customWidth="1"/>
    <col min="3" max="3" width="10.5546875" customWidth="1"/>
    <col min="4" max="4" width="20.5546875" style="20" customWidth="1"/>
    <col min="5" max="5" width="12.5546875" style="23" customWidth="1"/>
    <col min="6" max="6" width="8.5546875" customWidth="1"/>
    <col min="7" max="7" width="12.5546875" style="23" customWidth="1"/>
    <col min="8" max="8" width="8.5546875" customWidth="1"/>
    <col min="9" max="9" width="12.5546875" style="23" customWidth="1"/>
    <col min="10" max="10" width="8.5546875" customWidth="1"/>
    <col min="11" max="11" width="12.5546875" style="23" customWidth="1"/>
    <col min="12" max="12" width="8.5546875" customWidth="1"/>
    <col min="13" max="13" width="12.5546875" style="23" customWidth="1"/>
    <col min="14" max="14" width="8.5546875" customWidth="1"/>
    <col min="15" max="15" width="12.5546875" style="23" customWidth="1"/>
    <col min="16" max="16" width="8.5546875" customWidth="1"/>
    <col min="17" max="17" width="12.5546875" style="23" customWidth="1"/>
    <col min="18" max="18" width="8.5546875" customWidth="1"/>
    <col min="19" max="19" width="12.5546875" style="23" customWidth="1"/>
    <col min="20" max="20" width="8.5546875" customWidth="1"/>
    <col min="21" max="21" width="12.5546875" customWidth="1"/>
    <col min="22" max="22" width="8.5546875" customWidth="1"/>
    <col min="23" max="23" width="12.5546875" style="23" customWidth="1"/>
    <col min="24" max="24" width="8.5546875" customWidth="1"/>
    <col min="25" max="25" width="12.5546875" style="23" customWidth="1"/>
    <col min="26" max="26" width="8.5546875" customWidth="1"/>
    <col min="27" max="27" width="12.5546875" style="23" customWidth="1"/>
    <col min="28" max="28" width="8.5546875" customWidth="1"/>
    <col min="29" max="29" width="12.5546875" style="23" customWidth="1"/>
    <col min="30" max="30" width="8.5546875" customWidth="1"/>
    <col min="31" max="31" width="12.5546875" style="23" customWidth="1"/>
    <col min="32" max="32" width="8.5546875" customWidth="1"/>
    <col min="33" max="33" width="12.5546875" style="23" customWidth="1"/>
    <col min="34" max="34" width="8.5546875" customWidth="1"/>
    <col min="35" max="35" width="12.5546875" style="23" customWidth="1"/>
    <col min="36" max="36" width="8.5546875" customWidth="1"/>
    <col min="37" max="37" width="12.5546875" style="23" customWidth="1"/>
    <col min="38" max="38" width="8.5546875" customWidth="1"/>
    <col min="39" max="39" width="12.5546875" style="23" customWidth="1"/>
    <col min="40" max="40" width="8.5546875" customWidth="1"/>
    <col min="41" max="41" width="12.5546875" style="23" customWidth="1"/>
    <col min="42" max="42" width="8.5546875" customWidth="1"/>
    <col min="43" max="43" width="12.5546875" style="23" customWidth="1"/>
    <col min="44" max="44" width="8.5546875" customWidth="1"/>
    <col min="45" max="45" width="12.5546875" style="23" customWidth="1"/>
    <col min="46" max="46" width="8.5546875" customWidth="1"/>
    <col min="47" max="47" width="12.5546875" style="23" customWidth="1"/>
    <col min="48" max="48" width="8.5546875" customWidth="1"/>
    <col min="49" max="50" width="13" hidden="1" customWidth="1"/>
  </cols>
  <sheetData>
    <row r="1" spans="1:50" x14ac:dyDescent="0.3">
      <c r="A1" s="43" t="s">
        <v>0</v>
      </c>
      <c r="B1" s="43" t="s">
        <v>1</v>
      </c>
      <c r="C1" s="43" t="s">
        <v>2</v>
      </c>
      <c r="D1" s="43" t="s">
        <v>3</v>
      </c>
      <c r="E1" s="40" t="s">
        <v>4</v>
      </c>
      <c r="F1" s="42"/>
      <c r="G1" s="40" t="s">
        <v>5</v>
      </c>
      <c r="H1" s="39"/>
      <c r="I1" s="40" t="s">
        <v>6</v>
      </c>
      <c r="J1" s="39"/>
      <c r="K1" s="40" t="s">
        <v>7</v>
      </c>
      <c r="L1" s="39"/>
      <c r="M1" s="40" t="s">
        <v>8</v>
      </c>
      <c r="N1" s="39"/>
      <c r="O1" s="40" t="s">
        <v>9</v>
      </c>
      <c r="P1" s="39"/>
      <c r="Q1" s="40" t="s">
        <v>10</v>
      </c>
      <c r="R1" s="39"/>
      <c r="S1" s="40" t="s">
        <v>11</v>
      </c>
      <c r="T1" s="39"/>
      <c r="U1" s="40" t="s">
        <v>12</v>
      </c>
      <c r="V1" s="39"/>
      <c r="W1" s="40" t="s">
        <v>13</v>
      </c>
      <c r="X1" s="39"/>
      <c r="Y1" s="40" t="s">
        <v>14</v>
      </c>
      <c r="Z1" s="39"/>
      <c r="AA1" s="40" t="s">
        <v>15</v>
      </c>
      <c r="AB1" s="39"/>
      <c r="AC1" s="40" t="s">
        <v>16</v>
      </c>
      <c r="AD1" s="39"/>
      <c r="AE1" s="40" t="s">
        <v>17</v>
      </c>
      <c r="AF1" s="39"/>
      <c r="AG1" s="40" t="s">
        <v>18</v>
      </c>
      <c r="AH1" s="39"/>
      <c r="AI1" s="40" t="s">
        <v>19</v>
      </c>
      <c r="AJ1" s="39"/>
      <c r="AK1" s="40" t="s">
        <v>20</v>
      </c>
      <c r="AL1" s="39"/>
      <c r="AM1" s="40" t="s">
        <v>21</v>
      </c>
      <c r="AN1" s="39"/>
      <c r="AO1" s="40" t="s">
        <v>22</v>
      </c>
      <c r="AP1" s="39"/>
      <c r="AQ1" s="40" t="s">
        <v>23</v>
      </c>
      <c r="AR1" s="39"/>
      <c r="AS1" s="40" t="s">
        <v>256</v>
      </c>
      <c r="AT1" s="42"/>
      <c r="AU1" s="40" t="s">
        <v>24</v>
      </c>
      <c r="AV1" s="42"/>
      <c r="AW1" s="2" t="s">
        <v>25</v>
      </c>
      <c r="AX1" s="2" t="s">
        <v>26</v>
      </c>
    </row>
    <row r="2" spans="1:50" x14ac:dyDescent="0.3">
      <c r="A2" s="44"/>
      <c r="B2" s="45"/>
      <c r="C2" s="44"/>
      <c r="D2" s="45"/>
      <c r="E2" s="27" t="s">
        <v>27</v>
      </c>
      <c r="F2" s="4" t="s">
        <v>28</v>
      </c>
      <c r="G2" s="4" t="s">
        <v>27</v>
      </c>
      <c r="H2" s="4" t="s">
        <v>28</v>
      </c>
      <c r="I2" s="4" t="s">
        <v>27</v>
      </c>
      <c r="J2" s="4" t="s">
        <v>28</v>
      </c>
      <c r="K2" s="4" t="s">
        <v>27</v>
      </c>
      <c r="L2" s="4" t="s">
        <v>28</v>
      </c>
      <c r="M2" s="4" t="s">
        <v>27</v>
      </c>
      <c r="N2" s="4" t="s">
        <v>28</v>
      </c>
      <c r="O2" s="4" t="s">
        <v>27</v>
      </c>
      <c r="P2" s="4" t="s">
        <v>28</v>
      </c>
      <c r="Q2" s="4" t="s">
        <v>27</v>
      </c>
      <c r="R2" s="4" t="s">
        <v>28</v>
      </c>
      <c r="S2" s="4" t="s">
        <v>27</v>
      </c>
      <c r="T2" s="4" t="s">
        <v>28</v>
      </c>
      <c r="U2" s="4" t="s">
        <v>27</v>
      </c>
      <c r="V2" s="4" t="s">
        <v>28</v>
      </c>
      <c r="W2" s="4" t="s">
        <v>27</v>
      </c>
      <c r="X2" s="4" t="s">
        <v>28</v>
      </c>
      <c r="Y2" s="4" t="s">
        <v>27</v>
      </c>
      <c r="Z2" s="4" t="s">
        <v>28</v>
      </c>
      <c r="AA2" s="4" t="s">
        <v>27</v>
      </c>
      <c r="AB2" s="4" t="s">
        <v>28</v>
      </c>
      <c r="AC2" s="4" t="s">
        <v>27</v>
      </c>
      <c r="AD2" s="4" t="s">
        <v>28</v>
      </c>
      <c r="AE2" s="4" t="s">
        <v>27</v>
      </c>
      <c r="AF2" s="4" t="s">
        <v>28</v>
      </c>
      <c r="AG2" s="4" t="s">
        <v>27</v>
      </c>
      <c r="AH2" s="4" t="s">
        <v>28</v>
      </c>
      <c r="AI2" s="4" t="s">
        <v>27</v>
      </c>
      <c r="AJ2" s="4" t="s">
        <v>28</v>
      </c>
      <c r="AK2" s="4" t="s">
        <v>27</v>
      </c>
      <c r="AL2" s="4" t="s">
        <v>28</v>
      </c>
      <c r="AM2" s="4" t="s">
        <v>27</v>
      </c>
      <c r="AN2" s="4" t="s">
        <v>28</v>
      </c>
      <c r="AO2" s="27" t="s">
        <v>27</v>
      </c>
      <c r="AP2" s="4" t="s">
        <v>28</v>
      </c>
      <c r="AQ2" s="4" t="s">
        <v>27</v>
      </c>
      <c r="AR2" s="4" t="s">
        <v>28</v>
      </c>
      <c r="AS2" s="4" t="s">
        <v>27</v>
      </c>
      <c r="AT2" s="4" t="s">
        <v>28</v>
      </c>
      <c r="AU2" s="4" t="s">
        <v>27</v>
      </c>
      <c r="AV2" s="4" t="s">
        <v>28</v>
      </c>
      <c r="AW2" s="2" t="s">
        <v>25</v>
      </c>
      <c r="AX2" s="2" t="s">
        <v>26</v>
      </c>
    </row>
    <row r="3" spans="1:50" ht="20.100000000000001" customHeight="1" x14ac:dyDescent="0.3">
      <c r="A3" s="41" t="s">
        <v>29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7"/>
      <c r="AW3" s="7"/>
      <c r="AX3" s="7"/>
    </row>
    <row r="4" spans="1:50" ht="20.100000000000001" customHeight="1" x14ac:dyDescent="0.3">
      <c r="A4" s="36" t="s">
        <v>30</v>
      </c>
      <c r="B4" s="37"/>
      <c r="C4" s="38"/>
      <c r="D4" s="37"/>
      <c r="E4" s="38"/>
      <c r="F4" s="37"/>
      <c r="G4" s="38"/>
      <c r="H4" s="37"/>
      <c r="I4" s="38"/>
      <c r="J4" s="37"/>
      <c r="K4" s="38"/>
      <c r="L4" s="37"/>
      <c r="M4" s="38"/>
      <c r="N4" s="37"/>
      <c r="O4" s="38"/>
      <c r="P4" s="37"/>
      <c r="Q4" s="38"/>
      <c r="R4" s="37"/>
      <c r="S4" s="38"/>
      <c r="T4" s="37"/>
      <c r="U4" s="38"/>
      <c r="V4" s="37"/>
      <c r="W4" s="38"/>
      <c r="X4" s="37"/>
      <c r="Y4" s="38"/>
      <c r="Z4" s="37"/>
      <c r="AA4" s="38"/>
      <c r="AB4" s="37"/>
      <c r="AC4" s="38"/>
      <c r="AD4" s="37"/>
      <c r="AE4" s="38"/>
      <c r="AF4" s="37"/>
      <c r="AG4" s="38"/>
      <c r="AH4" s="37"/>
      <c r="AI4" s="38"/>
      <c r="AJ4" s="37"/>
      <c r="AK4" s="38"/>
      <c r="AL4" s="37"/>
      <c r="AM4" s="38"/>
      <c r="AN4" s="37"/>
      <c r="AO4" s="38"/>
      <c r="AP4" s="37"/>
      <c r="AQ4" s="37"/>
      <c r="AR4" s="37"/>
      <c r="AS4" s="37"/>
      <c r="AT4" s="37"/>
      <c r="AU4" s="38"/>
      <c r="AV4" s="39"/>
      <c r="AW4" s="8"/>
      <c r="AX4" s="8"/>
    </row>
    <row r="5" spans="1:50" ht="18" customHeight="1" x14ac:dyDescent="0.3">
      <c r="A5" s="9">
        <v>1.875</v>
      </c>
      <c r="B5" s="18" t="s">
        <v>31</v>
      </c>
      <c r="C5" s="10" t="s">
        <v>36</v>
      </c>
      <c r="D5" s="1" t="s">
        <v>32</v>
      </c>
      <c r="E5" s="10" t="s">
        <v>33</v>
      </c>
      <c r="F5" s="11">
        <f>IF(OR($C5="",E5=""),"",IFERROR(IF(AND(IFERROR(--LEFT(E5,FIND("-",E5)-1),"")=AW5,IFERROR(--MID(E5,FIND("-",E5)+1,99),"")=AX5),10,5*(SIGN((IFERROR(--LEFT(E5,FIND("-",E5)-1),""))-(IFERROR(--MID(E5,FIND("-",E5)+1,99),"")))=SIGN((AW5)-(AX5)))+2*(((IFERROR(--LEFT(E5,FIND("-",E5)-1),""))-(IFERROR(--MID(E5,FIND("-",E5)+1,99),"")))=((AW5)-(AX5)))+2*((IFERROR(--LEFT(E5,FIND("-",E5)-1),""))=(AW5))+2*((IFERROR(--MID(E5,FIND("-",E5)+1,99),""))=(AX5))),""))</f>
        <v>7</v>
      </c>
      <c r="G5" s="10" t="s">
        <v>34</v>
      </c>
      <c r="H5" s="11">
        <f>IF(OR($C5="",G5=""),"",IFERROR(IF(AND(IFERROR(--LEFT(G5,FIND("-",G5)-1),"")=AW5,IFERROR(--MID(G5,FIND("-",G5)+1,99),"")=AX5),10,5*(SIGN((IFERROR(--LEFT(G5,FIND("-",G5)-1),""))-(IFERROR(--MID(G5,FIND("-",G5)+1,99),"")))=SIGN((AW5)-(AX5)))+2*(((IFERROR(--LEFT(G5,FIND("-",G5)-1),""))-(IFERROR(--MID(G5,FIND("-",G5)+1,99),"")))=((AW5)-(AX5)))+2*((IFERROR(--LEFT(G5,FIND("-",G5)-1),""))=(AW5))+2*((IFERROR(--MID(G5,FIND("-",G5)+1,99),""))=(AX5))),""))</f>
        <v>7</v>
      </c>
      <c r="I5" s="10" t="s">
        <v>35</v>
      </c>
      <c r="J5" s="11">
        <f>IF(OR($C5="",I5=""),"",IFERROR(IF(AND(IFERROR(--LEFT(I5,FIND("-",I5)-1),"")=AW5,IFERROR(--MID(I5,FIND("-",I5)+1,99),"")=AX5),10,5*(SIGN((IFERROR(--LEFT(I5,FIND("-",I5)-1),""))-(IFERROR(--MID(I5,FIND("-",I5)+1,99),"")))=SIGN((AW5)-(AX5)))+2*(((IFERROR(--LEFT(I5,FIND("-",I5)-1),""))-(IFERROR(--MID(I5,FIND("-",I5)+1,99),"")))=((AW5)-(AX5)))+2*((IFERROR(--LEFT(I5,FIND("-",I5)-1),""))=(AW5))+2*((IFERROR(--MID(I5,FIND("-",I5)+1,99),""))=(AX5))),""))</f>
        <v>0</v>
      </c>
      <c r="K5" s="10" t="s">
        <v>36</v>
      </c>
      <c r="L5" s="11">
        <f>IF(OR($C5="",K5=""),"",IFERROR(IF(AND(IFERROR(--LEFT(K5,FIND("-",K5)-1),"")=AW5,IFERROR(--MID(K5,FIND("-",K5)+1,99),"")=AX5),10,5*(SIGN((IFERROR(--LEFT(K5,FIND("-",K5)-1),""))-(IFERROR(--MID(K5,FIND("-",K5)+1,99),"")))=SIGN((AW5)-(AX5)))+2*(((IFERROR(--LEFT(K5,FIND("-",K5)-1),""))-(IFERROR(--MID(K5,FIND("-",K5)+1,99),"")))=((AW5)-(AX5)))+2*((IFERROR(--LEFT(K5,FIND("-",K5)-1),""))=(AW5))+2*((IFERROR(--MID(K5,FIND("-",K5)+1,99),""))=(AX5))),""))</f>
        <v>10</v>
      </c>
      <c r="M5" s="10" t="s">
        <v>33</v>
      </c>
      <c r="N5" s="11">
        <f>IF(OR($C5="",M5=""),"",IFERROR(IF(AND(IFERROR(--LEFT(M5,FIND("-",M5)-1),"")=AW5,IFERROR(--MID(M5,FIND("-",M5)+1,99),"")=AX5),10,5*(SIGN((IFERROR(--LEFT(M5,FIND("-",M5)-1),""))-(IFERROR(--MID(M5,FIND("-",M5)+1,99),"")))=SIGN((AW5)-(AX5)))+2*(((IFERROR(--LEFT(M5,FIND("-",M5)-1),""))-(IFERROR(--MID(M5,FIND("-",M5)+1,99),"")))=((AW5)-(AX5)))+2*((IFERROR(--LEFT(M5,FIND("-",M5)-1),""))=(AW5))+2*((IFERROR(--MID(M5,FIND("-",M5)+1,99),""))=(AX5))),""))</f>
        <v>7</v>
      </c>
      <c r="O5" s="10" t="s">
        <v>36</v>
      </c>
      <c r="P5" s="11">
        <f>IF(OR($C5="",O5=""),"",IFERROR(IF(AND(IFERROR(--LEFT(O5,FIND("-",O5)-1),"")=AW5,IFERROR(--MID(O5,FIND("-",O5)+1,99),"")=AX5),10,5*(SIGN((IFERROR(--LEFT(O5,FIND("-",O5)-1),""))-(IFERROR(--MID(O5,FIND("-",O5)+1,99),"")))=SIGN((AW5)-(AX5)))+2*(((IFERROR(--LEFT(O5,FIND("-",O5)-1),""))-(IFERROR(--MID(O5,FIND("-",O5)+1,99),"")))=((AW5)-(AX5)))+2*((IFERROR(--LEFT(O5,FIND("-",O5)-1),""))=(AW5))+2*((IFERROR(--MID(O5,FIND("-",O5)+1,99),""))=(AX5))),""))</f>
        <v>10</v>
      </c>
      <c r="Q5" s="10" t="s">
        <v>37</v>
      </c>
      <c r="R5" s="11">
        <f>IF(OR($C5="",Q5=""),"",IFERROR(IF(AND(IFERROR(--LEFT(Q5,FIND("-",Q5)-1),"")=AW5,IFERROR(--MID(Q5,FIND("-",Q5)+1,99),"")=AX5),10,5*(SIGN((IFERROR(--LEFT(Q5,FIND("-",Q5)-1),""))-(IFERROR(--MID(Q5,FIND("-",Q5)+1,99),"")))=SIGN((AW5)-(AX5)))+2*(((IFERROR(--LEFT(Q5,FIND("-",Q5)-1),""))-(IFERROR(--MID(Q5,FIND("-",Q5)+1,99),"")))=((AW5)-(AX5)))+2*((IFERROR(--LEFT(Q5,FIND("-",Q5)-1),""))=(AW5))+2*((IFERROR(--MID(Q5,FIND("-",Q5)+1,99),""))=(AX5))),""))</f>
        <v>0</v>
      </c>
      <c r="S5" s="10" t="s">
        <v>34</v>
      </c>
      <c r="T5" s="11">
        <f>IF(OR($C5="",S5=""),"",IFERROR(IF(AND(IFERROR(--LEFT(S5,FIND("-",S5)-1),"")=AW5,IFERROR(--MID(S5,FIND("-",S5)+1,99),"")=AX5),10,5*(SIGN((IFERROR(--LEFT(S5,FIND("-",S5)-1),""))-(IFERROR(--MID(S5,FIND("-",S5)+1,99),"")))=SIGN((AW5)-(AX5)))+2*(((IFERROR(--LEFT(S5,FIND("-",S5)-1),""))-(IFERROR(--MID(S5,FIND("-",S5)+1,99),"")))=((AW5)-(AX5)))+2*((IFERROR(--LEFT(S5,FIND("-",S5)-1),""))=(AW5))+2*((IFERROR(--MID(S5,FIND("-",S5)+1,99),""))=(AX5))),""))</f>
        <v>7</v>
      </c>
      <c r="U5" s="10" t="s">
        <v>36</v>
      </c>
      <c r="V5" s="11">
        <f>IF(OR($C5="",U5=""),"",IFERROR(IF(AND(IFERROR(--LEFT(U5,FIND("-",U5)-1),"")=AW5,IFERROR(--MID(U5,FIND("-",U5)+1,99),"")=AX5),10,5*(SIGN((IFERROR(--LEFT(U5,FIND("-",U5)-1),""))-(IFERROR(--MID(U5,FIND("-",U5)+1,99),"")))=SIGN((AW5)-(AX5)))+2*(((IFERROR(--LEFT(U5,FIND("-",U5)-1),""))-(IFERROR(--MID(U5,FIND("-",U5)+1,99),"")))=((AW5)-(AX5)))+2*((IFERROR(--LEFT(U5,FIND("-",U5)-1),""))=(AW5))+2*((IFERROR(--MID(U5,FIND("-",U5)+1,99),""))=(AX5))),""))</f>
        <v>10</v>
      </c>
      <c r="W5" s="10" t="s">
        <v>36</v>
      </c>
      <c r="X5" s="11">
        <f>IF(OR($C5="",W5=""),"",IFERROR(IF(AND(IFERROR(--LEFT(W5,FIND("-",W5)-1),"")=AW5,IFERROR(--MID(W5,FIND("-",W5)+1,99),"")=AX5),10,5*(SIGN((IFERROR(--LEFT(W5,FIND("-",W5)-1),""))-(IFERROR(--MID(W5,FIND("-",W5)+1,99),"")))=SIGN((AW5)-(AX5)))+2*(((IFERROR(--LEFT(W5,FIND("-",W5)-1),""))-(IFERROR(--MID(W5,FIND("-",W5)+1,99),"")))=((AW5)-(AX5)))+2*((IFERROR(--LEFT(W5,FIND("-",W5)-1),""))=(AW5))+2*((IFERROR(--MID(W5,FIND("-",W5)+1,99),""))=(AX5))),""))</f>
        <v>10</v>
      </c>
      <c r="Y5" s="10" t="s">
        <v>36</v>
      </c>
      <c r="Z5" s="11">
        <f>IF(OR($C5="",Y5=""),"",IFERROR(IF(AND(IFERROR(--LEFT(Y5,FIND("-",Y5)-1),"")=AW5,IFERROR(--MID(Y5,FIND("-",Y5)+1,99),"")=AX5),10,5*(SIGN((IFERROR(--LEFT(Y5,FIND("-",Y5)-1),""))-(IFERROR(--MID(Y5,FIND("-",Y5)+1,99),"")))=SIGN((AW5)-(AX5)))+2*(((IFERROR(--LEFT(Y5,FIND("-",Y5)-1),""))-(IFERROR(--MID(Y5,FIND("-",Y5)+1,99),"")))=((AW5)-(AX5)))+2*((IFERROR(--LEFT(Y5,FIND("-",Y5)-1),""))=(AW5))+2*((IFERROR(--MID(Y5,FIND("-",Y5)+1,99),""))=(AX5))),""))</f>
        <v>10</v>
      </c>
      <c r="AA5" s="10" t="s">
        <v>33</v>
      </c>
      <c r="AB5" s="11">
        <f>IF(OR($C5="",AA5=""),"",IFERROR(IF(AND(IFERROR(--LEFT(AA5,FIND("-",AA5)-1),"")=AW5,IFERROR(--MID(AA5,FIND("-",AA5)+1,99),"")=AX5),10,5*(SIGN((IFERROR(--LEFT(AA5,FIND("-",AA5)-1),""))-(IFERROR(--MID(AA5,FIND("-",AA5)+1,99),"")))=SIGN((AW5)-(AX5)))+2*(((IFERROR(--LEFT(AA5,FIND("-",AA5)-1),""))-(IFERROR(--MID(AA5,FIND("-",AA5)+1,99),"")))=((AW5)-(AX5)))+2*((IFERROR(--LEFT(AA5,FIND("-",AA5)-1),""))=(AW5))+2*((IFERROR(--MID(AA5,FIND("-",AA5)+1,99),""))=(AX5))),""))</f>
        <v>7</v>
      </c>
      <c r="AC5" s="10" t="s">
        <v>33</v>
      </c>
      <c r="AD5" s="11">
        <f>IF(OR($C5="",AC5=""),"",IFERROR(IF(AND(IFERROR(--LEFT(AC5,FIND("-",AC5)-1),"")=AW5,IFERROR(--MID(AC5,FIND("-",AC5)+1,99),"")=AX5),10,5*(SIGN((IFERROR(--LEFT(AC5,FIND("-",AC5)-1),""))-(IFERROR(--MID(AC5,FIND("-",AC5)+1,99),"")))=SIGN((AW5)-(AX5)))+2*(((IFERROR(--LEFT(AC5,FIND("-",AC5)-1),""))-(IFERROR(--MID(AC5,FIND("-",AC5)+1,99),"")))=((AW5)-(AX5)))+2*((IFERROR(--LEFT(AC5,FIND("-",AC5)-1),""))=(AW5))+2*((IFERROR(--MID(AC5,FIND("-",AC5)+1,99),""))=(AX5))),""))</f>
        <v>7</v>
      </c>
      <c r="AE5" s="10" t="s">
        <v>33</v>
      </c>
      <c r="AF5" s="11">
        <f>IF(OR($C5="",AE5=""),"",IFERROR(IF(AND(IFERROR(--LEFT(AE5,FIND("-",AE5)-1),"")=AW5,IFERROR(--MID(AE5,FIND("-",AE5)+1,99),"")=AX5),10,5*(SIGN((IFERROR(--LEFT(AE5,FIND("-",AE5)-1),""))-(IFERROR(--MID(AE5,FIND("-",AE5)+1,99),"")))=SIGN((AW5)-(AX5)))+2*(((IFERROR(--LEFT(AE5,FIND("-",AE5)-1),""))-(IFERROR(--MID(AE5,FIND("-",AE5)+1,99),"")))=((AW5)-(AX5)))+2*((IFERROR(--LEFT(AE5,FIND("-",AE5)-1),""))=(AW5))+2*((IFERROR(--MID(AE5,FIND("-",AE5)+1,99),""))=(AX5))),""))</f>
        <v>7</v>
      </c>
      <c r="AG5" s="10" t="s">
        <v>36</v>
      </c>
      <c r="AH5" s="11">
        <f>IF(OR($C5="",AG5=""),"",IFERROR(IF(AND(IFERROR(--LEFT(AG5,FIND("-",AG5)-1),"")=AW5,IFERROR(--MID(AG5,FIND("-",AG5)+1,99),"")=AX5),10,5*(SIGN((IFERROR(--LEFT(AG5,FIND("-",AG5)-1),""))-(IFERROR(--MID(AG5,FIND("-",AG5)+1,99),"")))=SIGN((AW5)-(AX5)))+2*(((IFERROR(--LEFT(AG5,FIND("-",AG5)-1),""))-(IFERROR(--MID(AG5,FIND("-",AG5)+1,99),"")))=((AW5)-(AX5)))+2*((IFERROR(--LEFT(AG5,FIND("-",AG5)-1),""))=(AW5))+2*((IFERROR(--MID(AG5,FIND("-",AG5)+1,99),""))=(AX5))),""))</f>
        <v>10</v>
      </c>
      <c r="AI5" s="10" t="s">
        <v>34</v>
      </c>
      <c r="AJ5" s="11">
        <f>IF(OR($C5="",AI5=""),"",IFERROR(IF(AND(IFERROR(--LEFT(AI5,FIND("-",AI5)-1),"")=AW5,IFERROR(--MID(AI5,FIND("-",AI5)+1,99),"")=AX5),10,5*(SIGN((IFERROR(--LEFT(AI5,FIND("-",AI5)-1),""))-(IFERROR(--MID(AI5,FIND("-",AI5)+1,99),"")))=SIGN((AW5)-(AX5)))+2*(((IFERROR(--LEFT(AI5,FIND("-",AI5)-1),""))-(IFERROR(--MID(AI5,FIND("-",AI5)+1,99),"")))=((AW5)-(AX5)))+2*((IFERROR(--LEFT(AI5,FIND("-",AI5)-1),""))=(AW5))+2*((IFERROR(--MID(AI5,FIND("-",AI5)+1,99),""))=(AX5))),""))</f>
        <v>7</v>
      </c>
      <c r="AK5" s="10" t="s">
        <v>36</v>
      </c>
      <c r="AL5" s="11">
        <f>IF(OR($C5="",AK5=""),"",IFERROR(IF(AND(IFERROR(--LEFT(AK5,FIND("-",AK5)-1),"")=AW5,IFERROR(--MID(AK5,FIND("-",AK5)+1,99),"")=AX5),10,5*(SIGN((IFERROR(--LEFT(AK5,FIND("-",AK5)-1),""))-(IFERROR(--MID(AK5,FIND("-",AK5)+1,99),"")))=SIGN((AW5)-(AX5)))+2*(((IFERROR(--LEFT(AK5,FIND("-",AK5)-1),""))-(IFERROR(--MID(AK5,FIND("-",AK5)+1,99),"")))=((AW5)-(AX5)))+2*((IFERROR(--LEFT(AK5,FIND("-",AK5)-1),""))=(AW5))+2*((IFERROR(--MID(AK5,FIND("-",AK5)+1,99),""))=(AX5))),""))</f>
        <v>10</v>
      </c>
      <c r="AM5" s="10" t="s">
        <v>38</v>
      </c>
      <c r="AN5" s="11">
        <f>IF(OR($C5="",AM5=""),"",IFERROR(IF(AND(IFERROR(--LEFT(AM5,FIND("-",AM5)-1),"")=AW5,IFERROR(--MID(AM5,FIND("-",AM5)+1,99),"")=AX5),10,5*(SIGN((IFERROR(--LEFT(AM5,FIND("-",AM5)-1),""))-(IFERROR(--MID(AM5,FIND("-",AM5)+1,99),"")))=SIGN((AW5)-(AX5)))+2*(((IFERROR(--LEFT(AM5,FIND("-",AM5)-1),""))-(IFERROR(--MID(AM5,FIND("-",AM5)+1,99),"")))=((AW5)-(AX5)))+2*((IFERROR(--LEFT(AM5,FIND("-",AM5)-1),""))=(AW5))+2*((IFERROR(--MID(AM5,FIND("-",AM5)+1,99),""))=(AX5))),""))</f>
        <v>7</v>
      </c>
      <c r="AO5" s="10" t="s">
        <v>34</v>
      </c>
      <c r="AP5" s="11">
        <f>IF(OR($C5="",AO5=""),"",IFERROR(IF(AND(IFERROR(--LEFT(AO5,FIND("-",AO5)-1),"")=AW5,IFERROR(--MID(AO5,FIND("-",AO5)+1,99),"")=AX5),10,5*(SIGN((IFERROR(--LEFT(AO5,FIND("-",AO5)-1),""))-(IFERROR(--MID(AO5,FIND("-",AO5)+1,99),"")))=SIGN((AW5)-(AX5)))+2*(((IFERROR(--LEFT(AO5,FIND("-",AO5)-1),""))-(IFERROR(--MID(AO5,FIND("-",AO5)+1,99),"")))=((AW5)-(AX5)))+2*((IFERROR(--LEFT(AO5,FIND("-",AO5)-1),""))=(AW5))+2*((IFERROR(--MID(AO5,FIND("-",AO5)+1,99),""))=(AX5))),""))</f>
        <v>7</v>
      </c>
      <c r="AQ5" s="10" t="s">
        <v>36</v>
      </c>
      <c r="AR5" s="11">
        <f>IF(OR($C5="",AQ5=""),"",IFERROR(IF(AND(IFERROR(--LEFT(AQ5,FIND("-",AQ5)-1),"")=AW5,IFERROR(--MID(AQ5,FIND("-",AQ5)+1,99),"")=AX5),10,5*(SIGN((IFERROR(--LEFT(AQ5,FIND("-",AQ5)-1),""))-(IFERROR(--MID(AQ5,FIND("-",AQ5)+1,99),"")))=SIGN((AW5)-(AX5)))+2*(((IFERROR(--LEFT(AQ5,FIND("-",AQ5)-1),""))-(IFERROR(--MID(AQ5,FIND("-",AQ5)+1,99),"")))=((AW5)-(AX5)))+2*((IFERROR(--LEFT(AQ5,FIND("-",AQ5)-1),""))=(AW5))+2*((IFERROR(--MID(AQ5,FIND("-",AQ5)+1,99),""))=(AX5))),""))</f>
        <v>10</v>
      </c>
      <c r="AS5" s="10" t="s">
        <v>33</v>
      </c>
      <c r="AT5" s="11">
        <f>IF(OR($C5="",AS5=""),"",IFERROR(IF(AND(IFERROR(--LEFT(AS5,FIND("-",AS5)-1),"")=AW5,IFERROR(--MID(AS5,FIND("-",AS5)+1,99),"")=AX5),10,5*(SIGN((IFERROR(--LEFT(AS5,FIND("-",AS5)-1),""))-(IFERROR(--MID(AS5,FIND("-",AS5)+1,99),"")))=SIGN((AW5)-(AX5)))+2*(((IFERROR(--LEFT(AS5,FIND("-",AS5)-1),""))-(IFERROR(--MID(AS5,FIND("-",AS5)+1,99),"")))=((AW5)-(AX5)))+2*((IFERROR(--LEFT(AS5,FIND("-",AS5)-1),""))=(AW5))+2*((IFERROR(--MID(AS5,FIND("-",AS5)+1,99),""))=(AX5))),""))</f>
        <v>7</v>
      </c>
      <c r="AU5" s="10" t="s">
        <v>39</v>
      </c>
      <c r="AV5" s="11">
        <f>IF(OR($C5="",AU5=""),"",IFERROR(IF(AND(IFERROR(--LEFT(AU5,FIND("-",AU5)-1),"")=AW5,IFERROR(--MID(AU5,FIND("-",AU5)+1,99),"")=AX5),10,5*(SIGN((IFERROR(--LEFT(AU5,FIND("-",AU5)-1),""))-(IFERROR(--MID(AU5,FIND("-",AU5)+1,99),"")))=SIGN((AW5)-(AX5)))+2*(((IFERROR(--LEFT(AU5,FIND("-",AU5)-1),""))-(IFERROR(--MID(AU5,FIND("-",AU5)+1,99),"")))=((AW5)-(AX5)))+2*((IFERROR(--LEFT(AU5,FIND("-",AU5)-1),""))=(AW5))+2*((IFERROR(--MID(AU5,FIND("-",AU5)+1,99),""))=(AX5))),""))</f>
        <v>7</v>
      </c>
      <c r="AW5" s="11">
        <f>IF($C5="","",IFERROR(--LEFT($C5,FIND("-",$C5)-1),""))</f>
        <v>2</v>
      </c>
      <c r="AX5" s="11">
        <f>IF($C5="","",IFERROR(--MID($C5,FIND("-",$C5)+1,99),""))</f>
        <v>0</v>
      </c>
    </row>
    <row r="6" spans="1:50" ht="18" customHeight="1" x14ac:dyDescent="0.3">
      <c r="A6" s="12"/>
      <c r="B6" s="18"/>
      <c r="C6" s="13"/>
      <c r="D6" s="1"/>
      <c r="E6" s="22"/>
      <c r="F6" s="12"/>
      <c r="G6" s="22"/>
      <c r="H6" s="12"/>
      <c r="I6" s="22"/>
      <c r="J6" s="12"/>
      <c r="K6" s="22"/>
      <c r="L6" s="12"/>
      <c r="M6" s="22"/>
      <c r="N6" s="12"/>
      <c r="O6" s="22"/>
      <c r="P6" s="12"/>
      <c r="Q6" s="22"/>
      <c r="R6" s="12"/>
      <c r="S6" s="22"/>
      <c r="T6" s="12"/>
      <c r="U6" s="13"/>
      <c r="V6" s="12"/>
      <c r="W6" s="22"/>
      <c r="X6" s="12"/>
      <c r="Y6" s="22"/>
      <c r="Z6" s="12"/>
      <c r="AA6" s="22"/>
      <c r="AB6" s="12"/>
      <c r="AC6" s="22"/>
      <c r="AD6" s="12"/>
      <c r="AE6" s="22"/>
      <c r="AF6" s="12"/>
      <c r="AG6" s="22"/>
      <c r="AH6" s="12"/>
      <c r="AI6" s="22"/>
      <c r="AJ6" s="12"/>
      <c r="AK6" s="22"/>
      <c r="AL6" s="12"/>
      <c r="AM6" s="22"/>
      <c r="AN6" s="12"/>
      <c r="AO6" s="22"/>
      <c r="AP6" s="12"/>
      <c r="AQ6" s="22"/>
      <c r="AR6" s="12" t="str">
        <f>IF(OR($C6="",AQ6=""),"",IFERROR(IF(AND(IFERROR(--LEFT(AQ6,FIND("-",AQ6)-1),"")=AW6,IFERROR(--MID(AQ6,FIND("-",AQ6)+1,99),"")=AX6),10,5*(SIGN((IFERROR(--LEFT(AQ6,FIND("-",AQ6)-1),""))-(IFERROR(--MID(AQ6,FIND("-",AQ6)+1,99),"")))=SIGN((AW6)-(AX6)))+2*(((IFERROR(--LEFT(AQ6,FIND("-",AQ6)-1),""))-(IFERROR(--MID(AQ6,FIND("-",AQ6)+1,99),"")))=((AW6)-(AX6)))+2*((IFERROR(--LEFT(AQ6,FIND("-",AQ6)-1),""))=(AW6))+2*((IFERROR(--MID(AQ6,FIND("-",AQ6)+1,99),""))=(AX6))),""))</f>
        <v/>
      </c>
      <c r="AS6" s="22"/>
      <c r="AT6" s="12" t="str">
        <f>IF(OR($C6="",AS6=""),"",IFERROR(IF(AND(IFERROR(--LEFT(AS6,FIND("-",AS6)-1),"")=AW6,IFERROR(--MID(AS6,FIND("-",AS6)+1,99),"")=AX6),10,5*(SIGN((IFERROR(--LEFT(AS6,FIND("-",AS6)-1),""))-(IFERROR(--MID(AS6,FIND("-",AS6)+1,99),"")))=SIGN((AW6)-(AX6)))+2*(((IFERROR(--LEFT(AS6,FIND("-",AS6)-1),""))-(IFERROR(--MID(AS6,FIND("-",AS6)+1,99),"")))=((AW6)-(AX6)))+2*((IFERROR(--LEFT(AS6,FIND("-",AS6)-1),""))=(AW6))+2*((IFERROR(--MID(AS6,FIND("-",AS6)+1,99),""))=(AX6))),""))</f>
        <v/>
      </c>
      <c r="AU6" s="22"/>
      <c r="AV6" s="12"/>
      <c r="AW6" s="12"/>
      <c r="AX6" s="12"/>
    </row>
    <row r="7" spans="1:50" ht="20.100000000000001" customHeight="1" x14ac:dyDescent="0.3">
      <c r="A7" s="36" t="s">
        <v>40</v>
      </c>
      <c r="B7" s="37"/>
      <c r="C7" s="38"/>
      <c r="D7" s="37"/>
      <c r="E7" s="38"/>
      <c r="F7" s="37"/>
      <c r="G7" s="38"/>
      <c r="H7" s="37"/>
      <c r="I7" s="38"/>
      <c r="J7" s="37"/>
      <c r="K7" s="38"/>
      <c r="L7" s="37"/>
      <c r="M7" s="38"/>
      <c r="N7" s="37"/>
      <c r="O7" s="38"/>
      <c r="P7" s="37"/>
      <c r="Q7" s="38"/>
      <c r="R7" s="37"/>
      <c r="S7" s="38"/>
      <c r="T7" s="37"/>
      <c r="U7" s="38"/>
      <c r="V7" s="37"/>
      <c r="W7" s="38"/>
      <c r="X7" s="37"/>
      <c r="Y7" s="38"/>
      <c r="Z7" s="37"/>
      <c r="AA7" s="38"/>
      <c r="AB7" s="37"/>
      <c r="AC7" s="38"/>
      <c r="AD7" s="37"/>
      <c r="AE7" s="38"/>
      <c r="AF7" s="37"/>
      <c r="AG7" s="38"/>
      <c r="AH7" s="37"/>
      <c r="AI7" s="38"/>
      <c r="AJ7" s="37"/>
      <c r="AK7" s="38"/>
      <c r="AL7" s="37"/>
      <c r="AM7" s="38"/>
      <c r="AN7" s="37"/>
      <c r="AO7" s="38"/>
      <c r="AP7" s="37"/>
      <c r="AQ7" s="37"/>
      <c r="AR7" s="37"/>
      <c r="AS7" s="37"/>
      <c r="AT7" s="37"/>
      <c r="AU7" s="38"/>
      <c r="AV7" s="39"/>
      <c r="AW7" s="8"/>
      <c r="AX7" s="8"/>
    </row>
    <row r="8" spans="1:50" ht="18" customHeight="1" x14ac:dyDescent="0.3">
      <c r="A8" s="9">
        <v>1.166666666666667</v>
      </c>
      <c r="B8" s="18" t="s">
        <v>41</v>
      </c>
      <c r="C8" s="10" t="s">
        <v>33</v>
      </c>
      <c r="D8" s="1" t="s">
        <v>42</v>
      </c>
      <c r="E8" s="10" t="s">
        <v>35</v>
      </c>
      <c r="F8" s="11">
        <f>IF(OR($C8="",E8=""),"",IFERROR(IF(AND(IFERROR(--LEFT(E8,FIND("-",E8)-1),"")=AW8,IFERROR(--MID(E8,FIND("-",E8)+1,99),"")=AX8),10,5*(SIGN((IFERROR(--LEFT(E8,FIND("-",E8)-1),""))-(IFERROR(--MID(E8,FIND("-",E8)+1,99),"")))=SIGN((AW8)-(AX8)))+2*(((IFERROR(--LEFT(E8,FIND("-",E8)-1),""))-(IFERROR(--MID(E8,FIND("-",E8)+1,99),"")))=((AW8)-(AX8)))+2*((IFERROR(--LEFT(E8,FIND("-",E8)-1),""))=(AW8))+2*((IFERROR(--MID(E8,FIND("-",E8)+1,99),""))=(AX8))),""))</f>
        <v>2</v>
      </c>
      <c r="G8" s="10" t="s">
        <v>43</v>
      </c>
      <c r="H8" s="11">
        <f>IF(OR($C8="",G8=""),"",IFERROR(IF(AND(IFERROR(--LEFT(G8,FIND("-",G8)-1),"")=AW8,IFERROR(--MID(G8,FIND("-",G8)+1,99),"")=AX8),10,5*(SIGN((IFERROR(--LEFT(G8,FIND("-",G8)-1),""))-(IFERROR(--MID(G8,FIND("-",G8)+1,99),"")))=SIGN((AW8)-(AX8)))+2*(((IFERROR(--LEFT(G8,FIND("-",G8)-1),""))-(IFERROR(--MID(G8,FIND("-",G8)+1,99),"")))=((AW8)-(AX8)))+2*((IFERROR(--LEFT(G8,FIND("-",G8)-1),""))=(AW8))+2*((IFERROR(--MID(G8,FIND("-",G8)+1,99),""))=(AX8))),""))</f>
        <v>7</v>
      </c>
      <c r="I8" s="10" t="s">
        <v>39</v>
      </c>
      <c r="J8" s="11">
        <f>IF(OR($C8="",I8=""),"",IFERROR(IF(AND(IFERROR(--LEFT(I8,FIND("-",I8)-1),"")=AW8,IFERROR(--MID(I8,FIND("-",I8)+1,99),"")=AX8),10,5*(SIGN((IFERROR(--LEFT(I8,FIND("-",I8)-1),""))-(IFERROR(--MID(I8,FIND("-",I8)+1,99),"")))=SIGN((AW8)-(AX8)))+2*(((IFERROR(--LEFT(I8,FIND("-",I8)-1),""))-(IFERROR(--MID(I8,FIND("-",I8)+1,99),"")))=((AW8)-(AX8)))+2*((IFERROR(--LEFT(I8,FIND("-",I8)-1),""))=(AW8))+2*((IFERROR(--MID(I8,FIND("-",I8)+1,99),""))=(AX8))),""))</f>
        <v>7</v>
      </c>
      <c r="K8" s="10" t="s">
        <v>35</v>
      </c>
      <c r="L8" s="11">
        <f>IF(OR($C8="",K8=""),"",IFERROR(IF(AND(IFERROR(--LEFT(K8,FIND("-",K8)-1),"")=AW8,IFERROR(--MID(K8,FIND("-",K8)+1,99),"")=AX8),10,5*(SIGN((IFERROR(--LEFT(K8,FIND("-",K8)-1),""))-(IFERROR(--MID(K8,FIND("-",K8)+1,99),"")))=SIGN((AW8)-(AX8)))+2*(((IFERROR(--LEFT(K8,FIND("-",K8)-1),""))-(IFERROR(--MID(K8,FIND("-",K8)+1,99),"")))=((AW8)-(AX8)))+2*((IFERROR(--LEFT(K8,FIND("-",K8)-1),""))=(AW8))+2*((IFERROR(--MID(K8,FIND("-",K8)+1,99),""))=(AX8))),""))</f>
        <v>2</v>
      </c>
      <c r="M8" s="10" t="s">
        <v>37</v>
      </c>
      <c r="N8" s="11">
        <f>IF(OR($C8="",M8=""),"",IFERROR(IF(AND(IFERROR(--LEFT(M8,FIND("-",M8)-1),"")=AW8,IFERROR(--MID(M8,FIND("-",M8)+1,99),"")=AX8),10,5*(SIGN((IFERROR(--LEFT(M8,FIND("-",M8)-1),""))-(IFERROR(--MID(M8,FIND("-",M8)+1,99),"")))=SIGN((AW8)-(AX8)))+2*(((IFERROR(--LEFT(M8,FIND("-",M8)-1),""))-(IFERROR(--MID(M8,FIND("-",M8)+1,99),"")))=((AW8)-(AX8)))+2*((IFERROR(--LEFT(M8,FIND("-",M8)-1),""))=(AW8))+2*((IFERROR(--MID(M8,FIND("-",M8)+1,99),""))=(AX8))),""))</f>
        <v>0</v>
      </c>
      <c r="O8" s="10" t="s">
        <v>35</v>
      </c>
      <c r="P8" s="11">
        <f>IF(OR($C8="",O8=""),"",IFERROR(IF(AND(IFERROR(--LEFT(O8,FIND("-",O8)-1),"")=AW8,IFERROR(--MID(O8,FIND("-",O8)+1,99),"")=AX8),10,5*(SIGN((IFERROR(--LEFT(O8,FIND("-",O8)-1),""))-(IFERROR(--MID(O8,FIND("-",O8)+1,99),"")))=SIGN((AW8)-(AX8)))+2*(((IFERROR(--LEFT(O8,FIND("-",O8)-1),""))-(IFERROR(--MID(O8,FIND("-",O8)+1,99),"")))=((AW8)-(AX8)))+2*((IFERROR(--LEFT(O8,FIND("-",O8)-1),""))=(AW8))+2*((IFERROR(--MID(O8,FIND("-",O8)+1,99),""))=(AX8))),""))</f>
        <v>2</v>
      </c>
      <c r="Q8" s="10" t="s">
        <v>44</v>
      </c>
      <c r="R8" s="11">
        <f>IF(OR($C8="",Q8=""),"",IFERROR(IF(AND(IFERROR(--LEFT(Q8,FIND("-",Q8)-1),"")=AW8,IFERROR(--MID(Q8,FIND("-",Q8)+1,99),"")=AX8),10,5*(SIGN((IFERROR(--LEFT(Q8,FIND("-",Q8)-1),""))-(IFERROR(--MID(Q8,FIND("-",Q8)+1,99),"")))=SIGN((AW8)-(AX8)))+2*(((IFERROR(--LEFT(Q8,FIND("-",Q8)-1),""))-(IFERROR(--MID(Q8,FIND("-",Q8)+1,99),"")))=((AW8)-(AX8)))+2*((IFERROR(--LEFT(Q8,FIND("-",Q8)-1),""))=(AW8))+2*((IFERROR(--MID(Q8,FIND("-",Q8)+1,99),""))=(AX8))),""))</f>
        <v>2</v>
      </c>
      <c r="S8" s="10" t="s">
        <v>35</v>
      </c>
      <c r="T8" s="11">
        <f>IF(OR($C8="",S8=""),"",IFERROR(IF(AND(IFERROR(--LEFT(S8,FIND("-",S8)-1),"")=AW8,IFERROR(--MID(S8,FIND("-",S8)+1,99),"")=AX8),10,5*(SIGN((IFERROR(--LEFT(S8,FIND("-",S8)-1),""))-(IFERROR(--MID(S8,FIND("-",S8)+1,99),"")))=SIGN((AW8)-(AX8)))+2*(((IFERROR(--LEFT(S8,FIND("-",S8)-1),""))-(IFERROR(--MID(S8,FIND("-",S8)+1,99),"")))=((AW8)-(AX8)))+2*((IFERROR(--LEFT(S8,FIND("-",S8)-1),""))=(AW8))+2*((IFERROR(--MID(S8,FIND("-",S8)+1,99),""))=(AX8))),""))</f>
        <v>2</v>
      </c>
      <c r="U8" s="10" t="s">
        <v>35</v>
      </c>
      <c r="V8" s="11">
        <f>IF(OR($C8="",U8=""),"",IFERROR(IF(AND(IFERROR(--LEFT(U8,FIND("-",U8)-1),"")=AW8,IFERROR(--MID(U8,FIND("-",U8)+1,99),"")=AX8),10,5*(SIGN((IFERROR(--LEFT(U8,FIND("-",U8)-1),""))-(IFERROR(--MID(U8,FIND("-",U8)+1,99),"")))=SIGN((AW8)-(AX8)))+2*(((IFERROR(--LEFT(U8,FIND("-",U8)-1),""))-(IFERROR(--MID(U8,FIND("-",U8)+1,99),"")))=((AW8)-(AX8)))+2*((IFERROR(--LEFT(U8,FIND("-",U8)-1),""))=(AW8))+2*((IFERROR(--MID(U8,FIND("-",U8)+1,99),""))=(AX8))),""))</f>
        <v>2</v>
      </c>
      <c r="W8" s="10" t="s">
        <v>35</v>
      </c>
      <c r="X8" s="11">
        <f>IF(OR($C8="",W8=""),"",IFERROR(IF(AND(IFERROR(--LEFT(W8,FIND("-",W8)-1),"")=AW8,IFERROR(--MID(W8,FIND("-",W8)+1,99),"")=AX8),10,5*(SIGN((IFERROR(--LEFT(W8,FIND("-",W8)-1),""))-(IFERROR(--MID(W8,FIND("-",W8)+1,99),"")))=SIGN((AW8)-(AX8)))+2*(((IFERROR(--LEFT(W8,FIND("-",W8)-1),""))-(IFERROR(--MID(W8,FIND("-",W8)+1,99),"")))=((AW8)-(AX8)))+2*((IFERROR(--LEFT(W8,FIND("-",W8)-1),""))=(AW8))+2*((IFERROR(--MID(W8,FIND("-",W8)+1,99),""))=(AX8))),""))</f>
        <v>2</v>
      </c>
      <c r="Y8" s="10" t="s">
        <v>35</v>
      </c>
      <c r="Z8" s="11">
        <f>IF(OR($C8="",Y8=""),"",IFERROR(IF(AND(IFERROR(--LEFT(Y8,FIND("-",Y8)-1),"")=AW8,IFERROR(--MID(Y8,FIND("-",Y8)+1,99),"")=AX8),10,5*(SIGN((IFERROR(--LEFT(Y8,FIND("-",Y8)-1),""))-(IFERROR(--MID(Y8,FIND("-",Y8)+1,99),"")))=SIGN((AW8)-(AX8)))+2*(((IFERROR(--LEFT(Y8,FIND("-",Y8)-1),""))-(IFERROR(--MID(Y8,FIND("-",Y8)+1,99),"")))=((AW8)-(AX8)))+2*((IFERROR(--LEFT(Y8,FIND("-",Y8)-1),""))=(AW8))+2*((IFERROR(--MID(Y8,FIND("-",Y8)+1,99),""))=(AX8))),""))</f>
        <v>2</v>
      </c>
      <c r="AA8" s="10" t="s">
        <v>45</v>
      </c>
      <c r="AB8" s="11">
        <f>IF(OR($C8="",AA8=""),"",IFERROR(IF(AND(IFERROR(--LEFT(AA8,FIND("-",AA8)-1),"")=AW8,IFERROR(--MID(AA8,FIND("-",AA8)+1,99),"")=AX8),10,5*(SIGN((IFERROR(--LEFT(AA8,FIND("-",AA8)-1),""))-(IFERROR(--MID(AA8,FIND("-",AA8)+1,99),"")))=SIGN((AW8)-(AX8)))+2*(((IFERROR(--LEFT(AA8,FIND("-",AA8)-1),""))-(IFERROR(--MID(AA8,FIND("-",AA8)+1,99),"")))=((AW8)-(AX8)))+2*((IFERROR(--LEFT(AA8,FIND("-",AA8)-1),""))=(AW8))+2*((IFERROR(--MID(AA8,FIND("-",AA8)+1,99),""))=(AX8))),""))</f>
        <v>2</v>
      </c>
      <c r="AC8" s="10" t="s">
        <v>35</v>
      </c>
      <c r="AD8" s="11">
        <f>IF(OR($C8="",AC8=""),"",IFERROR(IF(AND(IFERROR(--LEFT(AC8,FIND("-",AC8)-1),"")=AW8,IFERROR(--MID(AC8,FIND("-",AC8)+1,99),"")=AX8),10,5*(SIGN((IFERROR(--LEFT(AC8,FIND("-",AC8)-1),""))-(IFERROR(--MID(AC8,FIND("-",AC8)+1,99),"")))=SIGN((AW8)-(AX8)))+2*(((IFERROR(--LEFT(AC8,FIND("-",AC8)-1),""))-(IFERROR(--MID(AC8,FIND("-",AC8)+1,99),"")))=((AW8)-(AX8)))+2*((IFERROR(--LEFT(AC8,FIND("-",AC8)-1),""))=(AW8))+2*((IFERROR(--MID(AC8,FIND("-",AC8)+1,99),""))=(AX8))),""))</f>
        <v>2</v>
      </c>
      <c r="AE8" s="10" t="s">
        <v>37</v>
      </c>
      <c r="AF8" s="11">
        <f>IF(OR($C8="",AE8=""),"",IFERROR(IF(AND(IFERROR(--LEFT(AE8,FIND("-",AE8)-1),"")=AW8,IFERROR(--MID(AE8,FIND("-",AE8)+1,99),"")=AX8),10,5*(SIGN((IFERROR(--LEFT(AE8,FIND("-",AE8)-1),""))-(IFERROR(--MID(AE8,FIND("-",AE8)+1,99),"")))=SIGN((AW8)-(AX8)))+2*(((IFERROR(--LEFT(AE8,FIND("-",AE8)-1),""))-(IFERROR(--MID(AE8,FIND("-",AE8)+1,99),"")))=((AW8)-(AX8)))+2*((IFERROR(--LEFT(AE8,FIND("-",AE8)-1),""))=(AW8))+2*((IFERROR(--MID(AE8,FIND("-",AE8)+1,99),""))=(AX8))),""))</f>
        <v>0</v>
      </c>
      <c r="AG8" s="10" t="s">
        <v>45</v>
      </c>
      <c r="AH8" s="11">
        <f>IF(OR($C8="",AG8=""),"",IFERROR(IF(AND(IFERROR(--LEFT(AG8,FIND("-",AG8)-1),"")=AW8,IFERROR(--MID(AG8,FIND("-",AG8)+1,99),"")=AX8),10,5*(SIGN((IFERROR(--LEFT(AG8,FIND("-",AG8)-1),""))-(IFERROR(--MID(AG8,FIND("-",AG8)+1,99),"")))=SIGN((AW8)-(AX8)))+2*(((IFERROR(--LEFT(AG8,FIND("-",AG8)-1),""))-(IFERROR(--MID(AG8,FIND("-",AG8)+1,99),"")))=((AW8)-(AX8)))+2*((IFERROR(--LEFT(AG8,FIND("-",AG8)-1),""))=(AW8))+2*((IFERROR(--MID(AG8,FIND("-",AG8)+1,99),""))=(AX8))),""))</f>
        <v>2</v>
      </c>
      <c r="AI8" s="10" t="s">
        <v>44</v>
      </c>
      <c r="AJ8" s="11">
        <f>IF(OR($C8="",AI8=""),"",IFERROR(IF(AND(IFERROR(--LEFT(AI8,FIND("-",AI8)-1),"")=AW8,IFERROR(--MID(AI8,FIND("-",AI8)+1,99),"")=AX8),10,5*(SIGN((IFERROR(--LEFT(AI8,FIND("-",AI8)-1),""))-(IFERROR(--MID(AI8,FIND("-",AI8)+1,99),"")))=SIGN((AW8)-(AX8)))+2*(((IFERROR(--LEFT(AI8,FIND("-",AI8)-1),""))-(IFERROR(--MID(AI8,FIND("-",AI8)+1,99),"")))=((AW8)-(AX8)))+2*((IFERROR(--LEFT(AI8,FIND("-",AI8)-1),""))=(AW8))+2*((IFERROR(--MID(AI8,FIND("-",AI8)+1,99),""))=(AX8))),""))</f>
        <v>2</v>
      </c>
      <c r="AK8" s="10" t="s">
        <v>35</v>
      </c>
      <c r="AL8" s="11">
        <f>IF(OR($C8="",AK8=""),"",IFERROR(IF(AND(IFERROR(--LEFT(AK8,FIND("-",AK8)-1),"")=AW8,IFERROR(--MID(AK8,FIND("-",AK8)+1,99),"")=AX8),10,5*(SIGN((IFERROR(--LEFT(AK8,FIND("-",AK8)-1),""))-(IFERROR(--MID(AK8,FIND("-",AK8)+1,99),"")))=SIGN((AW8)-(AX8)))+2*(((IFERROR(--LEFT(AK8,FIND("-",AK8)-1),""))-(IFERROR(--MID(AK8,FIND("-",AK8)+1,99),"")))=((AW8)-(AX8)))+2*((IFERROR(--LEFT(AK8,FIND("-",AK8)-1),""))=(AW8))+2*((IFERROR(--MID(AK8,FIND("-",AK8)+1,99),""))=(AX8))),""))</f>
        <v>2</v>
      </c>
      <c r="AM8" s="10" t="s">
        <v>33</v>
      </c>
      <c r="AN8" s="11">
        <f>IF(OR($C8="",AM8=""),"",IFERROR(IF(AND(IFERROR(--LEFT(AM8,FIND("-",AM8)-1),"")=AW8,IFERROR(--MID(AM8,FIND("-",AM8)+1,99),"")=AX8),10,5*(SIGN((IFERROR(--LEFT(AM8,FIND("-",AM8)-1),""))-(IFERROR(--MID(AM8,FIND("-",AM8)+1,99),"")))=SIGN((AW8)-(AX8)))+2*(((IFERROR(--LEFT(AM8,FIND("-",AM8)-1),""))-(IFERROR(--MID(AM8,FIND("-",AM8)+1,99),"")))=((AW8)-(AX8)))+2*((IFERROR(--LEFT(AM8,FIND("-",AM8)-1),""))=(AW8))+2*((IFERROR(--MID(AM8,FIND("-",AM8)+1,99),""))=(AX8))),""))</f>
        <v>10</v>
      </c>
      <c r="AO8" s="10" t="s">
        <v>35</v>
      </c>
      <c r="AP8" s="11">
        <f>IF(OR($C8="",AO8=""),"",IFERROR(IF(AND(IFERROR(--LEFT(AO8,FIND("-",AO8)-1),"")=AW8,IFERROR(--MID(AO8,FIND("-",AO8)+1,99),"")=AX8),10,5*(SIGN((IFERROR(--LEFT(AO8,FIND("-",AO8)-1),""))-(IFERROR(--MID(AO8,FIND("-",AO8)+1,99),"")))=SIGN((AW8)-(AX8)))+2*(((IFERROR(--LEFT(AO8,FIND("-",AO8)-1),""))-(IFERROR(--MID(AO8,FIND("-",AO8)+1,99),"")))=((AW8)-(AX8)))+2*((IFERROR(--LEFT(AO8,FIND("-",AO8)-1),""))=(AW8))+2*((IFERROR(--MID(AO8,FIND("-",AO8)+1,99),""))=(AX8))),""))</f>
        <v>2</v>
      </c>
      <c r="AQ8" s="10" t="s">
        <v>35</v>
      </c>
      <c r="AR8" s="11">
        <f>IF(OR($C8="",AQ8=""),"",IFERROR(IF(AND(IFERROR(--LEFT(AQ8,FIND("-",AQ8)-1),"")=AW8,IFERROR(--MID(AQ8,FIND("-",AQ8)+1,99),"")=AX8),10,5*(SIGN((IFERROR(--LEFT(AQ8,FIND("-",AQ8)-1),""))-(IFERROR(--MID(AQ8,FIND("-",AQ8)+1,99),"")))=SIGN((AW8)-(AX8)))+2*(((IFERROR(--LEFT(AQ8,FIND("-",AQ8)-1),""))-(IFERROR(--MID(AQ8,FIND("-",AQ8)+1,99),"")))=((AW8)-(AX8)))+2*((IFERROR(--LEFT(AQ8,FIND("-",AQ8)-1),""))=(AW8))+2*((IFERROR(--MID(AQ8,FIND("-",AQ8)+1,99),""))=(AX8))),""))</f>
        <v>2</v>
      </c>
      <c r="AS8" s="10" t="s">
        <v>49</v>
      </c>
      <c r="AT8" s="11">
        <f>IF(OR($C8="",AS8=""),"",IFERROR(IF(AND(IFERROR(--LEFT(AS8,FIND("-",AS8)-1),"")=AW8,IFERROR(--MID(AS8,FIND("-",AS8)+1,99),"")=AX8),10,5*(SIGN((IFERROR(--LEFT(AS8,FIND("-",AS8)-1),""))-(IFERROR(--MID(AS8,FIND("-",AS8)+1,99),"")))=SIGN((AW8)-(AX8)))+2*(((IFERROR(--LEFT(AS8,FIND("-",AS8)-1),""))-(IFERROR(--MID(AS8,FIND("-",AS8)+1,99),"")))=((AW8)-(AX8)))+2*((IFERROR(--LEFT(AS8,FIND("-",AS8)-1),""))=(AW8))+2*((IFERROR(--MID(AS8,FIND("-",AS8)+1,99),""))=(AX8))),""))</f>
        <v>2</v>
      </c>
      <c r="AU8" s="10" t="s">
        <v>39</v>
      </c>
      <c r="AV8" s="11">
        <f>IF(OR($C8="",AU8=""),"",IFERROR(IF(AND(IFERROR(--LEFT(AU8,FIND("-",AU8)-1),"")=AW8,IFERROR(--MID(AU8,FIND("-",AU8)+1,99),"")=AX8),10,5*(SIGN((IFERROR(--LEFT(AU8,FIND("-",AU8)-1),""))-(IFERROR(--MID(AU8,FIND("-",AU8)+1,99),"")))=SIGN((AW8)-(AX8)))+2*(((IFERROR(--LEFT(AU8,FIND("-",AU8)-1),""))-(IFERROR(--MID(AU8,FIND("-",AU8)+1,99),"")))=((AW8)-(AX8)))+2*((IFERROR(--LEFT(AU8,FIND("-",AU8)-1),""))=(AW8))+2*((IFERROR(--MID(AU8,FIND("-",AU8)+1,99),""))=(AX8))),""))</f>
        <v>7</v>
      </c>
      <c r="AW8" s="11">
        <f>IF($C8="","",IFERROR(--LEFT($C8,FIND("-",$C8)-1),""))</f>
        <v>2</v>
      </c>
      <c r="AX8" s="11">
        <f>IF($C8="","",IFERROR(--MID($C8,FIND("-",$C8)+1,99),""))</f>
        <v>1</v>
      </c>
    </row>
    <row r="9" spans="1:50" ht="18" customHeight="1" x14ac:dyDescent="0.3">
      <c r="A9" s="9">
        <v>1.875</v>
      </c>
      <c r="B9" s="18" t="s">
        <v>46</v>
      </c>
      <c r="C9" s="10" t="s">
        <v>35</v>
      </c>
      <c r="D9" s="1" t="s">
        <v>47</v>
      </c>
      <c r="E9" s="10" t="s">
        <v>36</v>
      </c>
      <c r="F9" s="11">
        <f>IF(OR($C9="",E9=""),"",IFERROR(IF(AND(IFERROR(--LEFT(E9,FIND("-",E9)-1),"")=AW9,IFERROR(--MID(E9,FIND("-",E9)+1,99),"")=AX9),10,5*(SIGN((IFERROR(--LEFT(E9,FIND("-",E9)-1),""))-(IFERROR(--MID(E9,FIND("-",E9)+1,99),"")))=SIGN((AW9)-(AX9)))+2*(((IFERROR(--LEFT(E9,FIND("-",E9)-1),""))-(IFERROR(--MID(E9,FIND("-",E9)+1,99),"")))=((AW9)-(AX9)))+2*((IFERROR(--LEFT(E9,FIND("-",E9)-1),""))=(AW9))+2*((IFERROR(--MID(E9,FIND("-",E9)+1,99),""))=(AX9))),""))</f>
        <v>0</v>
      </c>
      <c r="G9" s="10" t="s">
        <v>48</v>
      </c>
      <c r="H9" s="11">
        <f>IF(OR($C9="",G9=""),"",IFERROR(IF(AND(IFERROR(--LEFT(G9,FIND("-",G9)-1),"")=AW9,IFERROR(--MID(G9,FIND("-",G9)+1,99),"")=AX9),10,5*(SIGN((IFERROR(--LEFT(G9,FIND("-",G9)-1),""))-(IFERROR(--MID(G9,FIND("-",G9)+1,99),"")))=SIGN((AW9)-(AX9)))+2*(((IFERROR(--LEFT(G9,FIND("-",G9)-1),""))-(IFERROR(--MID(G9,FIND("-",G9)+1,99),"")))=((AW9)-(AX9)))+2*((IFERROR(--LEFT(G9,FIND("-",G9)-1),""))=(AW9))+2*((IFERROR(--MID(G9,FIND("-",G9)+1,99),""))=(AX9))),""))</f>
        <v>0</v>
      </c>
      <c r="I9" s="10" t="s">
        <v>35</v>
      </c>
      <c r="J9" s="11">
        <f>IF(OR($C9="",I9=""),"",IFERROR(IF(AND(IFERROR(--LEFT(I9,FIND("-",I9)-1),"")=AW9,IFERROR(--MID(I9,FIND("-",I9)+1,99),"")=AX9),10,5*(SIGN((IFERROR(--LEFT(I9,FIND("-",I9)-1),""))-(IFERROR(--MID(I9,FIND("-",I9)+1,99),"")))=SIGN((AW9)-(AX9)))+2*(((IFERROR(--LEFT(I9,FIND("-",I9)-1),""))-(IFERROR(--MID(I9,FIND("-",I9)+1,99),"")))=((AW9)-(AX9)))+2*((IFERROR(--LEFT(I9,FIND("-",I9)-1),""))=(AW9))+2*((IFERROR(--MID(I9,FIND("-",I9)+1,99),""))=(AX9))),""))</f>
        <v>10</v>
      </c>
      <c r="K9" s="10" t="s">
        <v>36</v>
      </c>
      <c r="L9" s="11">
        <f>IF(OR($C9="",K9=""),"",IFERROR(IF(AND(IFERROR(--LEFT(K9,FIND("-",K9)-1),"")=AW9,IFERROR(--MID(K9,FIND("-",K9)+1,99),"")=AX9),10,5*(SIGN((IFERROR(--LEFT(K9,FIND("-",K9)-1),""))-(IFERROR(--MID(K9,FIND("-",K9)+1,99),"")))=SIGN((AW9)-(AX9)))+2*(((IFERROR(--LEFT(K9,FIND("-",K9)-1),""))-(IFERROR(--MID(K9,FIND("-",K9)+1,99),"")))=((AW9)-(AX9)))+2*((IFERROR(--LEFT(K9,FIND("-",K9)-1),""))=(AW9))+2*((IFERROR(--MID(K9,FIND("-",K9)+1,99),""))=(AX9))),""))</f>
        <v>0</v>
      </c>
      <c r="M9" s="10" t="s">
        <v>49</v>
      </c>
      <c r="N9" s="11">
        <f>IF(OR($C9="",M9=""),"",IFERROR(IF(AND(IFERROR(--LEFT(M9,FIND("-",M9)-1),"")=AW9,IFERROR(--MID(M9,FIND("-",M9)+1,99),"")=AX9),10,5*(SIGN((IFERROR(--LEFT(M9,FIND("-",M9)-1),""))-(IFERROR(--MID(M9,FIND("-",M9)+1,99),"")))=SIGN((AW9)-(AX9)))+2*(((IFERROR(--LEFT(M9,FIND("-",M9)-1),""))-(IFERROR(--MID(M9,FIND("-",M9)+1,99),"")))=((AW9)-(AX9)))+2*((IFERROR(--LEFT(M9,FIND("-",M9)-1),""))=(AW9))+2*((IFERROR(--MID(M9,FIND("-",M9)+1,99),""))=(AX9))),""))</f>
        <v>7</v>
      </c>
      <c r="O9" s="10" t="s">
        <v>35</v>
      </c>
      <c r="P9" s="11">
        <f>IF(OR($C9="",O9=""),"",IFERROR(IF(AND(IFERROR(--LEFT(O9,FIND("-",O9)-1),"")=AW9,IFERROR(--MID(O9,FIND("-",O9)+1,99),"")=AX9),10,5*(SIGN((IFERROR(--LEFT(O9,FIND("-",O9)-1),""))-(IFERROR(--MID(O9,FIND("-",O9)+1,99),"")))=SIGN((AW9)-(AX9)))+2*(((IFERROR(--LEFT(O9,FIND("-",O9)-1),""))-(IFERROR(--MID(O9,FIND("-",O9)+1,99),"")))=((AW9)-(AX9)))+2*((IFERROR(--LEFT(O9,FIND("-",O9)-1),""))=(AW9))+2*((IFERROR(--MID(O9,FIND("-",O9)+1,99),""))=(AX9))),""))</f>
        <v>10</v>
      </c>
      <c r="Q9" s="10" t="s">
        <v>35</v>
      </c>
      <c r="R9" s="11">
        <f>IF(OR($C9="",Q9=""),"",IFERROR(IF(AND(IFERROR(--LEFT(Q9,FIND("-",Q9)-1),"")=AW9,IFERROR(--MID(Q9,FIND("-",Q9)+1,99),"")=AX9),10,5*(SIGN((IFERROR(--LEFT(Q9,FIND("-",Q9)-1),""))-(IFERROR(--MID(Q9,FIND("-",Q9)+1,99),"")))=SIGN((AW9)-(AX9)))+2*(((IFERROR(--LEFT(Q9,FIND("-",Q9)-1),""))-(IFERROR(--MID(Q9,FIND("-",Q9)+1,99),"")))=((AW9)-(AX9)))+2*((IFERROR(--LEFT(Q9,FIND("-",Q9)-1),""))=(AW9))+2*((IFERROR(--MID(Q9,FIND("-",Q9)+1,99),""))=(AX9))),""))</f>
        <v>10</v>
      </c>
      <c r="S9" s="10" t="s">
        <v>33</v>
      </c>
      <c r="T9" s="11">
        <f>IF(OR($C9="",S9=""),"",IFERROR(IF(AND(IFERROR(--LEFT(S9,FIND("-",S9)-1),"")=AW9,IFERROR(--MID(S9,FIND("-",S9)+1,99),"")=AX9),10,5*(SIGN((IFERROR(--LEFT(S9,FIND("-",S9)-1),""))-(IFERROR(--MID(S9,FIND("-",S9)+1,99),"")))=SIGN((AW9)-(AX9)))+2*(((IFERROR(--LEFT(S9,FIND("-",S9)-1),""))-(IFERROR(--MID(S9,FIND("-",S9)+1,99),"")))=((AW9)-(AX9)))+2*((IFERROR(--LEFT(S9,FIND("-",S9)-1),""))=(AW9))+2*((IFERROR(--MID(S9,FIND("-",S9)+1,99),""))=(AX9))),""))</f>
        <v>2</v>
      </c>
      <c r="U9" s="10" t="s">
        <v>33</v>
      </c>
      <c r="V9" s="11">
        <f>IF(OR($C9="",U9=""),"",IFERROR(IF(AND(IFERROR(--LEFT(U9,FIND("-",U9)-1),"")=AW9,IFERROR(--MID(U9,FIND("-",U9)+1,99),"")=AX9),10,5*(SIGN((IFERROR(--LEFT(U9,FIND("-",U9)-1),""))-(IFERROR(--MID(U9,FIND("-",U9)+1,99),"")))=SIGN((AW9)-(AX9)))+2*(((IFERROR(--LEFT(U9,FIND("-",U9)-1),""))-(IFERROR(--MID(U9,FIND("-",U9)+1,99),"")))=((AW9)-(AX9)))+2*((IFERROR(--LEFT(U9,FIND("-",U9)-1),""))=(AW9))+2*((IFERROR(--MID(U9,FIND("-",U9)+1,99),""))=(AX9))),""))</f>
        <v>2</v>
      </c>
      <c r="W9" s="10" t="s">
        <v>33</v>
      </c>
      <c r="X9" s="11">
        <f>IF(OR($C9="",W9=""),"",IFERROR(IF(AND(IFERROR(--LEFT(W9,FIND("-",W9)-1),"")=AW9,IFERROR(--MID(W9,FIND("-",W9)+1,99),"")=AX9),10,5*(SIGN((IFERROR(--LEFT(W9,FIND("-",W9)-1),""))-(IFERROR(--MID(W9,FIND("-",W9)+1,99),"")))=SIGN((AW9)-(AX9)))+2*(((IFERROR(--LEFT(W9,FIND("-",W9)-1),""))-(IFERROR(--MID(W9,FIND("-",W9)+1,99),"")))=((AW9)-(AX9)))+2*((IFERROR(--LEFT(W9,FIND("-",W9)-1),""))=(AW9))+2*((IFERROR(--MID(W9,FIND("-",W9)+1,99),""))=(AX9))),""))</f>
        <v>2</v>
      </c>
      <c r="Y9" s="10" t="s">
        <v>33</v>
      </c>
      <c r="Z9" s="11">
        <f>IF(OR($C9="",Y9=""),"",IFERROR(IF(AND(IFERROR(--LEFT(Y9,FIND("-",Y9)-1),"")=AW9,IFERROR(--MID(Y9,FIND("-",Y9)+1,99),"")=AX9),10,5*(SIGN((IFERROR(--LEFT(Y9,FIND("-",Y9)-1),""))-(IFERROR(--MID(Y9,FIND("-",Y9)+1,99),"")))=SIGN((AW9)-(AX9)))+2*(((IFERROR(--LEFT(Y9,FIND("-",Y9)-1),""))-(IFERROR(--MID(Y9,FIND("-",Y9)+1,99),"")))=((AW9)-(AX9)))+2*((IFERROR(--LEFT(Y9,FIND("-",Y9)-1),""))=(AW9))+2*((IFERROR(--MID(Y9,FIND("-",Y9)+1,99),""))=(AX9))),""))</f>
        <v>2</v>
      </c>
      <c r="AA9" s="10" t="s">
        <v>35</v>
      </c>
      <c r="AB9" s="11">
        <f>IF(OR($C9="",AA9=""),"",IFERROR(IF(AND(IFERROR(--LEFT(AA9,FIND("-",AA9)-1),"")=AW9,IFERROR(--MID(AA9,FIND("-",AA9)+1,99),"")=AX9),10,5*(SIGN((IFERROR(--LEFT(AA9,FIND("-",AA9)-1),""))-(IFERROR(--MID(AA9,FIND("-",AA9)+1,99),"")))=SIGN((AW9)-(AX9)))+2*(((IFERROR(--LEFT(AA9,FIND("-",AA9)-1),""))-(IFERROR(--MID(AA9,FIND("-",AA9)+1,99),"")))=((AW9)-(AX9)))+2*((IFERROR(--LEFT(AA9,FIND("-",AA9)-1),""))=(AW9))+2*((IFERROR(--MID(AA9,FIND("-",AA9)+1,99),""))=(AX9))),""))</f>
        <v>10</v>
      </c>
      <c r="AC9" s="10" t="s">
        <v>37</v>
      </c>
      <c r="AD9" s="11">
        <f>IF(OR($C9="",AC9=""),"",IFERROR(IF(AND(IFERROR(--LEFT(AC9,FIND("-",AC9)-1),"")=AW9,IFERROR(--MID(AC9,FIND("-",AC9)+1,99),"")=AX9),10,5*(SIGN((IFERROR(--LEFT(AC9,FIND("-",AC9)-1),""))-(IFERROR(--MID(AC9,FIND("-",AC9)+1,99),"")))=SIGN((AW9)-(AX9)))+2*(((IFERROR(--LEFT(AC9,FIND("-",AC9)-1),""))-(IFERROR(--MID(AC9,FIND("-",AC9)+1,99),"")))=((AW9)-(AX9)))+2*((IFERROR(--LEFT(AC9,FIND("-",AC9)-1),""))=(AW9))+2*((IFERROR(--MID(AC9,FIND("-",AC9)+1,99),""))=(AX9))),""))</f>
        <v>2</v>
      </c>
      <c r="AE9" s="10" t="s">
        <v>35</v>
      </c>
      <c r="AF9" s="11">
        <f>IF(OR($C9="",AE9=""),"",IFERROR(IF(AND(IFERROR(--LEFT(AE9,FIND("-",AE9)-1),"")=AW9,IFERROR(--MID(AE9,FIND("-",AE9)+1,99),"")=AX9),10,5*(SIGN((IFERROR(--LEFT(AE9,FIND("-",AE9)-1),""))-(IFERROR(--MID(AE9,FIND("-",AE9)+1,99),"")))=SIGN((AW9)-(AX9)))+2*(((IFERROR(--LEFT(AE9,FIND("-",AE9)-1),""))-(IFERROR(--MID(AE9,FIND("-",AE9)+1,99),"")))=((AW9)-(AX9)))+2*((IFERROR(--LEFT(AE9,FIND("-",AE9)-1),""))=(AW9))+2*((IFERROR(--MID(AE9,FIND("-",AE9)+1,99),""))=(AX9))),""))</f>
        <v>10</v>
      </c>
      <c r="AG9" s="10" t="s">
        <v>36</v>
      </c>
      <c r="AH9" s="11">
        <f>IF(OR($C9="",AG9=""),"",IFERROR(IF(AND(IFERROR(--LEFT(AG9,FIND("-",AG9)-1),"")=AW9,IFERROR(--MID(AG9,FIND("-",AG9)+1,99),"")=AX9),10,5*(SIGN((IFERROR(--LEFT(AG9,FIND("-",AG9)-1),""))-(IFERROR(--MID(AG9,FIND("-",AG9)+1,99),"")))=SIGN((AW9)-(AX9)))+2*(((IFERROR(--LEFT(AG9,FIND("-",AG9)-1),""))-(IFERROR(--MID(AG9,FIND("-",AG9)+1,99),"")))=((AW9)-(AX9)))+2*((IFERROR(--LEFT(AG9,FIND("-",AG9)-1),""))=(AW9))+2*((IFERROR(--MID(AG9,FIND("-",AG9)+1,99),""))=(AX9))),""))</f>
        <v>0</v>
      </c>
      <c r="AI9" s="10" t="s">
        <v>36</v>
      </c>
      <c r="AJ9" s="11">
        <f>IF(OR($C9="",AI9=""),"",IFERROR(IF(AND(IFERROR(--LEFT(AI9,FIND("-",AI9)-1),"")=AW9,IFERROR(--MID(AI9,FIND("-",AI9)+1,99),"")=AX9),10,5*(SIGN((IFERROR(--LEFT(AI9,FIND("-",AI9)-1),""))-(IFERROR(--MID(AI9,FIND("-",AI9)+1,99),"")))=SIGN((AW9)-(AX9)))+2*(((IFERROR(--LEFT(AI9,FIND("-",AI9)-1),""))-(IFERROR(--MID(AI9,FIND("-",AI9)+1,99),"")))=((AW9)-(AX9)))+2*((IFERROR(--LEFT(AI9,FIND("-",AI9)-1),""))=(AW9))+2*((IFERROR(--MID(AI9,FIND("-",AI9)+1,99),""))=(AX9))),""))</f>
        <v>0</v>
      </c>
      <c r="AK9" s="10" t="s">
        <v>39</v>
      </c>
      <c r="AL9" s="11">
        <f>IF(OR($C9="",AK9=""),"",IFERROR(IF(AND(IFERROR(--LEFT(AK9,FIND("-",AK9)-1),"")=AW9,IFERROR(--MID(AK9,FIND("-",AK9)+1,99),"")=AX9),10,5*(SIGN((IFERROR(--LEFT(AK9,FIND("-",AK9)-1),""))-(IFERROR(--MID(AK9,FIND("-",AK9)+1,99),"")))=SIGN((AW9)-(AX9)))+2*(((IFERROR(--LEFT(AK9,FIND("-",AK9)-1),""))-(IFERROR(--MID(AK9,FIND("-",AK9)+1,99),"")))=((AW9)-(AX9)))+2*((IFERROR(--LEFT(AK9,FIND("-",AK9)-1),""))=(AW9))+2*((IFERROR(--MID(AK9,FIND("-",AK9)+1,99),""))=(AX9))),""))</f>
        <v>2</v>
      </c>
      <c r="AM9" s="10" t="s">
        <v>45</v>
      </c>
      <c r="AN9" s="11">
        <f>IF(OR($C9="",AM9=""),"",IFERROR(IF(AND(IFERROR(--LEFT(AM9,FIND("-",AM9)-1),"")=AW9,IFERROR(--MID(AM9,FIND("-",AM9)+1,99),"")=AX9),10,5*(SIGN((IFERROR(--LEFT(AM9,FIND("-",AM9)-1),""))-(IFERROR(--MID(AM9,FIND("-",AM9)+1,99),"")))=SIGN((AW9)-(AX9)))+2*(((IFERROR(--LEFT(AM9,FIND("-",AM9)-1),""))-(IFERROR(--MID(AM9,FIND("-",AM9)+1,99),"")))=((AW9)-(AX9)))+2*((IFERROR(--LEFT(AM9,FIND("-",AM9)-1),""))=(AW9))+2*((IFERROR(--MID(AM9,FIND("-",AM9)+1,99),""))=(AX9))),""))</f>
        <v>2</v>
      </c>
      <c r="AO9" s="10" t="s">
        <v>36</v>
      </c>
      <c r="AP9" s="11">
        <f>IF(OR($C9="",AO9=""),"",IFERROR(IF(AND(IFERROR(--LEFT(AO9,FIND("-",AO9)-1),"")=AW9,IFERROR(--MID(AO9,FIND("-",AO9)+1,99),"")=AX9),10,5*(SIGN((IFERROR(--LEFT(AO9,FIND("-",AO9)-1),""))-(IFERROR(--MID(AO9,FIND("-",AO9)+1,99),"")))=SIGN((AW9)-(AX9)))+2*(((IFERROR(--LEFT(AO9,FIND("-",AO9)-1),""))-(IFERROR(--MID(AO9,FIND("-",AO9)+1,99),"")))=((AW9)-(AX9)))+2*((IFERROR(--LEFT(AO9,FIND("-",AO9)-1),""))=(AW9))+2*((IFERROR(--MID(AO9,FIND("-",AO9)+1,99),""))=(AX9))),""))</f>
        <v>0</v>
      </c>
      <c r="AQ9" s="10" t="s">
        <v>37</v>
      </c>
      <c r="AR9" s="11">
        <f>IF(OR($C9="",AQ9=""),"",IFERROR(IF(AND(IFERROR(--LEFT(AQ9,FIND("-",AQ9)-1),"")=AW9,IFERROR(--MID(AQ9,FIND("-",AQ9)+1,99),"")=AX9),10,5*(SIGN((IFERROR(--LEFT(AQ9,FIND("-",AQ9)-1),""))-(IFERROR(--MID(AQ9,FIND("-",AQ9)+1,99),"")))=SIGN((AW9)-(AX9)))+2*(((IFERROR(--LEFT(AQ9,FIND("-",AQ9)-1),""))-(IFERROR(--MID(AQ9,FIND("-",AQ9)+1,99),"")))=((AW9)-(AX9)))+2*((IFERROR(--LEFT(AQ9,FIND("-",AQ9)-1),""))=(AW9))+2*((IFERROR(--MID(AQ9,FIND("-",AQ9)+1,99),""))=(AX9))),""))</f>
        <v>2</v>
      </c>
      <c r="AS9" s="10" t="s">
        <v>50</v>
      </c>
      <c r="AT9" s="11">
        <f>IF(OR($C9="",AS9=""),"",IFERROR(IF(AND(IFERROR(--LEFT(AS9,FIND("-",AS9)-1),"")=AW9,IFERROR(--MID(AS9,FIND("-",AS9)+1,99),"")=AX9),10,5*(SIGN((IFERROR(--LEFT(AS9,FIND("-",AS9)-1),""))-(IFERROR(--MID(AS9,FIND("-",AS9)+1,99),"")))=SIGN((AW9)-(AX9)))+2*(((IFERROR(--LEFT(AS9,FIND("-",AS9)-1),""))-(IFERROR(--MID(AS9,FIND("-",AS9)+1,99),"")))=((AW9)-(AX9)))+2*((IFERROR(--LEFT(AS9,FIND("-",AS9)-1),""))=(AW9))+2*((IFERROR(--MID(AS9,FIND("-",AS9)+1,99),""))=(AX9))),""))</f>
        <v>7</v>
      </c>
      <c r="AU9" s="10" t="s">
        <v>50</v>
      </c>
      <c r="AV9" s="11">
        <f>IF(OR($C9="",AU9=""),"",IFERROR(IF(AND(IFERROR(--LEFT(AU9,FIND("-",AU9)-1),"")=AW9,IFERROR(--MID(AU9,FIND("-",AU9)+1,99),"")=AX9),10,5*(SIGN((IFERROR(--LEFT(AU9,FIND("-",AU9)-1),""))-(IFERROR(--MID(AU9,FIND("-",AU9)+1,99),"")))=SIGN((AW9)-(AX9)))+2*(((IFERROR(--LEFT(AU9,FIND("-",AU9)-1),""))-(IFERROR(--MID(AU9,FIND("-",AU9)+1,99),"")))=((AW9)-(AX9)))+2*((IFERROR(--LEFT(AU9,FIND("-",AU9)-1),""))=(AW9))+2*((IFERROR(--MID(AU9,FIND("-",AU9)+1,99),""))=(AX9))),""))</f>
        <v>7</v>
      </c>
      <c r="AW9" s="11">
        <f>IF($C9="","",IFERROR(--LEFT($C9,FIND("-",$C9)-1),""))</f>
        <v>1</v>
      </c>
      <c r="AX9" s="11">
        <f>IF($C9="","",IFERROR(--MID($C9,FIND("-",$C9)+1,99),""))</f>
        <v>1</v>
      </c>
    </row>
    <row r="10" spans="1:50" ht="18" customHeight="1" x14ac:dyDescent="0.3">
      <c r="A10" s="12"/>
      <c r="B10" s="18"/>
      <c r="C10" s="13"/>
      <c r="D10" s="1"/>
      <c r="E10" s="22"/>
      <c r="F10" s="12"/>
      <c r="G10" s="22"/>
      <c r="H10" s="12"/>
      <c r="I10" s="22"/>
      <c r="J10" s="12"/>
      <c r="K10" s="22"/>
      <c r="L10" s="12"/>
      <c r="M10" s="22"/>
      <c r="N10" s="12"/>
      <c r="O10" s="22"/>
      <c r="P10" s="12"/>
      <c r="Q10" s="22"/>
      <c r="R10" s="12"/>
      <c r="S10" s="22"/>
      <c r="T10" s="12"/>
      <c r="U10" s="13"/>
      <c r="V10" s="12"/>
      <c r="W10" s="22"/>
      <c r="X10" s="12"/>
      <c r="Y10" s="22"/>
      <c r="Z10" s="12"/>
      <c r="AA10" s="22"/>
      <c r="AB10" s="12"/>
      <c r="AC10" s="22"/>
      <c r="AD10" s="12"/>
      <c r="AE10" s="22"/>
      <c r="AF10" s="12"/>
      <c r="AG10" s="22"/>
      <c r="AH10" s="12"/>
      <c r="AI10" s="22"/>
      <c r="AJ10" s="12"/>
      <c r="AK10" s="22"/>
      <c r="AL10" s="12"/>
      <c r="AM10" s="22"/>
      <c r="AN10" s="12"/>
      <c r="AO10" s="22"/>
      <c r="AP10" s="12"/>
      <c r="AQ10" s="22"/>
      <c r="AR10" s="12" t="str">
        <f>IF(OR($C10="",AQ10=""),"",IFERROR(IF(AND(IFERROR(--LEFT(AQ10,FIND("-",AQ10)-1),"")=AW10,IFERROR(--MID(AQ10,FIND("-",AQ10)+1,99),"")=AX10),10,5*(SIGN((IFERROR(--LEFT(AQ10,FIND("-",AQ10)-1),""))-(IFERROR(--MID(AQ10,FIND("-",AQ10)+1,99),"")))=SIGN((AW10)-(AX10)))+2*(((IFERROR(--LEFT(AQ10,FIND("-",AQ10)-1),""))-(IFERROR(--MID(AQ10,FIND("-",AQ10)+1,99),"")))=((AW10)-(AX10)))+2*((IFERROR(--LEFT(AQ10,FIND("-",AQ10)-1),""))=(AW10))+2*((IFERROR(--MID(AQ10,FIND("-",AQ10)+1,99),""))=(AX10))),""))</f>
        <v/>
      </c>
      <c r="AS10" s="22"/>
      <c r="AT10" s="12" t="str">
        <f>IF(OR($C10="",AS10=""),"",IFERROR(IF(AND(IFERROR(--LEFT(AS10,FIND("-",AS10)-1),"")=AW10,IFERROR(--MID(AS10,FIND("-",AS10)+1,99),"")=AX10),10,5*(SIGN((IFERROR(--LEFT(AS10,FIND("-",AS10)-1),""))-(IFERROR(--MID(AS10,FIND("-",AS10)+1,99),"")))=SIGN((AW10)-(AX10)))+2*(((IFERROR(--LEFT(AS10,FIND("-",AS10)-1),""))-(IFERROR(--MID(AS10,FIND("-",AS10)+1,99),"")))=((AW10)-(AX10)))+2*((IFERROR(--LEFT(AS10,FIND("-",AS10)-1),""))=(AW10))+2*((IFERROR(--MID(AS10,FIND("-",AS10)+1,99),""))=(AX10))),""))</f>
        <v/>
      </c>
      <c r="AU10" s="22"/>
      <c r="AV10" s="12"/>
      <c r="AW10" s="12"/>
      <c r="AX10" s="12"/>
    </row>
    <row r="11" spans="1:50" ht="20.100000000000001" customHeight="1" x14ac:dyDescent="0.3">
      <c r="A11" s="36" t="s">
        <v>51</v>
      </c>
      <c r="B11" s="37"/>
      <c r="C11" s="38"/>
      <c r="D11" s="37"/>
      <c r="E11" s="38"/>
      <c r="F11" s="37"/>
      <c r="G11" s="38"/>
      <c r="H11" s="37"/>
      <c r="I11" s="38"/>
      <c r="J11" s="37"/>
      <c r="K11" s="38"/>
      <c r="L11" s="37"/>
      <c r="M11" s="38"/>
      <c r="N11" s="37"/>
      <c r="O11" s="38"/>
      <c r="P11" s="37"/>
      <c r="Q11" s="38"/>
      <c r="R11" s="37"/>
      <c r="S11" s="38"/>
      <c r="T11" s="37"/>
      <c r="U11" s="38"/>
      <c r="V11" s="37"/>
      <c r="W11" s="38"/>
      <c r="X11" s="37"/>
      <c r="Y11" s="38"/>
      <c r="Z11" s="37"/>
      <c r="AA11" s="38"/>
      <c r="AB11" s="37"/>
      <c r="AC11" s="38"/>
      <c r="AD11" s="37"/>
      <c r="AE11" s="38"/>
      <c r="AF11" s="37"/>
      <c r="AG11" s="38"/>
      <c r="AH11" s="37"/>
      <c r="AI11" s="38"/>
      <c r="AJ11" s="37"/>
      <c r="AK11" s="38"/>
      <c r="AL11" s="37"/>
      <c r="AM11" s="38"/>
      <c r="AN11" s="37"/>
      <c r="AO11" s="38"/>
      <c r="AP11" s="37"/>
      <c r="AQ11" s="37"/>
      <c r="AR11" s="37"/>
      <c r="AS11" s="37"/>
      <c r="AT11" s="37"/>
      <c r="AU11" s="38"/>
      <c r="AV11" s="39"/>
      <c r="AW11" s="8"/>
      <c r="AX11" s="8"/>
    </row>
    <row r="12" spans="1:50" ht="18" customHeight="1" x14ac:dyDescent="0.3">
      <c r="A12" s="9">
        <v>1.125</v>
      </c>
      <c r="B12" s="18" t="s">
        <v>52</v>
      </c>
      <c r="C12" s="10" t="s">
        <v>43</v>
      </c>
      <c r="D12" s="1" t="s">
        <v>53</v>
      </c>
      <c r="E12" s="10" t="s">
        <v>39</v>
      </c>
      <c r="F12" s="11">
        <f>IF(OR($C12="",E12=""),"",IFERROR(IF(AND(IFERROR(--LEFT(E12,FIND("-",E12)-1),"")=AW12,IFERROR(--MID(E12,FIND("-",E12)+1,99),"")=AX12),10,5*(SIGN((IFERROR(--LEFT(E12,FIND("-",E12)-1),""))-(IFERROR(--MID(E12,FIND("-",E12)+1,99),"")))=SIGN((AW12)-(AX12)))+2*(((IFERROR(--LEFT(E12,FIND("-",E12)-1),""))-(IFERROR(--MID(E12,FIND("-",E12)+1,99),"")))=((AW12)-(AX12)))+2*((IFERROR(--LEFT(E12,FIND("-",E12)-1),""))=(AW12))+2*((IFERROR(--MID(E12,FIND("-",E12)+1,99),""))=(AX12))),""))</f>
        <v>5</v>
      </c>
      <c r="G12" s="10" t="s">
        <v>37</v>
      </c>
      <c r="H12" s="11">
        <f>IF(OR($C12="",G12=""),"",IFERROR(IF(AND(IFERROR(--LEFT(G12,FIND("-",G12)-1),"")=AW12,IFERROR(--MID(G12,FIND("-",G12)+1,99),"")=AX12),10,5*(SIGN((IFERROR(--LEFT(G12,FIND("-",G12)-1),""))-(IFERROR(--MID(G12,FIND("-",G12)+1,99),"")))=SIGN((AW12)-(AX12)))+2*(((IFERROR(--LEFT(G12,FIND("-",G12)-1),""))-(IFERROR(--MID(G12,FIND("-",G12)+1,99),"")))=((AW12)-(AX12)))+2*((IFERROR(--LEFT(G12,FIND("-",G12)-1),""))=(AW12))+2*((IFERROR(--MID(G12,FIND("-",G12)+1,99),""))=(AX12))),""))</f>
        <v>0</v>
      </c>
      <c r="I12" s="10" t="s">
        <v>37</v>
      </c>
      <c r="J12" s="11">
        <f>IF(OR($C12="",I12=""),"",IFERROR(IF(AND(IFERROR(--LEFT(I12,FIND("-",I12)-1),"")=AW12,IFERROR(--MID(I12,FIND("-",I12)+1,99),"")=AX12),10,5*(SIGN((IFERROR(--LEFT(I12,FIND("-",I12)-1),""))-(IFERROR(--MID(I12,FIND("-",I12)+1,99),"")))=SIGN((AW12)-(AX12)))+2*(((IFERROR(--LEFT(I12,FIND("-",I12)-1),""))-(IFERROR(--MID(I12,FIND("-",I12)+1,99),"")))=((AW12)-(AX12)))+2*((IFERROR(--LEFT(I12,FIND("-",I12)-1),""))=(AW12))+2*((IFERROR(--MID(I12,FIND("-",I12)+1,99),""))=(AX12))),""))</f>
        <v>0</v>
      </c>
      <c r="K12" s="10" t="s">
        <v>38</v>
      </c>
      <c r="L12" s="11">
        <f>IF(OR($C12="",K12=""),"",IFERROR(IF(AND(IFERROR(--LEFT(K12,FIND("-",K12)-1),"")=AW12,IFERROR(--MID(K12,FIND("-",K12)+1,99),"")=AX12),10,5*(SIGN((IFERROR(--LEFT(K12,FIND("-",K12)-1),""))-(IFERROR(--MID(K12,FIND("-",K12)+1,99),"")))=SIGN((AW12)-(AX12)))+2*(((IFERROR(--LEFT(K12,FIND("-",K12)-1),""))-(IFERROR(--MID(K12,FIND("-",K12)+1,99),"")))=((AW12)-(AX12)))+2*((IFERROR(--LEFT(K12,FIND("-",K12)-1),""))=(AW12))+2*((IFERROR(--MID(K12,FIND("-",K12)+1,99),""))=(AX12))),""))</f>
        <v>7</v>
      </c>
      <c r="M12" s="10" t="s">
        <v>45</v>
      </c>
      <c r="N12" s="11">
        <f>IF(OR($C12="",M12=""),"",IFERROR(IF(AND(IFERROR(--LEFT(M12,FIND("-",M12)-1),"")=AW12,IFERROR(--MID(M12,FIND("-",M12)+1,99),"")=AX12),10,5*(SIGN((IFERROR(--LEFT(M12,FIND("-",M12)-1),""))-(IFERROR(--MID(M12,FIND("-",M12)+1,99),"")))=SIGN((AW12)-(AX12)))+2*(((IFERROR(--LEFT(M12,FIND("-",M12)-1),""))-(IFERROR(--MID(M12,FIND("-",M12)+1,99),"")))=((AW12)-(AX12)))+2*((IFERROR(--LEFT(M12,FIND("-",M12)-1),""))=(AW12))+2*((IFERROR(--MID(M12,FIND("-",M12)+1,99),""))=(AX12))),""))</f>
        <v>2</v>
      </c>
      <c r="O12" s="10" t="s">
        <v>33</v>
      </c>
      <c r="P12" s="11">
        <f>IF(OR($C12="",O12=""),"",IFERROR(IF(AND(IFERROR(--LEFT(O12,FIND("-",O12)-1),"")=AW12,IFERROR(--MID(O12,FIND("-",O12)+1,99),"")=AX12),10,5*(SIGN((IFERROR(--LEFT(O12,FIND("-",O12)-1),""))-(IFERROR(--MID(O12,FIND("-",O12)+1,99),"")))=SIGN((AW12)-(AX12)))+2*(((IFERROR(--LEFT(O12,FIND("-",O12)-1),""))-(IFERROR(--MID(O12,FIND("-",O12)+1,99),"")))=((AW12)-(AX12)))+2*((IFERROR(--LEFT(O12,FIND("-",O12)-1),""))=(AW12))+2*((IFERROR(--MID(O12,FIND("-",O12)+1,99),""))=(AX12))),""))</f>
        <v>7</v>
      </c>
      <c r="Q12" s="10" t="s">
        <v>39</v>
      </c>
      <c r="R12" s="11">
        <f>IF(OR($C12="",Q12=""),"",IFERROR(IF(AND(IFERROR(--LEFT(Q12,FIND("-",Q12)-1),"")=AW12,IFERROR(--MID(Q12,FIND("-",Q12)+1,99),"")=AX12),10,5*(SIGN((IFERROR(--LEFT(Q12,FIND("-",Q12)-1),""))-(IFERROR(--MID(Q12,FIND("-",Q12)+1,99),"")))=SIGN((AW12)-(AX12)))+2*(((IFERROR(--LEFT(Q12,FIND("-",Q12)-1),""))-(IFERROR(--MID(Q12,FIND("-",Q12)+1,99),"")))=((AW12)-(AX12)))+2*((IFERROR(--LEFT(Q12,FIND("-",Q12)-1),""))=(AW12))+2*((IFERROR(--MID(Q12,FIND("-",Q12)+1,99),""))=(AX12))),""))</f>
        <v>5</v>
      </c>
      <c r="S12" s="10" t="s">
        <v>38</v>
      </c>
      <c r="T12" s="11">
        <f>IF(OR($C12="",S12=""),"",IFERROR(IF(AND(IFERROR(--LEFT(S12,FIND("-",S12)-1),"")=AW12,IFERROR(--MID(S12,FIND("-",S12)+1,99),"")=AX12),10,5*(SIGN((IFERROR(--LEFT(S12,FIND("-",S12)-1),""))-(IFERROR(--MID(S12,FIND("-",S12)+1,99),"")))=SIGN((AW12)-(AX12)))+2*(((IFERROR(--LEFT(S12,FIND("-",S12)-1),""))-(IFERROR(--MID(S12,FIND("-",S12)+1,99),"")))=((AW12)-(AX12)))+2*((IFERROR(--LEFT(S12,FIND("-",S12)-1),""))=(AW12))+2*((IFERROR(--MID(S12,FIND("-",S12)+1,99),""))=(AX12))),""))</f>
        <v>7</v>
      </c>
      <c r="U12" s="10" t="s">
        <v>33</v>
      </c>
      <c r="V12" s="11">
        <f>IF(OR($C12="",U12=""),"",IFERROR(IF(AND(IFERROR(--LEFT(U12,FIND("-",U12)-1),"")=AW12,IFERROR(--MID(U12,FIND("-",U12)+1,99),"")=AX12),10,5*(SIGN((IFERROR(--LEFT(U12,FIND("-",U12)-1),""))-(IFERROR(--MID(U12,FIND("-",U12)+1,99),"")))=SIGN((AW12)-(AX12)))+2*(((IFERROR(--LEFT(U12,FIND("-",U12)-1),""))-(IFERROR(--MID(U12,FIND("-",U12)+1,99),"")))=((AW12)-(AX12)))+2*((IFERROR(--LEFT(U12,FIND("-",U12)-1),""))=(AW12))+2*((IFERROR(--MID(U12,FIND("-",U12)+1,99),""))=(AX12))),""))</f>
        <v>7</v>
      </c>
      <c r="W12" s="10" t="s">
        <v>33</v>
      </c>
      <c r="X12" s="11">
        <f>IF(OR($C12="",W12=""),"",IFERROR(IF(AND(IFERROR(--LEFT(W12,FIND("-",W12)-1),"")=AW12,IFERROR(--MID(W12,FIND("-",W12)+1,99),"")=AX12),10,5*(SIGN((IFERROR(--LEFT(W12,FIND("-",W12)-1),""))-(IFERROR(--MID(W12,FIND("-",W12)+1,99),"")))=SIGN((AW12)-(AX12)))+2*(((IFERROR(--LEFT(W12,FIND("-",W12)-1),""))-(IFERROR(--MID(W12,FIND("-",W12)+1,99),"")))=((AW12)-(AX12)))+2*((IFERROR(--LEFT(W12,FIND("-",W12)-1),""))=(AW12))+2*((IFERROR(--MID(W12,FIND("-",W12)+1,99),""))=(AX12))),""))</f>
        <v>7</v>
      </c>
      <c r="Y12" s="10" t="s">
        <v>33</v>
      </c>
      <c r="Z12" s="11">
        <f>IF(OR($C12="",Y12=""),"",IFERROR(IF(AND(IFERROR(--LEFT(Y12,FIND("-",Y12)-1),"")=AW12,IFERROR(--MID(Y12,FIND("-",Y12)+1,99),"")=AX12),10,5*(SIGN((IFERROR(--LEFT(Y12,FIND("-",Y12)-1),""))-(IFERROR(--MID(Y12,FIND("-",Y12)+1,99),"")))=SIGN((AW12)-(AX12)))+2*(((IFERROR(--LEFT(Y12,FIND("-",Y12)-1),""))-(IFERROR(--MID(Y12,FIND("-",Y12)+1,99),"")))=((AW12)-(AX12)))+2*((IFERROR(--LEFT(Y12,FIND("-",Y12)-1),""))=(AW12))+2*((IFERROR(--MID(Y12,FIND("-",Y12)+1,99),""))=(AX12))),""))</f>
        <v>7</v>
      </c>
      <c r="AA12" s="10" t="s">
        <v>38</v>
      </c>
      <c r="AB12" s="11">
        <f>IF(OR($C12="",AA12=""),"",IFERROR(IF(AND(IFERROR(--LEFT(AA12,FIND("-",AA12)-1),"")=AW12,IFERROR(--MID(AA12,FIND("-",AA12)+1,99),"")=AX12),10,5*(SIGN((IFERROR(--LEFT(AA12,FIND("-",AA12)-1),""))-(IFERROR(--MID(AA12,FIND("-",AA12)+1,99),"")))=SIGN((AW12)-(AX12)))+2*(((IFERROR(--LEFT(AA12,FIND("-",AA12)-1),""))-(IFERROR(--MID(AA12,FIND("-",AA12)+1,99),"")))=((AW12)-(AX12)))+2*((IFERROR(--LEFT(AA12,FIND("-",AA12)-1),""))=(AW12))+2*((IFERROR(--MID(AA12,FIND("-",AA12)+1,99),""))=(AX12))),""))</f>
        <v>7</v>
      </c>
      <c r="AC12" s="10" t="s">
        <v>49</v>
      </c>
      <c r="AD12" s="11">
        <f>IF(OR($C12="",AC12=""),"",IFERROR(IF(AND(IFERROR(--LEFT(AC12,FIND("-",AC12)-1),"")=AW12,IFERROR(--MID(AC12,FIND("-",AC12)+1,99),"")=AX12),10,5*(SIGN((IFERROR(--LEFT(AC12,FIND("-",AC12)-1),""))-(IFERROR(--MID(AC12,FIND("-",AC12)+1,99),"")))=SIGN((AW12)-(AX12)))+2*(((IFERROR(--LEFT(AC12,FIND("-",AC12)-1),""))-(IFERROR(--MID(AC12,FIND("-",AC12)+1,99),"")))=((AW12)-(AX12)))+2*((IFERROR(--LEFT(AC12,FIND("-",AC12)-1),""))=(AW12))+2*((IFERROR(--MID(AC12,FIND("-",AC12)+1,99),""))=(AX12))),""))</f>
        <v>0</v>
      </c>
      <c r="AE12" s="10" t="s">
        <v>33</v>
      </c>
      <c r="AF12" s="11">
        <f>IF(OR($C12="",AE12=""),"",IFERROR(IF(AND(IFERROR(--LEFT(AE12,FIND("-",AE12)-1),"")=AW12,IFERROR(--MID(AE12,FIND("-",AE12)+1,99),"")=AX12),10,5*(SIGN((IFERROR(--LEFT(AE12,FIND("-",AE12)-1),""))-(IFERROR(--MID(AE12,FIND("-",AE12)+1,99),"")))=SIGN((AW12)-(AX12)))+2*(((IFERROR(--LEFT(AE12,FIND("-",AE12)-1),""))-(IFERROR(--MID(AE12,FIND("-",AE12)+1,99),"")))=((AW12)-(AX12)))+2*((IFERROR(--LEFT(AE12,FIND("-",AE12)-1),""))=(AW12))+2*((IFERROR(--MID(AE12,FIND("-",AE12)+1,99),""))=(AX12))),""))</f>
        <v>7</v>
      </c>
      <c r="AG12" s="10" t="s">
        <v>38</v>
      </c>
      <c r="AH12" s="11">
        <f>IF(OR($C12="",AG12=""),"",IFERROR(IF(AND(IFERROR(--LEFT(AG12,FIND("-",AG12)-1),"")=AW12,IFERROR(--MID(AG12,FIND("-",AG12)+1,99),"")=AX12),10,5*(SIGN((IFERROR(--LEFT(AG12,FIND("-",AG12)-1),""))-(IFERROR(--MID(AG12,FIND("-",AG12)+1,99),"")))=SIGN((AW12)-(AX12)))+2*(((IFERROR(--LEFT(AG12,FIND("-",AG12)-1),""))-(IFERROR(--MID(AG12,FIND("-",AG12)+1,99),"")))=((AW12)-(AX12)))+2*((IFERROR(--LEFT(AG12,FIND("-",AG12)-1),""))=(AW12))+2*((IFERROR(--MID(AG12,FIND("-",AG12)+1,99),""))=(AX12))),""))</f>
        <v>7</v>
      </c>
      <c r="AI12" s="10" t="s">
        <v>39</v>
      </c>
      <c r="AJ12" s="11">
        <f>IF(OR($C12="",AI12=""),"",IFERROR(IF(AND(IFERROR(--LEFT(AI12,FIND("-",AI12)-1),"")=AW12,IFERROR(--MID(AI12,FIND("-",AI12)+1,99),"")=AX12),10,5*(SIGN((IFERROR(--LEFT(AI12,FIND("-",AI12)-1),""))-(IFERROR(--MID(AI12,FIND("-",AI12)+1,99),"")))=SIGN((AW12)-(AX12)))+2*(((IFERROR(--LEFT(AI12,FIND("-",AI12)-1),""))-(IFERROR(--MID(AI12,FIND("-",AI12)+1,99),"")))=((AW12)-(AX12)))+2*((IFERROR(--LEFT(AI12,FIND("-",AI12)-1),""))=(AW12))+2*((IFERROR(--MID(AI12,FIND("-",AI12)+1,99),""))=(AX12))),""))</f>
        <v>5</v>
      </c>
      <c r="AK12" s="10" t="s">
        <v>33</v>
      </c>
      <c r="AL12" s="11">
        <f>IF(OR($C12="",AK12=""),"",IFERROR(IF(AND(IFERROR(--LEFT(AK12,FIND("-",AK12)-1),"")=AW12,IFERROR(--MID(AK12,FIND("-",AK12)+1,99),"")=AX12),10,5*(SIGN((IFERROR(--LEFT(AK12,FIND("-",AK12)-1),""))-(IFERROR(--MID(AK12,FIND("-",AK12)+1,99),"")))=SIGN((AW12)-(AX12)))+2*(((IFERROR(--LEFT(AK12,FIND("-",AK12)-1),""))-(IFERROR(--MID(AK12,FIND("-",AK12)+1,99),"")))=((AW12)-(AX12)))+2*((IFERROR(--LEFT(AK12,FIND("-",AK12)-1),""))=(AW12))+2*((IFERROR(--MID(AK12,FIND("-",AK12)+1,99),""))=(AX12))),""))</f>
        <v>7</v>
      </c>
      <c r="AM12" s="10" t="s">
        <v>36</v>
      </c>
      <c r="AN12" s="11">
        <f>IF(OR($C12="",AM12=""),"",IFERROR(IF(AND(IFERROR(--LEFT(AM12,FIND("-",AM12)-1),"")=AW12,IFERROR(--MID(AM12,FIND("-",AM12)+1,99),"")=AX12),10,5*(SIGN((IFERROR(--LEFT(AM12,FIND("-",AM12)-1),""))-(IFERROR(--MID(AM12,FIND("-",AM12)+1,99),"")))=SIGN((AW12)-(AX12)))+2*(((IFERROR(--LEFT(AM12,FIND("-",AM12)-1),""))-(IFERROR(--MID(AM12,FIND("-",AM12)+1,99),"")))=((AW12)-(AX12)))+2*((IFERROR(--LEFT(AM12,FIND("-",AM12)-1),""))=(AW12))+2*((IFERROR(--MID(AM12,FIND("-",AM12)+1,99),""))=(AX12))),""))</f>
        <v>5</v>
      </c>
      <c r="AO12" s="10" t="s">
        <v>37</v>
      </c>
      <c r="AP12" s="11">
        <f>IF(OR($C12="",AO12=""),"",IFERROR(IF(AND(IFERROR(--LEFT(AO12,FIND("-",AO12)-1),"")=AW12,IFERROR(--MID(AO12,FIND("-",AO12)+1,99),"")=AX12),10,5*(SIGN((IFERROR(--LEFT(AO12,FIND("-",AO12)-1),""))-(IFERROR(--MID(AO12,FIND("-",AO12)+1,99),"")))=SIGN((AW12)-(AX12)))+2*(((IFERROR(--LEFT(AO12,FIND("-",AO12)-1),""))-(IFERROR(--MID(AO12,FIND("-",AO12)+1,99),"")))=((AW12)-(AX12)))+2*((IFERROR(--LEFT(AO12,FIND("-",AO12)-1),""))=(AW12))+2*((IFERROR(--MID(AO12,FIND("-",AO12)+1,99),""))=(AX12))),""))</f>
        <v>0</v>
      </c>
      <c r="AQ12" s="10" t="s">
        <v>45</v>
      </c>
      <c r="AR12" s="11">
        <f>IF(OR($C12="",AQ12=""),"",IFERROR(IF(AND(IFERROR(--LEFT(AQ12,FIND("-",AQ12)-1),"")=AW12,IFERROR(--MID(AQ12,FIND("-",AQ12)+1,99),"")=AX12),10,5*(SIGN((IFERROR(--LEFT(AQ12,FIND("-",AQ12)-1),""))-(IFERROR(--MID(AQ12,FIND("-",AQ12)+1,99),"")))=SIGN((AW12)-(AX12)))+2*(((IFERROR(--LEFT(AQ12,FIND("-",AQ12)-1),""))-(IFERROR(--MID(AQ12,FIND("-",AQ12)+1,99),"")))=((AW12)-(AX12)))+2*((IFERROR(--LEFT(AQ12,FIND("-",AQ12)-1),""))=(AW12))+2*((IFERROR(--MID(AQ12,FIND("-",AQ12)+1,99),""))=(AX12))),""))</f>
        <v>2</v>
      </c>
      <c r="AS12" s="10" t="s">
        <v>45</v>
      </c>
      <c r="AT12" s="11">
        <f>IF(OR($C12="",AS12=""),"",IFERROR(IF(AND(IFERROR(--LEFT(AS12,FIND("-",AS12)-1),"")=AW12,IFERROR(--MID(AS12,FIND("-",AS12)+1,99),"")=AX12),10,5*(SIGN((IFERROR(--LEFT(AS12,FIND("-",AS12)-1),""))-(IFERROR(--MID(AS12,FIND("-",AS12)+1,99),"")))=SIGN((AW12)-(AX12)))+2*(((IFERROR(--LEFT(AS12,FIND("-",AS12)-1),""))-(IFERROR(--MID(AS12,FIND("-",AS12)+1,99),"")))=((AW12)-(AX12)))+2*((IFERROR(--LEFT(AS12,FIND("-",AS12)-1),""))=(AW12))+2*((IFERROR(--MID(AS12,FIND("-",AS12)+1,99),""))=(AX12))),""))</f>
        <v>2</v>
      </c>
      <c r="AU12" s="10" t="s">
        <v>48</v>
      </c>
      <c r="AV12" s="11">
        <f>IF(OR($C12="",AU12=""),"",IFERROR(IF(AND(IFERROR(--LEFT(AU12,FIND("-",AU12)-1),"")=AW12,IFERROR(--MID(AU12,FIND("-",AU12)+1,99),"")=AX12),10,5*(SIGN((IFERROR(--LEFT(AU12,FIND("-",AU12)-1),""))-(IFERROR(--MID(AU12,FIND("-",AU12)+1,99),"")))=SIGN((AW12)-(AX12)))+2*(((IFERROR(--LEFT(AU12,FIND("-",AU12)-1),""))-(IFERROR(--MID(AU12,FIND("-",AU12)+1,99),"")))=((AW12)-(AX12)))+2*((IFERROR(--LEFT(AU12,FIND("-",AU12)-1),""))=(AW12))+2*((IFERROR(--MID(AU12,FIND("-",AU12)+1,99),""))=(AX12))),""))</f>
        <v>0</v>
      </c>
      <c r="AW12" s="11">
        <f>IF($C12="","",IFERROR(--LEFT($C12,FIND("-",$C12)-1),""))</f>
        <v>4</v>
      </c>
      <c r="AX12" s="11">
        <f>IF($C12="","",IFERROR(--MID($C12,FIND("-",$C12)+1,99),""))</f>
        <v>1</v>
      </c>
    </row>
    <row r="13" spans="1:50" ht="18" customHeight="1" x14ac:dyDescent="0.3">
      <c r="A13" s="9">
        <v>1.875</v>
      </c>
      <c r="B13" s="18" t="s">
        <v>54</v>
      </c>
      <c r="C13" s="10" t="s">
        <v>35</v>
      </c>
      <c r="D13" s="1" t="s">
        <v>55</v>
      </c>
      <c r="E13" s="10" t="s">
        <v>48</v>
      </c>
      <c r="F13" s="11">
        <f>IF(OR($C13="",E13=""),"",IFERROR(IF(AND(IFERROR(--LEFT(E13,FIND("-",E13)-1),"")=AW13,IFERROR(--MID(E13,FIND("-",E13)+1,99),"")=AX13),10,5*(SIGN((IFERROR(--LEFT(E13,FIND("-",E13)-1),""))-(IFERROR(--MID(E13,FIND("-",E13)+1,99),"")))=SIGN((AW13)-(AX13)))+2*(((IFERROR(--LEFT(E13,FIND("-",E13)-1),""))-(IFERROR(--MID(E13,FIND("-",E13)+1,99),"")))=((AW13)-(AX13)))+2*((IFERROR(--LEFT(E13,FIND("-",E13)-1),""))=(AW13))+2*((IFERROR(--MID(E13,FIND("-",E13)+1,99),""))=(AX13))),""))</f>
        <v>0</v>
      </c>
      <c r="G13" s="10" t="s">
        <v>37</v>
      </c>
      <c r="H13" s="11">
        <f>IF(OR($C13="",G13=""),"",IFERROR(IF(AND(IFERROR(--LEFT(G13,FIND("-",G13)-1),"")=AW13,IFERROR(--MID(G13,FIND("-",G13)+1,99),"")=AX13),10,5*(SIGN((IFERROR(--LEFT(G13,FIND("-",G13)-1),""))-(IFERROR(--MID(G13,FIND("-",G13)+1,99),"")))=SIGN((AW13)-(AX13)))+2*(((IFERROR(--LEFT(G13,FIND("-",G13)-1),""))-(IFERROR(--MID(G13,FIND("-",G13)+1,99),"")))=((AW13)-(AX13)))+2*((IFERROR(--LEFT(G13,FIND("-",G13)-1),""))=(AW13))+2*((IFERROR(--MID(G13,FIND("-",G13)+1,99),""))=(AX13))),""))</f>
        <v>2</v>
      </c>
      <c r="I13" s="10" t="s">
        <v>48</v>
      </c>
      <c r="J13" s="11">
        <f>IF(OR($C13="",I13=""),"",IFERROR(IF(AND(IFERROR(--LEFT(I13,FIND("-",I13)-1),"")=AW13,IFERROR(--MID(I13,FIND("-",I13)+1,99),"")=AX13),10,5*(SIGN((IFERROR(--LEFT(I13,FIND("-",I13)-1),""))-(IFERROR(--MID(I13,FIND("-",I13)+1,99),"")))=SIGN((AW13)-(AX13)))+2*(((IFERROR(--LEFT(I13,FIND("-",I13)-1),""))-(IFERROR(--MID(I13,FIND("-",I13)+1,99),"")))=((AW13)-(AX13)))+2*((IFERROR(--LEFT(I13,FIND("-",I13)-1),""))=(AW13))+2*((IFERROR(--MID(I13,FIND("-",I13)+1,99),""))=(AX13))),""))</f>
        <v>0</v>
      </c>
      <c r="K13" s="10" t="s">
        <v>48</v>
      </c>
      <c r="L13" s="11">
        <f>IF(OR($C13="",K13=""),"",IFERROR(IF(AND(IFERROR(--LEFT(K13,FIND("-",K13)-1),"")=AW13,IFERROR(--MID(K13,FIND("-",K13)+1,99),"")=AX13),10,5*(SIGN((IFERROR(--LEFT(K13,FIND("-",K13)-1),""))-(IFERROR(--MID(K13,FIND("-",K13)+1,99),"")))=SIGN((AW13)-(AX13)))+2*(((IFERROR(--LEFT(K13,FIND("-",K13)-1),""))-(IFERROR(--MID(K13,FIND("-",K13)+1,99),"")))=((AW13)-(AX13)))+2*((IFERROR(--LEFT(K13,FIND("-",K13)-1),""))=(AW13))+2*((IFERROR(--MID(K13,FIND("-",K13)+1,99),""))=(AX13))),""))</f>
        <v>0</v>
      </c>
      <c r="M13" s="10" t="s">
        <v>48</v>
      </c>
      <c r="N13" s="11">
        <f>IF(OR($C13="",M13=""),"",IFERROR(IF(AND(IFERROR(--LEFT(M13,FIND("-",M13)-1),"")=AW13,IFERROR(--MID(M13,FIND("-",M13)+1,99),"")=AX13),10,5*(SIGN((IFERROR(--LEFT(M13,FIND("-",M13)-1),""))-(IFERROR(--MID(M13,FIND("-",M13)+1,99),"")))=SIGN((AW13)-(AX13)))+2*(((IFERROR(--LEFT(M13,FIND("-",M13)-1),""))-(IFERROR(--MID(M13,FIND("-",M13)+1,99),"")))=((AW13)-(AX13)))+2*((IFERROR(--LEFT(M13,FIND("-",M13)-1),""))=(AW13))+2*((IFERROR(--MID(M13,FIND("-",M13)+1,99),""))=(AX13))),""))</f>
        <v>0</v>
      </c>
      <c r="O13" s="10" t="s">
        <v>56</v>
      </c>
      <c r="P13" s="11">
        <f>IF(OR($C13="",O13=""),"",IFERROR(IF(AND(IFERROR(--LEFT(O13,FIND("-",O13)-1),"")=AW13,IFERROR(--MID(O13,FIND("-",O13)+1,99),"")=AX13),10,5*(SIGN((IFERROR(--LEFT(O13,FIND("-",O13)-1),""))-(IFERROR(--MID(O13,FIND("-",O13)+1,99),"")))=SIGN((AW13)-(AX13)))+2*(((IFERROR(--LEFT(O13,FIND("-",O13)-1),""))-(IFERROR(--MID(O13,FIND("-",O13)+1,99),"")))=((AW13)-(AX13)))+2*((IFERROR(--LEFT(O13,FIND("-",O13)-1),""))=(AW13))+2*((IFERROR(--MID(O13,FIND("-",O13)+1,99),""))=(AX13))),""))</f>
        <v>0</v>
      </c>
      <c r="Q13" s="10" t="s">
        <v>57</v>
      </c>
      <c r="R13" s="11">
        <f>IF(OR($C13="",Q13=""),"",IFERROR(IF(AND(IFERROR(--LEFT(Q13,FIND("-",Q13)-1),"")=AW13,IFERROR(--MID(Q13,FIND("-",Q13)+1,99),"")=AX13),10,5*(SIGN((IFERROR(--LEFT(Q13,FIND("-",Q13)-1),""))-(IFERROR(--MID(Q13,FIND("-",Q13)+1,99),"")))=SIGN((AW13)-(AX13)))+2*(((IFERROR(--LEFT(Q13,FIND("-",Q13)-1),""))-(IFERROR(--MID(Q13,FIND("-",Q13)+1,99),"")))=((AW13)-(AX13)))+2*((IFERROR(--LEFT(Q13,FIND("-",Q13)-1),""))=(AW13))+2*((IFERROR(--MID(Q13,FIND("-",Q13)+1,99),""))=(AX13))),""))</f>
        <v>2</v>
      </c>
      <c r="S13" s="10" t="s">
        <v>49</v>
      </c>
      <c r="T13" s="11">
        <f>IF(OR($C13="",S13=""),"",IFERROR(IF(AND(IFERROR(--LEFT(S13,FIND("-",S13)-1),"")=AW13,IFERROR(--MID(S13,FIND("-",S13)+1,99),"")=AX13),10,5*(SIGN((IFERROR(--LEFT(S13,FIND("-",S13)-1),""))-(IFERROR(--MID(S13,FIND("-",S13)+1,99),"")))=SIGN((AW13)-(AX13)))+2*(((IFERROR(--LEFT(S13,FIND("-",S13)-1),""))-(IFERROR(--MID(S13,FIND("-",S13)+1,99),"")))=((AW13)-(AX13)))+2*((IFERROR(--LEFT(S13,FIND("-",S13)-1),""))=(AW13))+2*((IFERROR(--MID(S13,FIND("-",S13)+1,99),""))=(AX13))),""))</f>
        <v>7</v>
      </c>
      <c r="U13" s="10" t="s">
        <v>48</v>
      </c>
      <c r="V13" s="11">
        <f>IF(OR($C13="",U13=""),"",IFERROR(IF(AND(IFERROR(--LEFT(U13,FIND("-",U13)-1),"")=AW13,IFERROR(--MID(U13,FIND("-",U13)+1,99),"")=AX13),10,5*(SIGN((IFERROR(--LEFT(U13,FIND("-",U13)-1),""))-(IFERROR(--MID(U13,FIND("-",U13)+1,99),"")))=SIGN((AW13)-(AX13)))+2*(((IFERROR(--LEFT(U13,FIND("-",U13)-1),""))-(IFERROR(--MID(U13,FIND("-",U13)+1,99),"")))=((AW13)-(AX13)))+2*((IFERROR(--LEFT(U13,FIND("-",U13)-1),""))=(AW13))+2*((IFERROR(--MID(U13,FIND("-",U13)+1,99),""))=(AX13))),""))</f>
        <v>0</v>
      </c>
      <c r="W13" s="10" t="s">
        <v>48</v>
      </c>
      <c r="X13" s="11">
        <f>IF(OR($C13="",W13=""),"",IFERROR(IF(AND(IFERROR(--LEFT(W13,FIND("-",W13)-1),"")=AW13,IFERROR(--MID(W13,FIND("-",W13)+1,99),"")=AX13),10,5*(SIGN((IFERROR(--LEFT(W13,FIND("-",W13)-1),""))-(IFERROR(--MID(W13,FIND("-",W13)+1,99),"")))=SIGN((AW13)-(AX13)))+2*(((IFERROR(--LEFT(W13,FIND("-",W13)-1),""))-(IFERROR(--MID(W13,FIND("-",W13)+1,99),"")))=((AW13)-(AX13)))+2*((IFERROR(--LEFT(W13,FIND("-",W13)-1),""))=(AW13))+2*((IFERROR(--MID(W13,FIND("-",W13)+1,99),""))=(AX13))),""))</f>
        <v>0</v>
      </c>
      <c r="Y13" s="10" t="s">
        <v>48</v>
      </c>
      <c r="Z13" s="11">
        <f>IF(OR($C13="",Y13=""),"",IFERROR(IF(AND(IFERROR(--LEFT(Y13,FIND("-",Y13)-1),"")=AW13,IFERROR(--MID(Y13,FIND("-",Y13)+1,99),"")=AX13),10,5*(SIGN((IFERROR(--LEFT(Y13,FIND("-",Y13)-1),""))-(IFERROR(--MID(Y13,FIND("-",Y13)+1,99),"")))=SIGN((AW13)-(AX13)))+2*(((IFERROR(--LEFT(Y13,FIND("-",Y13)-1),""))-(IFERROR(--MID(Y13,FIND("-",Y13)+1,99),"")))=((AW13)-(AX13)))+2*((IFERROR(--LEFT(Y13,FIND("-",Y13)-1),""))=(AW13))+2*((IFERROR(--MID(Y13,FIND("-",Y13)+1,99),""))=(AX13))),""))</f>
        <v>0</v>
      </c>
      <c r="AA13" s="10" t="s">
        <v>37</v>
      </c>
      <c r="AB13" s="11">
        <f>IF(OR($C13="",AA13=""),"",IFERROR(IF(AND(IFERROR(--LEFT(AA13,FIND("-",AA13)-1),"")=AW13,IFERROR(--MID(AA13,FIND("-",AA13)+1,99),"")=AX13),10,5*(SIGN((IFERROR(--LEFT(AA13,FIND("-",AA13)-1),""))-(IFERROR(--MID(AA13,FIND("-",AA13)+1,99),"")))=SIGN((AW13)-(AX13)))+2*(((IFERROR(--LEFT(AA13,FIND("-",AA13)-1),""))-(IFERROR(--MID(AA13,FIND("-",AA13)+1,99),"")))=((AW13)-(AX13)))+2*((IFERROR(--LEFT(AA13,FIND("-",AA13)-1),""))=(AW13))+2*((IFERROR(--MID(AA13,FIND("-",AA13)+1,99),""))=(AX13))),""))</f>
        <v>2</v>
      </c>
      <c r="AC13" s="10" t="s">
        <v>57</v>
      </c>
      <c r="AD13" s="11">
        <f>IF(OR($C13="",AC13=""),"",IFERROR(IF(AND(IFERROR(--LEFT(AC13,FIND("-",AC13)-1),"")=AW13,IFERROR(--MID(AC13,FIND("-",AC13)+1,99),"")=AX13),10,5*(SIGN((IFERROR(--LEFT(AC13,FIND("-",AC13)-1),""))-(IFERROR(--MID(AC13,FIND("-",AC13)+1,99),"")))=SIGN((AW13)-(AX13)))+2*(((IFERROR(--LEFT(AC13,FIND("-",AC13)-1),""))-(IFERROR(--MID(AC13,FIND("-",AC13)+1,99),"")))=((AW13)-(AX13)))+2*((IFERROR(--LEFT(AC13,FIND("-",AC13)-1),""))=(AW13))+2*((IFERROR(--MID(AC13,FIND("-",AC13)+1,99),""))=(AX13))),""))</f>
        <v>2</v>
      </c>
      <c r="AE13" s="10" t="s">
        <v>48</v>
      </c>
      <c r="AF13" s="11">
        <f>IF(OR($C13="",AE13=""),"",IFERROR(IF(AND(IFERROR(--LEFT(AE13,FIND("-",AE13)-1),"")=AW13,IFERROR(--MID(AE13,FIND("-",AE13)+1,99),"")=AX13),10,5*(SIGN((IFERROR(--LEFT(AE13,FIND("-",AE13)-1),""))-(IFERROR(--MID(AE13,FIND("-",AE13)+1,99),"")))=SIGN((AW13)-(AX13)))+2*(((IFERROR(--LEFT(AE13,FIND("-",AE13)-1),""))-(IFERROR(--MID(AE13,FIND("-",AE13)+1,99),"")))=((AW13)-(AX13)))+2*((IFERROR(--LEFT(AE13,FIND("-",AE13)-1),""))=(AW13))+2*((IFERROR(--MID(AE13,FIND("-",AE13)+1,99),""))=(AX13))),""))</f>
        <v>0</v>
      </c>
      <c r="AG13" s="10" t="s">
        <v>48</v>
      </c>
      <c r="AH13" s="11">
        <f>IF(OR($C13="",AG13=""),"",IFERROR(IF(AND(IFERROR(--LEFT(AG13,FIND("-",AG13)-1),"")=AW13,IFERROR(--MID(AG13,FIND("-",AG13)+1,99),"")=AX13),10,5*(SIGN((IFERROR(--LEFT(AG13,FIND("-",AG13)-1),""))-(IFERROR(--MID(AG13,FIND("-",AG13)+1,99),"")))=SIGN((AW13)-(AX13)))+2*(((IFERROR(--LEFT(AG13,FIND("-",AG13)-1),""))-(IFERROR(--MID(AG13,FIND("-",AG13)+1,99),"")))=((AW13)-(AX13)))+2*((IFERROR(--LEFT(AG13,FIND("-",AG13)-1),""))=(AW13))+2*((IFERROR(--MID(AG13,FIND("-",AG13)+1,99),""))=(AX13))),""))</f>
        <v>0</v>
      </c>
      <c r="AI13" s="10" t="s">
        <v>56</v>
      </c>
      <c r="AJ13" s="11">
        <f>IF(OR($C13="",AI13=""),"",IFERROR(IF(AND(IFERROR(--LEFT(AI13,FIND("-",AI13)-1),"")=AW13,IFERROR(--MID(AI13,FIND("-",AI13)+1,99),"")=AX13),10,5*(SIGN((IFERROR(--LEFT(AI13,FIND("-",AI13)-1),""))-(IFERROR(--MID(AI13,FIND("-",AI13)+1,99),"")))=SIGN((AW13)-(AX13)))+2*(((IFERROR(--LEFT(AI13,FIND("-",AI13)-1),""))-(IFERROR(--MID(AI13,FIND("-",AI13)+1,99),"")))=((AW13)-(AX13)))+2*((IFERROR(--LEFT(AI13,FIND("-",AI13)-1),""))=(AW13))+2*((IFERROR(--MID(AI13,FIND("-",AI13)+1,99),""))=(AX13))),""))</f>
        <v>0</v>
      </c>
      <c r="AK13" s="10" t="s">
        <v>37</v>
      </c>
      <c r="AL13" s="11">
        <f>IF(OR($C13="",AK13=""),"",IFERROR(IF(AND(IFERROR(--LEFT(AK13,FIND("-",AK13)-1),"")=AW13,IFERROR(--MID(AK13,FIND("-",AK13)+1,99),"")=AX13),10,5*(SIGN((IFERROR(--LEFT(AK13,FIND("-",AK13)-1),""))-(IFERROR(--MID(AK13,FIND("-",AK13)+1,99),"")))=SIGN((AW13)-(AX13)))+2*(((IFERROR(--LEFT(AK13,FIND("-",AK13)-1),""))-(IFERROR(--MID(AK13,FIND("-",AK13)+1,99),"")))=((AW13)-(AX13)))+2*((IFERROR(--LEFT(AK13,FIND("-",AK13)-1),""))=(AW13))+2*((IFERROR(--MID(AK13,FIND("-",AK13)+1,99),""))=(AX13))),""))</f>
        <v>2</v>
      </c>
      <c r="AM13" s="10" t="s">
        <v>48</v>
      </c>
      <c r="AN13" s="11">
        <f>IF(OR($C13="",AM13=""),"",IFERROR(IF(AND(IFERROR(--LEFT(AM13,FIND("-",AM13)-1),"")=AW13,IFERROR(--MID(AM13,FIND("-",AM13)+1,99),"")=AX13),10,5*(SIGN((IFERROR(--LEFT(AM13,FIND("-",AM13)-1),""))-(IFERROR(--MID(AM13,FIND("-",AM13)+1,99),"")))=SIGN((AW13)-(AX13)))+2*(((IFERROR(--LEFT(AM13,FIND("-",AM13)-1),""))-(IFERROR(--MID(AM13,FIND("-",AM13)+1,99),"")))=((AW13)-(AX13)))+2*((IFERROR(--LEFT(AM13,FIND("-",AM13)-1),""))=(AW13))+2*((IFERROR(--MID(AM13,FIND("-",AM13)+1,99),""))=(AX13))),""))</f>
        <v>0</v>
      </c>
      <c r="AO13" s="10" t="s">
        <v>48</v>
      </c>
      <c r="AP13" s="11">
        <f>IF(OR($C13="",AO13=""),"",IFERROR(IF(AND(IFERROR(--LEFT(AO13,FIND("-",AO13)-1),"")=AW13,IFERROR(--MID(AO13,FIND("-",AO13)+1,99),"")=AX13),10,5*(SIGN((IFERROR(--LEFT(AO13,FIND("-",AO13)-1),""))-(IFERROR(--MID(AO13,FIND("-",AO13)+1,99),"")))=SIGN((AW13)-(AX13)))+2*(((IFERROR(--LEFT(AO13,FIND("-",AO13)-1),""))-(IFERROR(--MID(AO13,FIND("-",AO13)+1,99),"")))=((AW13)-(AX13)))+2*((IFERROR(--LEFT(AO13,FIND("-",AO13)-1),""))=(AW13))+2*((IFERROR(--MID(AO13,FIND("-",AO13)+1,99),""))=(AX13))),""))</f>
        <v>0</v>
      </c>
      <c r="AQ13" s="10" t="s">
        <v>48</v>
      </c>
      <c r="AR13" s="11">
        <f>IF(OR($C13="",AQ13=""),"",IFERROR(IF(AND(IFERROR(--LEFT(AQ13,FIND("-",AQ13)-1),"")=AW13,IFERROR(--MID(AQ13,FIND("-",AQ13)+1,99),"")=AX13),10,5*(SIGN((IFERROR(--LEFT(AQ13,FIND("-",AQ13)-1),""))-(IFERROR(--MID(AQ13,FIND("-",AQ13)+1,99),"")))=SIGN((AW13)-(AX13)))+2*(((IFERROR(--LEFT(AQ13,FIND("-",AQ13)-1),""))-(IFERROR(--MID(AQ13,FIND("-",AQ13)+1,99),"")))=((AW13)-(AX13)))+2*((IFERROR(--LEFT(AQ13,FIND("-",AQ13)-1),""))=(AW13))+2*((IFERROR(--MID(AQ13,FIND("-",AQ13)+1,99),""))=(AX13))),""))</f>
        <v>0</v>
      </c>
      <c r="AS13" s="10" t="s">
        <v>48</v>
      </c>
      <c r="AT13" s="11">
        <f>IF(OR($C13="",AS13=""),"",IFERROR(IF(AND(IFERROR(--LEFT(AS13,FIND("-",AS13)-1),"")=AW13,IFERROR(--MID(AS13,FIND("-",AS13)+1,99),"")=AX13),10,5*(SIGN((IFERROR(--LEFT(AS13,FIND("-",AS13)-1),""))-(IFERROR(--MID(AS13,FIND("-",AS13)+1,99),"")))=SIGN((AW13)-(AX13)))+2*(((IFERROR(--LEFT(AS13,FIND("-",AS13)-1),""))-(IFERROR(--MID(AS13,FIND("-",AS13)+1,99),"")))=((AW13)-(AX13)))+2*((IFERROR(--LEFT(AS13,FIND("-",AS13)-1),""))=(AW13))+2*((IFERROR(--MID(AS13,FIND("-",AS13)+1,99),""))=(AX13))),""))</f>
        <v>0</v>
      </c>
      <c r="AU13" s="10" t="s">
        <v>48</v>
      </c>
      <c r="AV13" s="11">
        <f>IF(OR($C13="",AU13=""),"",IFERROR(IF(AND(IFERROR(--LEFT(AU13,FIND("-",AU13)-1),"")=AW13,IFERROR(--MID(AU13,FIND("-",AU13)+1,99),"")=AX13),10,5*(SIGN((IFERROR(--LEFT(AU13,FIND("-",AU13)-1),""))-(IFERROR(--MID(AU13,FIND("-",AU13)+1,99),"")))=SIGN((AW13)-(AX13)))+2*(((IFERROR(--LEFT(AU13,FIND("-",AU13)-1),""))-(IFERROR(--MID(AU13,FIND("-",AU13)+1,99),"")))=((AW13)-(AX13)))+2*((IFERROR(--LEFT(AU13,FIND("-",AU13)-1),""))=(AW13))+2*((IFERROR(--MID(AU13,FIND("-",AU13)+1,99),""))=(AX13))),""))</f>
        <v>0</v>
      </c>
      <c r="AW13" s="11">
        <f>IF($C13="","",IFERROR(--LEFT($C13,FIND("-",$C13)-1),""))</f>
        <v>1</v>
      </c>
      <c r="AX13" s="11">
        <f>IF($C13="","",IFERROR(--MID($C13,FIND("-",$C13)+1,99),""))</f>
        <v>1</v>
      </c>
    </row>
    <row r="14" spans="1:50" ht="18" customHeight="1" x14ac:dyDescent="0.3">
      <c r="A14" s="12"/>
      <c r="B14" s="18"/>
      <c r="C14" s="13"/>
      <c r="D14" s="1"/>
      <c r="E14" s="22"/>
      <c r="F14" s="12"/>
      <c r="G14" s="22"/>
      <c r="H14" s="12"/>
      <c r="I14" s="22"/>
      <c r="J14" s="12"/>
      <c r="K14" s="22"/>
      <c r="L14" s="12"/>
      <c r="M14" s="22"/>
      <c r="N14" s="12"/>
      <c r="O14" s="22"/>
      <c r="P14" s="12"/>
      <c r="Q14" s="22"/>
      <c r="R14" s="12"/>
      <c r="S14" s="22"/>
      <c r="T14" s="12"/>
      <c r="U14" s="13"/>
      <c r="V14" s="12"/>
      <c r="W14" s="22"/>
      <c r="X14" s="12"/>
      <c r="Y14" s="22"/>
      <c r="Z14" s="12"/>
      <c r="AA14" s="22"/>
      <c r="AB14" s="12"/>
      <c r="AC14" s="22"/>
      <c r="AD14" s="12"/>
      <c r="AE14" s="22"/>
      <c r="AF14" s="12"/>
      <c r="AG14" s="22"/>
      <c r="AH14" s="12"/>
      <c r="AI14" s="22"/>
      <c r="AJ14" s="12"/>
      <c r="AK14" s="22"/>
      <c r="AL14" s="12"/>
      <c r="AM14" s="22"/>
      <c r="AN14" s="12"/>
      <c r="AO14" s="22"/>
      <c r="AP14" s="12"/>
      <c r="AQ14" s="22"/>
      <c r="AR14" s="12" t="str">
        <f>IF(OR($C14="",AQ14=""),"",IFERROR(IF(AND(IFERROR(--LEFT(AQ14,FIND("-",AQ14)-1),"")=AW14,IFERROR(--MID(AQ14,FIND("-",AQ14)+1,99),"")=AX14),10,5*(SIGN((IFERROR(--LEFT(AQ14,FIND("-",AQ14)-1),""))-(IFERROR(--MID(AQ14,FIND("-",AQ14)+1,99),"")))=SIGN((AW14)-(AX14)))+2*(((IFERROR(--LEFT(AQ14,FIND("-",AQ14)-1),""))-(IFERROR(--MID(AQ14,FIND("-",AQ14)+1,99),"")))=((AW14)-(AX14)))+2*((IFERROR(--LEFT(AQ14,FIND("-",AQ14)-1),""))=(AW14))+2*((IFERROR(--MID(AQ14,FIND("-",AQ14)+1,99),""))=(AX14))),""))</f>
        <v/>
      </c>
      <c r="AS14" s="22"/>
      <c r="AT14" s="12" t="str">
        <f>IF(OR($C14="",AS14=""),"",IFERROR(IF(AND(IFERROR(--LEFT(AS14,FIND("-",AS14)-1),"")=AW14,IFERROR(--MID(AS14,FIND("-",AS14)+1,99),"")=AX14),10,5*(SIGN((IFERROR(--LEFT(AS14,FIND("-",AS14)-1),""))-(IFERROR(--MID(AS14,FIND("-",AS14)+1,99),"")))=SIGN((AW14)-(AX14)))+2*(((IFERROR(--LEFT(AS14,FIND("-",AS14)-1),""))-(IFERROR(--MID(AS14,FIND("-",AS14)+1,99),"")))=((AW14)-(AX14)))+2*((IFERROR(--LEFT(AS14,FIND("-",AS14)-1),""))=(AW14))+2*((IFERROR(--MID(AS14,FIND("-",AS14)+1,99),""))=(AX14))),""))</f>
        <v/>
      </c>
      <c r="AU14" s="22"/>
      <c r="AV14" s="12"/>
      <c r="AW14" s="12"/>
      <c r="AX14" s="12"/>
    </row>
    <row r="15" spans="1:50" ht="20.100000000000001" customHeight="1" x14ac:dyDescent="0.3">
      <c r="A15" s="36" t="s">
        <v>58</v>
      </c>
      <c r="B15" s="37"/>
      <c r="C15" s="38"/>
      <c r="D15" s="37"/>
      <c r="E15" s="38"/>
      <c r="F15" s="37"/>
      <c r="G15" s="38"/>
      <c r="H15" s="37"/>
      <c r="I15" s="38"/>
      <c r="J15" s="37"/>
      <c r="K15" s="38"/>
      <c r="L15" s="37"/>
      <c r="M15" s="38"/>
      <c r="N15" s="37"/>
      <c r="O15" s="38"/>
      <c r="P15" s="37"/>
      <c r="Q15" s="38"/>
      <c r="R15" s="37"/>
      <c r="S15" s="38"/>
      <c r="T15" s="37"/>
      <c r="U15" s="38"/>
      <c r="V15" s="37"/>
      <c r="W15" s="38"/>
      <c r="X15" s="37"/>
      <c r="Y15" s="38"/>
      <c r="Z15" s="37"/>
      <c r="AA15" s="38"/>
      <c r="AB15" s="37"/>
      <c r="AC15" s="38"/>
      <c r="AD15" s="37"/>
      <c r="AE15" s="38"/>
      <c r="AF15" s="37"/>
      <c r="AG15" s="38"/>
      <c r="AH15" s="37"/>
      <c r="AI15" s="38"/>
      <c r="AJ15" s="37"/>
      <c r="AK15" s="38"/>
      <c r="AL15" s="37"/>
      <c r="AM15" s="38"/>
      <c r="AN15" s="37"/>
      <c r="AO15" s="38"/>
      <c r="AP15" s="37"/>
      <c r="AQ15" s="37"/>
      <c r="AR15" s="37"/>
      <c r="AS15" s="37"/>
      <c r="AT15" s="37"/>
      <c r="AU15" s="38"/>
      <c r="AV15" s="39"/>
      <c r="AW15" s="8"/>
      <c r="AX15" s="8"/>
    </row>
    <row r="16" spans="1:50" ht="18" customHeight="1" x14ac:dyDescent="0.3">
      <c r="A16" s="9">
        <v>1</v>
      </c>
      <c r="B16" s="18" t="s">
        <v>59</v>
      </c>
      <c r="C16" s="10" t="s">
        <v>35</v>
      </c>
      <c r="D16" s="1" t="s">
        <v>60</v>
      </c>
      <c r="E16" s="10" t="s">
        <v>33</v>
      </c>
      <c r="F16" s="11">
        <f>IF(OR($C16="",E16=""),"",IFERROR(IF(AND(IFERROR(--LEFT(E16,FIND("-",E16)-1),"")=AW16,IFERROR(--MID(E16,FIND("-",E16)+1,99),"")=AX16),10,5*(SIGN((IFERROR(--LEFT(E16,FIND("-",E16)-1),""))-(IFERROR(--MID(E16,FIND("-",E16)+1,99),"")))=SIGN((AW16)-(AX16)))+2*(((IFERROR(--LEFT(E16,FIND("-",E16)-1),""))-(IFERROR(--MID(E16,FIND("-",E16)+1,99),"")))=((AW16)-(AX16)))+2*((IFERROR(--LEFT(E16,FIND("-",E16)-1),""))=(AW16))+2*((IFERROR(--MID(E16,FIND("-",E16)+1,99),""))=(AX16))),""))</f>
        <v>2</v>
      </c>
      <c r="G16" s="10" t="s">
        <v>61</v>
      </c>
      <c r="H16" s="11">
        <f>IF(OR($C16="",G16=""),"",IFERROR(IF(AND(IFERROR(--LEFT(G16,FIND("-",G16)-1),"")=AW16,IFERROR(--MID(G16,FIND("-",G16)+1,99),"")=AX16),10,5*(SIGN((IFERROR(--LEFT(G16,FIND("-",G16)-1),""))-(IFERROR(--MID(G16,FIND("-",G16)+1,99),"")))=SIGN((AW16)-(AX16)))+2*(((IFERROR(--LEFT(G16,FIND("-",G16)-1),""))-(IFERROR(--MID(G16,FIND("-",G16)+1,99),"")))=((AW16)-(AX16)))+2*((IFERROR(--LEFT(G16,FIND("-",G16)-1),""))=(AW16))+2*((IFERROR(--MID(G16,FIND("-",G16)+1,99),""))=(AX16))),""))</f>
        <v>0</v>
      </c>
      <c r="I16" s="10" t="s">
        <v>33</v>
      </c>
      <c r="J16" s="11">
        <f>IF(OR($C16="",I16=""),"",IFERROR(IF(AND(IFERROR(--LEFT(I16,FIND("-",I16)-1),"")=AW16,IFERROR(--MID(I16,FIND("-",I16)+1,99),"")=AX16),10,5*(SIGN((IFERROR(--LEFT(I16,FIND("-",I16)-1),""))-(IFERROR(--MID(I16,FIND("-",I16)+1,99),"")))=SIGN((AW16)-(AX16)))+2*(((IFERROR(--LEFT(I16,FIND("-",I16)-1),""))-(IFERROR(--MID(I16,FIND("-",I16)+1,99),"")))=((AW16)-(AX16)))+2*((IFERROR(--LEFT(I16,FIND("-",I16)-1),""))=(AW16))+2*((IFERROR(--MID(I16,FIND("-",I16)+1,99),""))=(AX16))),""))</f>
        <v>2</v>
      </c>
      <c r="K16" s="10" t="s">
        <v>36</v>
      </c>
      <c r="L16" s="11">
        <f>IF(OR($C16="",K16=""),"",IFERROR(IF(AND(IFERROR(--LEFT(K16,FIND("-",K16)-1),"")=AW16,IFERROR(--MID(K16,FIND("-",K16)+1,99),"")=AX16),10,5*(SIGN((IFERROR(--LEFT(K16,FIND("-",K16)-1),""))-(IFERROR(--MID(K16,FIND("-",K16)+1,99),"")))=SIGN((AW16)-(AX16)))+2*(((IFERROR(--LEFT(K16,FIND("-",K16)-1),""))-(IFERROR(--MID(K16,FIND("-",K16)+1,99),"")))=((AW16)-(AX16)))+2*((IFERROR(--LEFT(K16,FIND("-",K16)-1),""))=(AW16))+2*((IFERROR(--MID(K16,FIND("-",K16)+1,99),""))=(AX16))),""))</f>
        <v>0</v>
      </c>
      <c r="M16" s="10" t="s">
        <v>44</v>
      </c>
      <c r="N16" s="11">
        <f>IF(OR($C16="",M16=""),"",IFERROR(IF(AND(IFERROR(--LEFT(M16,FIND("-",M16)-1),"")=AW16,IFERROR(--MID(M16,FIND("-",M16)+1,99),"")=AX16),10,5*(SIGN((IFERROR(--LEFT(M16,FIND("-",M16)-1),""))-(IFERROR(--MID(M16,FIND("-",M16)+1,99),"")))=SIGN((AW16)-(AX16)))+2*(((IFERROR(--LEFT(M16,FIND("-",M16)-1),""))-(IFERROR(--MID(M16,FIND("-",M16)+1,99),"")))=((AW16)-(AX16)))+2*((IFERROR(--LEFT(M16,FIND("-",M16)-1),""))=(AW16))+2*((IFERROR(--MID(M16,FIND("-",M16)+1,99),""))=(AX16))),""))</f>
        <v>0</v>
      </c>
      <c r="O16" s="10" t="s">
        <v>33</v>
      </c>
      <c r="P16" s="11">
        <f>IF(OR($C16="",O16=""),"",IFERROR(IF(AND(IFERROR(--LEFT(O16,FIND("-",O16)-1),"")=AW16,IFERROR(--MID(O16,FIND("-",O16)+1,99),"")=AX16),10,5*(SIGN((IFERROR(--LEFT(O16,FIND("-",O16)-1),""))-(IFERROR(--MID(O16,FIND("-",O16)+1,99),"")))=SIGN((AW16)-(AX16)))+2*(((IFERROR(--LEFT(O16,FIND("-",O16)-1),""))-(IFERROR(--MID(O16,FIND("-",O16)+1,99),"")))=((AW16)-(AX16)))+2*((IFERROR(--LEFT(O16,FIND("-",O16)-1),""))=(AW16))+2*((IFERROR(--MID(O16,FIND("-",O16)+1,99),""))=(AX16))),""))</f>
        <v>2</v>
      </c>
      <c r="Q16" s="10" t="s">
        <v>62</v>
      </c>
      <c r="R16" s="11">
        <f>IF(OR($C16="",Q16=""),"",IFERROR(IF(AND(IFERROR(--LEFT(Q16,FIND("-",Q16)-1),"")=AW16,IFERROR(--MID(Q16,FIND("-",Q16)+1,99),"")=AX16),10,5*(SIGN((IFERROR(--LEFT(Q16,FIND("-",Q16)-1),""))-(IFERROR(--MID(Q16,FIND("-",Q16)+1,99),"")))=SIGN((AW16)-(AX16)))+2*(((IFERROR(--LEFT(Q16,FIND("-",Q16)-1),""))-(IFERROR(--MID(Q16,FIND("-",Q16)+1,99),"")))=((AW16)-(AX16)))+2*((IFERROR(--LEFT(Q16,FIND("-",Q16)-1),""))=(AW16))+2*((IFERROR(--MID(Q16,FIND("-",Q16)+1,99),""))=(AX16))),""))</f>
        <v>0</v>
      </c>
      <c r="S16" s="10" t="s">
        <v>63</v>
      </c>
      <c r="T16" s="11">
        <f>IF(OR($C16="",S16=""),"",IFERROR(IF(AND(IFERROR(--LEFT(S16,FIND("-",S16)-1),"")=AW16,IFERROR(--MID(S16,FIND("-",S16)+1,99),"")=AX16),10,5*(SIGN((IFERROR(--LEFT(S16,FIND("-",S16)-1),""))-(IFERROR(--MID(S16,FIND("-",S16)+1,99),"")))=SIGN((AW16)-(AX16)))+2*(((IFERROR(--LEFT(S16,FIND("-",S16)-1),""))-(IFERROR(--MID(S16,FIND("-",S16)+1,99),"")))=((AW16)-(AX16)))+2*((IFERROR(--LEFT(S16,FIND("-",S16)-1),""))=(AW16))+2*((IFERROR(--MID(S16,FIND("-",S16)+1,99),""))=(AX16))),""))</f>
        <v>0</v>
      </c>
      <c r="U16" s="10" t="s">
        <v>33</v>
      </c>
      <c r="V16" s="11">
        <f>IF(OR($C16="",U16=""),"",IFERROR(IF(AND(IFERROR(--LEFT(U16,FIND("-",U16)-1),"")=AW16,IFERROR(--MID(U16,FIND("-",U16)+1,99),"")=AX16),10,5*(SIGN((IFERROR(--LEFT(U16,FIND("-",U16)-1),""))-(IFERROR(--MID(U16,FIND("-",U16)+1,99),"")))=SIGN((AW16)-(AX16)))+2*(((IFERROR(--LEFT(U16,FIND("-",U16)-1),""))-(IFERROR(--MID(U16,FIND("-",U16)+1,99),"")))=((AW16)-(AX16)))+2*((IFERROR(--LEFT(U16,FIND("-",U16)-1),""))=(AW16))+2*((IFERROR(--MID(U16,FIND("-",U16)+1,99),""))=(AX16))),""))</f>
        <v>2</v>
      </c>
      <c r="W16" s="10" t="s">
        <v>33</v>
      </c>
      <c r="X16" s="11">
        <f>IF(OR($C16="",W16=""),"",IFERROR(IF(AND(IFERROR(--LEFT(W16,FIND("-",W16)-1),"")=AW16,IFERROR(--MID(W16,FIND("-",W16)+1,99),"")=AX16),10,5*(SIGN((IFERROR(--LEFT(W16,FIND("-",W16)-1),""))-(IFERROR(--MID(W16,FIND("-",W16)+1,99),"")))=SIGN((AW16)-(AX16)))+2*(((IFERROR(--LEFT(W16,FIND("-",W16)-1),""))-(IFERROR(--MID(W16,FIND("-",W16)+1,99),"")))=((AW16)-(AX16)))+2*((IFERROR(--LEFT(W16,FIND("-",W16)-1),""))=(AW16))+2*((IFERROR(--MID(W16,FIND("-",W16)+1,99),""))=(AX16))),""))</f>
        <v>2</v>
      </c>
      <c r="Y16" s="10" t="s">
        <v>33</v>
      </c>
      <c r="Z16" s="11">
        <f>IF(OR($C16="",Y16=""),"",IFERROR(IF(AND(IFERROR(--LEFT(Y16,FIND("-",Y16)-1),"")=AW16,IFERROR(--MID(Y16,FIND("-",Y16)+1,99),"")=AX16),10,5*(SIGN((IFERROR(--LEFT(Y16,FIND("-",Y16)-1),""))-(IFERROR(--MID(Y16,FIND("-",Y16)+1,99),"")))=SIGN((AW16)-(AX16)))+2*(((IFERROR(--LEFT(Y16,FIND("-",Y16)-1),""))-(IFERROR(--MID(Y16,FIND("-",Y16)+1,99),"")))=((AW16)-(AX16)))+2*((IFERROR(--LEFT(Y16,FIND("-",Y16)-1),""))=(AW16))+2*((IFERROR(--MID(Y16,FIND("-",Y16)+1,99),""))=(AX16))),""))</f>
        <v>2</v>
      </c>
      <c r="AA16" s="10" t="s">
        <v>49</v>
      </c>
      <c r="AB16" s="11">
        <f>IF(OR($C16="",AA16=""),"",IFERROR(IF(AND(IFERROR(--LEFT(AA16,FIND("-",AA16)-1),"")=AW16,IFERROR(--MID(AA16,FIND("-",AA16)+1,99),"")=AX16),10,5*(SIGN((IFERROR(--LEFT(AA16,FIND("-",AA16)-1),""))-(IFERROR(--MID(AA16,FIND("-",AA16)+1,99),"")))=SIGN((AW16)-(AX16)))+2*(((IFERROR(--LEFT(AA16,FIND("-",AA16)-1),""))-(IFERROR(--MID(AA16,FIND("-",AA16)+1,99),"")))=((AW16)-(AX16)))+2*((IFERROR(--LEFT(AA16,FIND("-",AA16)-1),""))=(AW16))+2*((IFERROR(--MID(AA16,FIND("-",AA16)+1,99),""))=(AX16))),""))</f>
        <v>7</v>
      </c>
      <c r="AC16" s="10" t="s">
        <v>34</v>
      </c>
      <c r="AD16" s="11">
        <f>IF(OR($C16="",AC16=""),"",IFERROR(IF(AND(IFERROR(--LEFT(AC16,FIND("-",AC16)-1),"")=AW16,IFERROR(--MID(AC16,FIND("-",AC16)+1,99),"")=AX16),10,5*(SIGN((IFERROR(--LEFT(AC16,FIND("-",AC16)-1),""))-(IFERROR(--MID(AC16,FIND("-",AC16)+1,99),"")))=SIGN((AW16)-(AX16)))+2*(((IFERROR(--LEFT(AC16,FIND("-",AC16)-1),""))-(IFERROR(--MID(AC16,FIND("-",AC16)+1,99),"")))=((AW16)-(AX16)))+2*((IFERROR(--LEFT(AC16,FIND("-",AC16)-1),""))=(AW16))+2*((IFERROR(--MID(AC16,FIND("-",AC16)+1,99),""))=(AX16))),""))</f>
        <v>2</v>
      </c>
      <c r="AE16" s="10" t="s">
        <v>34</v>
      </c>
      <c r="AF16" s="11">
        <f>IF(OR($C16="",AE16=""),"",IFERROR(IF(AND(IFERROR(--LEFT(AE16,FIND("-",AE16)-1),"")=AW16,IFERROR(--MID(AE16,FIND("-",AE16)+1,99),"")=AX16),10,5*(SIGN((IFERROR(--LEFT(AE16,FIND("-",AE16)-1),""))-(IFERROR(--MID(AE16,FIND("-",AE16)+1,99),"")))=SIGN((AW16)-(AX16)))+2*(((IFERROR(--LEFT(AE16,FIND("-",AE16)-1),""))-(IFERROR(--MID(AE16,FIND("-",AE16)+1,99),"")))=((AW16)-(AX16)))+2*((IFERROR(--LEFT(AE16,FIND("-",AE16)-1),""))=(AW16))+2*((IFERROR(--MID(AE16,FIND("-",AE16)+1,99),""))=(AX16))),""))</f>
        <v>2</v>
      </c>
      <c r="AG16" s="10" t="s">
        <v>33</v>
      </c>
      <c r="AH16" s="11">
        <f>IF(OR($C16="",AG16=""),"",IFERROR(IF(AND(IFERROR(--LEFT(AG16,FIND("-",AG16)-1),"")=AW16,IFERROR(--MID(AG16,FIND("-",AG16)+1,99),"")=AX16),10,5*(SIGN((IFERROR(--LEFT(AG16,FIND("-",AG16)-1),""))-(IFERROR(--MID(AG16,FIND("-",AG16)+1,99),"")))=SIGN((AW16)-(AX16)))+2*(((IFERROR(--LEFT(AG16,FIND("-",AG16)-1),""))-(IFERROR(--MID(AG16,FIND("-",AG16)+1,99),"")))=((AW16)-(AX16)))+2*((IFERROR(--LEFT(AG16,FIND("-",AG16)-1),""))=(AW16))+2*((IFERROR(--MID(AG16,FIND("-",AG16)+1,99),""))=(AX16))),""))</f>
        <v>2</v>
      </c>
      <c r="AI16" s="10" t="s">
        <v>43</v>
      </c>
      <c r="AJ16" s="11">
        <f>IF(OR($C16="",AI16=""),"",IFERROR(IF(AND(IFERROR(--LEFT(AI16,FIND("-",AI16)-1),"")=AW16,IFERROR(--MID(AI16,FIND("-",AI16)+1,99),"")=AX16),10,5*(SIGN((IFERROR(--LEFT(AI16,FIND("-",AI16)-1),""))-(IFERROR(--MID(AI16,FIND("-",AI16)+1,99),"")))=SIGN((AW16)-(AX16)))+2*(((IFERROR(--LEFT(AI16,FIND("-",AI16)-1),""))-(IFERROR(--MID(AI16,FIND("-",AI16)+1,99),"")))=((AW16)-(AX16)))+2*((IFERROR(--LEFT(AI16,FIND("-",AI16)-1),""))=(AW16))+2*((IFERROR(--MID(AI16,FIND("-",AI16)+1,99),""))=(AX16))),""))</f>
        <v>2</v>
      </c>
      <c r="AK16" s="10" t="s">
        <v>33</v>
      </c>
      <c r="AL16" s="11">
        <f>IF(OR($C16="",AK16=""),"",IFERROR(IF(AND(IFERROR(--LEFT(AK16,FIND("-",AK16)-1),"")=AW16,IFERROR(--MID(AK16,FIND("-",AK16)+1,99),"")=AX16),10,5*(SIGN((IFERROR(--LEFT(AK16,FIND("-",AK16)-1),""))-(IFERROR(--MID(AK16,FIND("-",AK16)+1,99),"")))=SIGN((AW16)-(AX16)))+2*(((IFERROR(--LEFT(AK16,FIND("-",AK16)-1),""))-(IFERROR(--MID(AK16,FIND("-",AK16)+1,99),"")))=((AW16)-(AX16)))+2*((IFERROR(--LEFT(AK16,FIND("-",AK16)-1),""))=(AW16))+2*((IFERROR(--MID(AK16,FIND("-",AK16)+1,99),""))=(AX16))),""))</f>
        <v>2</v>
      </c>
      <c r="AM16" s="10" t="s">
        <v>39</v>
      </c>
      <c r="AN16" s="11">
        <f>IF(OR($C16="",AM16=""),"",IFERROR(IF(AND(IFERROR(--LEFT(AM16,FIND("-",AM16)-1),"")=AW16,IFERROR(--MID(AM16,FIND("-",AM16)+1,99),"")=AX16),10,5*(SIGN((IFERROR(--LEFT(AM16,FIND("-",AM16)-1),""))-(IFERROR(--MID(AM16,FIND("-",AM16)+1,99),"")))=SIGN((AW16)-(AX16)))+2*(((IFERROR(--LEFT(AM16,FIND("-",AM16)-1),""))-(IFERROR(--MID(AM16,FIND("-",AM16)+1,99),"")))=((AW16)-(AX16)))+2*((IFERROR(--LEFT(AM16,FIND("-",AM16)-1),""))=(AW16))+2*((IFERROR(--MID(AM16,FIND("-",AM16)+1,99),""))=(AX16))),""))</f>
        <v>2</v>
      </c>
      <c r="AO16" s="10" t="s">
        <v>35</v>
      </c>
      <c r="AP16" s="11">
        <f>IF(OR($C16="",AO16=""),"",IFERROR(IF(AND(IFERROR(--LEFT(AO16,FIND("-",AO16)-1),"")=AW16,IFERROR(--MID(AO16,FIND("-",AO16)+1,99),"")=AX16),10,5*(SIGN((IFERROR(--LEFT(AO16,FIND("-",AO16)-1),""))-(IFERROR(--MID(AO16,FIND("-",AO16)+1,99),"")))=SIGN((AW16)-(AX16)))+2*(((IFERROR(--LEFT(AO16,FIND("-",AO16)-1),""))-(IFERROR(--MID(AO16,FIND("-",AO16)+1,99),"")))=((AW16)-(AX16)))+2*((IFERROR(--LEFT(AO16,FIND("-",AO16)-1),""))=(AW16))+2*((IFERROR(--MID(AO16,FIND("-",AO16)+1,99),""))=(AX16))),""))</f>
        <v>10</v>
      </c>
      <c r="AQ16" s="10" t="s">
        <v>33</v>
      </c>
      <c r="AR16" s="11">
        <f t="shared" ref="AR16:AR21" si="0">IF(OR($C16="",AQ16=""),"",IFERROR(IF(AND(IFERROR(--LEFT(AQ16,FIND("-",AQ16)-1),"")=AW16,IFERROR(--MID(AQ16,FIND("-",AQ16)+1,99),"")=AX16),10,5*(SIGN((IFERROR(--LEFT(AQ16,FIND("-",AQ16)-1),""))-(IFERROR(--MID(AQ16,FIND("-",AQ16)+1,99),"")))=SIGN((AW16)-(AX16)))+2*(((IFERROR(--LEFT(AQ16,FIND("-",AQ16)-1),""))-(IFERROR(--MID(AQ16,FIND("-",AQ16)+1,99),"")))=((AW16)-(AX16)))+2*((IFERROR(--LEFT(AQ16,FIND("-",AQ16)-1),""))=(AW16))+2*((IFERROR(--MID(AQ16,FIND("-",AQ16)+1,99),""))=(AX16))),""))</f>
        <v>2</v>
      </c>
      <c r="AS16" s="10" t="s">
        <v>33</v>
      </c>
      <c r="AT16" s="11">
        <f t="shared" ref="AT16:AT21" si="1">IF(OR($C16="",AS16=""),"",IFERROR(IF(AND(IFERROR(--LEFT(AS16,FIND("-",AS16)-1),"")=AW16,IFERROR(--MID(AS16,FIND("-",AS16)+1,99),"")=AX16),10,5*(SIGN((IFERROR(--LEFT(AS16,FIND("-",AS16)-1),""))-(IFERROR(--MID(AS16,FIND("-",AS16)+1,99),"")))=SIGN((AW16)-(AX16)))+2*(((IFERROR(--LEFT(AS16,FIND("-",AS16)-1),""))-(IFERROR(--MID(AS16,FIND("-",AS16)+1,99),"")))=((AW16)-(AX16)))+2*((IFERROR(--LEFT(AS16,FIND("-",AS16)-1),""))=(AW16))+2*((IFERROR(--MID(AS16,FIND("-",AS16)+1,99),""))=(AX16))),""))</f>
        <v>2</v>
      </c>
      <c r="AU16" s="10" t="s">
        <v>49</v>
      </c>
      <c r="AV16" s="11">
        <f>IF(OR($C16="",AU16=""),"",IFERROR(IF(AND(IFERROR(--LEFT(AU16,FIND("-",AU16)-1),"")=AW16,IFERROR(--MID(AU16,FIND("-",AU16)+1,99),"")=AX16),10,5*(SIGN((IFERROR(--LEFT(AU16,FIND("-",AU16)-1),""))-(IFERROR(--MID(AU16,FIND("-",AU16)+1,99),"")))=SIGN((AW16)-(AX16)))+2*(((IFERROR(--LEFT(AU16,FIND("-",AU16)-1),""))-(IFERROR(--MID(AU16,FIND("-",AU16)+1,99),"")))=((AW16)-(AX16)))+2*((IFERROR(--LEFT(AU16,FIND("-",AU16)-1),""))=(AW16))+2*((IFERROR(--MID(AU16,FIND("-",AU16)+1,99),""))=(AX16))),""))</f>
        <v>7</v>
      </c>
      <c r="AW16" s="11">
        <f>IF($C16="","",IFERROR(--LEFT($C16,FIND("-",$C16)-1),""))</f>
        <v>1</v>
      </c>
      <c r="AX16" s="11">
        <f>IF($C16="","",IFERROR(--MID($C16,FIND("-",$C16)+1,99),""))</f>
        <v>1</v>
      </c>
    </row>
    <row r="17" spans="1:50" ht="18" customHeight="1" x14ac:dyDescent="0.3">
      <c r="A17" s="9">
        <v>1.125</v>
      </c>
      <c r="B17" s="18" t="s">
        <v>64</v>
      </c>
      <c r="C17" s="10" t="s">
        <v>45</v>
      </c>
      <c r="D17" s="1" t="s">
        <v>65</v>
      </c>
      <c r="E17" s="10" t="s">
        <v>48</v>
      </c>
      <c r="F17" s="11">
        <f>IF(OR($C17="",E17=""),"",IFERROR(IF(AND(IFERROR(--LEFT(E17,FIND("-",E17)-1),"")=AW17,IFERROR(--MID(E17,FIND("-",E17)+1,99),"")=AX17),10,5*(SIGN((IFERROR(--LEFT(E17,FIND("-",E17)-1),""))-(IFERROR(--MID(E17,FIND("-",E17)+1,99),"")))=SIGN((AW17)-(AX17)))+2*(((IFERROR(--LEFT(E17,FIND("-",E17)-1),""))-(IFERROR(--MID(E17,FIND("-",E17)+1,99),"")))=((AW17)-(AX17)))+2*((IFERROR(--LEFT(E17,FIND("-",E17)-1),""))=(AW17))+2*((IFERROR(--MID(E17,FIND("-",E17)+1,99),""))=(AX17))),""))</f>
        <v>7</v>
      </c>
      <c r="G17" s="10" t="s">
        <v>48</v>
      </c>
      <c r="H17" s="11">
        <f>IF(OR($C17="",G17=""),"",IFERROR(IF(AND(IFERROR(--LEFT(G17,FIND("-",G17)-1),"")=AW17,IFERROR(--MID(G17,FIND("-",G17)+1,99),"")=AX17),10,5*(SIGN((IFERROR(--LEFT(G17,FIND("-",G17)-1),""))-(IFERROR(--MID(G17,FIND("-",G17)+1,99),"")))=SIGN((AW17)-(AX17)))+2*(((IFERROR(--LEFT(G17,FIND("-",G17)-1),""))-(IFERROR(--MID(G17,FIND("-",G17)+1,99),"")))=((AW17)-(AX17)))+2*((IFERROR(--LEFT(G17,FIND("-",G17)-1),""))=(AW17))+2*((IFERROR(--MID(G17,FIND("-",G17)+1,99),""))=(AX17))),""))</f>
        <v>7</v>
      </c>
      <c r="I17" s="10" t="s">
        <v>45</v>
      </c>
      <c r="J17" s="11">
        <f>IF(OR($C17="",I17=""),"",IFERROR(IF(AND(IFERROR(--LEFT(I17,FIND("-",I17)-1),"")=AW17,IFERROR(--MID(I17,FIND("-",I17)+1,99),"")=AX17),10,5*(SIGN((IFERROR(--LEFT(I17,FIND("-",I17)-1),""))-(IFERROR(--MID(I17,FIND("-",I17)+1,99),"")))=SIGN((AW17)-(AX17)))+2*(((IFERROR(--LEFT(I17,FIND("-",I17)-1),""))-(IFERROR(--MID(I17,FIND("-",I17)+1,99),"")))=((AW17)-(AX17)))+2*((IFERROR(--LEFT(I17,FIND("-",I17)-1),""))=(AW17))+2*((IFERROR(--MID(I17,FIND("-",I17)+1,99),""))=(AX17))),""))</f>
        <v>10</v>
      </c>
      <c r="K17" s="10" t="s">
        <v>56</v>
      </c>
      <c r="L17" s="11">
        <f>IF(OR($C17="",K17=""),"",IFERROR(IF(AND(IFERROR(--LEFT(K17,FIND("-",K17)-1),"")=AW17,IFERROR(--MID(K17,FIND("-",K17)+1,99),"")=AX17),10,5*(SIGN((IFERROR(--LEFT(K17,FIND("-",K17)-1),""))-(IFERROR(--MID(K17,FIND("-",K17)+1,99),"")))=SIGN((AW17)-(AX17)))+2*(((IFERROR(--LEFT(K17,FIND("-",K17)-1),""))-(IFERROR(--MID(K17,FIND("-",K17)+1,99),"")))=((AW17)-(AX17)))+2*((IFERROR(--LEFT(K17,FIND("-",K17)-1),""))=(AW17))+2*((IFERROR(--MID(K17,FIND("-",K17)+1,99),""))=(AX17))),""))</f>
        <v>7</v>
      </c>
      <c r="M17" s="10" t="s">
        <v>66</v>
      </c>
      <c r="N17" s="11">
        <f>IF(OR($C17="",M17=""),"",IFERROR(IF(AND(IFERROR(--LEFT(M17,FIND("-",M17)-1),"")=AW17,IFERROR(--MID(M17,FIND("-",M17)+1,99),"")=AX17),10,5*(SIGN((IFERROR(--LEFT(M17,FIND("-",M17)-1),""))-(IFERROR(--MID(M17,FIND("-",M17)+1,99),"")))=SIGN((AW17)-(AX17)))+2*(((IFERROR(--LEFT(M17,FIND("-",M17)-1),""))-(IFERROR(--MID(M17,FIND("-",M17)+1,99),"")))=((AW17)-(AX17)))+2*((IFERROR(--LEFT(M17,FIND("-",M17)-1),""))=(AW17))+2*((IFERROR(--MID(M17,FIND("-",M17)+1,99),""))=(AX17))),""))</f>
        <v>7</v>
      </c>
      <c r="O17" s="10" t="s">
        <v>48</v>
      </c>
      <c r="P17" s="11">
        <f>IF(OR($C17="",O17=""),"",IFERROR(IF(AND(IFERROR(--LEFT(O17,FIND("-",O17)-1),"")=AW17,IFERROR(--MID(O17,FIND("-",O17)+1,99),"")=AX17),10,5*(SIGN((IFERROR(--LEFT(O17,FIND("-",O17)-1),""))-(IFERROR(--MID(O17,FIND("-",O17)+1,99),"")))=SIGN((AW17)-(AX17)))+2*(((IFERROR(--LEFT(O17,FIND("-",O17)-1),""))-(IFERROR(--MID(O17,FIND("-",O17)+1,99),"")))=((AW17)-(AX17)))+2*((IFERROR(--LEFT(O17,FIND("-",O17)-1),""))=(AW17))+2*((IFERROR(--MID(O17,FIND("-",O17)+1,99),""))=(AX17))),""))</f>
        <v>7</v>
      </c>
      <c r="Q17" s="10" t="s">
        <v>48</v>
      </c>
      <c r="R17" s="11">
        <f>IF(OR($C17="",Q17=""),"",IFERROR(IF(AND(IFERROR(--LEFT(Q17,FIND("-",Q17)-1),"")=AW17,IFERROR(--MID(Q17,FIND("-",Q17)+1,99),"")=AX17),10,5*(SIGN((IFERROR(--LEFT(Q17,FIND("-",Q17)-1),""))-(IFERROR(--MID(Q17,FIND("-",Q17)+1,99),"")))=SIGN((AW17)-(AX17)))+2*(((IFERROR(--LEFT(Q17,FIND("-",Q17)-1),""))-(IFERROR(--MID(Q17,FIND("-",Q17)+1,99),"")))=((AW17)-(AX17)))+2*((IFERROR(--LEFT(Q17,FIND("-",Q17)-1),""))=(AW17))+2*((IFERROR(--MID(Q17,FIND("-",Q17)+1,99),""))=(AX17))),""))</f>
        <v>7</v>
      </c>
      <c r="S17" s="10" t="s">
        <v>35</v>
      </c>
      <c r="T17" s="11">
        <f>IF(OR($C17="",S17=""),"",IFERROR(IF(AND(IFERROR(--LEFT(S17,FIND("-",S17)-1),"")=AW17,IFERROR(--MID(S17,FIND("-",S17)+1,99),"")=AX17),10,5*(SIGN((IFERROR(--LEFT(S17,FIND("-",S17)-1),""))-(IFERROR(--MID(S17,FIND("-",S17)+1,99),"")))=SIGN((AW17)-(AX17)))+2*(((IFERROR(--LEFT(S17,FIND("-",S17)-1),""))-(IFERROR(--MID(S17,FIND("-",S17)+1,99),"")))=((AW17)-(AX17)))+2*((IFERROR(--LEFT(S17,FIND("-",S17)-1),""))=(AW17))+2*((IFERROR(--MID(S17,FIND("-",S17)+1,99),""))=(AX17))),""))</f>
        <v>2</v>
      </c>
      <c r="U17" s="10" t="s">
        <v>48</v>
      </c>
      <c r="V17" s="11">
        <f>IF(OR($C17="",U17=""),"",IFERROR(IF(AND(IFERROR(--LEFT(U17,FIND("-",U17)-1),"")=AW17,IFERROR(--MID(U17,FIND("-",U17)+1,99),"")=AX17),10,5*(SIGN((IFERROR(--LEFT(U17,FIND("-",U17)-1),""))-(IFERROR(--MID(U17,FIND("-",U17)+1,99),"")))=SIGN((AW17)-(AX17)))+2*(((IFERROR(--LEFT(U17,FIND("-",U17)-1),""))-(IFERROR(--MID(U17,FIND("-",U17)+1,99),"")))=((AW17)-(AX17)))+2*((IFERROR(--LEFT(U17,FIND("-",U17)-1),""))=(AW17))+2*((IFERROR(--MID(U17,FIND("-",U17)+1,99),""))=(AX17))),""))</f>
        <v>7</v>
      </c>
      <c r="W17" s="10" t="s">
        <v>48</v>
      </c>
      <c r="X17" s="11">
        <f>IF(OR($C17="",W17=""),"",IFERROR(IF(AND(IFERROR(--LEFT(W17,FIND("-",W17)-1),"")=AW17,IFERROR(--MID(W17,FIND("-",W17)+1,99),"")=AX17),10,5*(SIGN((IFERROR(--LEFT(W17,FIND("-",W17)-1),""))-(IFERROR(--MID(W17,FIND("-",W17)+1,99),"")))=SIGN((AW17)-(AX17)))+2*(((IFERROR(--LEFT(W17,FIND("-",W17)-1),""))-(IFERROR(--MID(W17,FIND("-",W17)+1,99),"")))=((AW17)-(AX17)))+2*((IFERROR(--LEFT(W17,FIND("-",W17)-1),""))=(AW17))+2*((IFERROR(--MID(W17,FIND("-",W17)+1,99),""))=(AX17))),""))</f>
        <v>7</v>
      </c>
      <c r="Y17" s="10" t="s">
        <v>48</v>
      </c>
      <c r="Z17" s="11">
        <f>IF(OR($C17="",Y17=""),"",IFERROR(IF(AND(IFERROR(--LEFT(Y17,FIND("-",Y17)-1),"")=AW17,IFERROR(--MID(Y17,FIND("-",Y17)+1,99),"")=AX17),10,5*(SIGN((IFERROR(--LEFT(Y17,FIND("-",Y17)-1),""))-(IFERROR(--MID(Y17,FIND("-",Y17)+1,99),"")))=SIGN((AW17)-(AX17)))+2*(((IFERROR(--LEFT(Y17,FIND("-",Y17)-1),""))-(IFERROR(--MID(Y17,FIND("-",Y17)+1,99),"")))=((AW17)-(AX17)))+2*((IFERROR(--LEFT(Y17,FIND("-",Y17)-1),""))=(AW17))+2*((IFERROR(--MID(Y17,FIND("-",Y17)+1,99),""))=(AX17))),""))</f>
        <v>7</v>
      </c>
      <c r="AA17" s="10" t="s">
        <v>57</v>
      </c>
      <c r="AB17" s="11">
        <f>IF(OR($C17="",AA17=""),"",IFERROR(IF(AND(IFERROR(--LEFT(AA17,FIND("-",AA17)-1),"")=AW17,IFERROR(--MID(AA17,FIND("-",AA17)+1,99),"")=AX17),10,5*(SIGN((IFERROR(--LEFT(AA17,FIND("-",AA17)-1),""))-(IFERROR(--MID(AA17,FIND("-",AA17)+1,99),"")))=SIGN((AW17)-(AX17)))+2*(((IFERROR(--LEFT(AA17,FIND("-",AA17)-1),""))-(IFERROR(--MID(AA17,FIND("-",AA17)+1,99),"")))=((AW17)-(AX17)))+2*((IFERROR(--LEFT(AA17,FIND("-",AA17)-1),""))=(AW17))+2*((IFERROR(--MID(AA17,FIND("-",AA17)+1,99),""))=(AX17))),""))</f>
        <v>5</v>
      </c>
      <c r="AC17" s="10" t="s">
        <v>44</v>
      </c>
      <c r="AD17" s="11">
        <f>IF(OR($C17="",AC17=""),"",IFERROR(IF(AND(IFERROR(--LEFT(AC17,FIND("-",AC17)-1),"")=AW17,IFERROR(--MID(AC17,FIND("-",AC17)+1,99),"")=AX17),10,5*(SIGN((IFERROR(--LEFT(AC17,FIND("-",AC17)-1),""))-(IFERROR(--MID(AC17,FIND("-",AC17)+1,99),"")))=SIGN((AW17)-(AX17)))+2*(((IFERROR(--LEFT(AC17,FIND("-",AC17)-1),""))-(IFERROR(--MID(AC17,FIND("-",AC17)+1,99),"")))=((AW17)-(AX17)))+2*((IFERROR(--LEFT(AC17,FIND("-",AC17)-1),""))=(AW17))+2*((IFERROR(--MID(AC17,FIND("-",AC17)+1,99),""))=(AX17))),""))</f>
        <v>7</v>
      </c>
      <c r="AE17" s="10" t="s">
        <v>45</v>
      </c>
      <c r="AF17" s="11">
        <f>IF(OR($C17="",AE17=""),"",IFERROR(IF(AND(IFERROR(--LEFT(AE17,FIND("-",AE17)-1),"")=AW17,IFERROR(--MID(AE17,FIND("-",AE17)+1,99),"")=AX17),10,5*(SIGN((IFERROR(--LEFT(AE17,FIND("-",AE17)-1),""))-(IFERROR(--MID(AE17,FIND("-",AE17)+1,99),"")))=SIGN((AW17)-(AX17)))+2*(((IFERROR(--LEFT(AE17,FIND("-",AE17)-1),""))-(IFERROR(--MID(AE17,FIND("-",AE17)+1,99),"")))=((AW17)-(AX17)))+2*((IFERROR(--LEFT(AE17,FIND("-",AE17)-1),""))=(AW17))+2*((IFERROR(--MID(AE17,FIND("-",AE17)+1,99),""))=(AX17))),""))</f>
        <v>10</v>
      </c>
      <c r="AG17" s="10" t="s">
        <v>45</v>
      </c>
      <c r="AH17" s="11">
        <f>IF(OR($C17="",AG17=""),"",IFERROR(IF(AND(IFERROR(--LEFT(AG17,FIND("-",AG17)-1),"")=AW17,IFERROR(--MID(AG17,FIND("-",AG17)+1,99),"")=AX17),10,5*(SIGN((IFERROR(--LEFT(AG17,FIND("-",AG17)-1),""))-(IFERROR(--MID(AG17,FIND("-",AG17)+1,99),"")))=SIGN((AW17)-(AX17)))+2*(((IFERROR(--LEFT(AG17,FIND("-",AG17)-1),""))-(IFERROR(--MID(AG17,FIND("-",AG17)+1,99),"")))=((AW17)-(AX17)))+2*((IFERROR(--LEFT(AG17,FIND("-",AG17)-1),""))=(AW17))+2*((IFERROR(--MID(AG17,FIND("-",AG17)+1,99),""))=(AX17))),""))</f>
        <v>10</v>
      </c>
      <c r="AI17" s="10" t="s">
        <v>48</v>
      </c>
      <c r="AJ17" s="11">
        <f>IF(OR($C17="",AI17=""),"",IFERROR(IF(AND(IFERROR(--LEFT(AI17,FIND("-",AI17)-1),"")=AW17,IFERROR(--MID(AI17,FIND("-",AI17)+1,99),"")=AX17),10,5*(SIGN((IFERROR(--LEFT(AI17,FIND("-",AI17)-1),""))-(IFERROR(--MID(AI17,FIND("-",AI17)+1,99),"")))=SIGN((AW17)-(AX17)))+2*(((IFERROR(--LEFT(AI17,FIND("-",AI17)-1),""))-(IFERROR(--MID(AI17,FIND("-",AI17)+1,99),"")))=((AW17)-(AX17)))+2*((IFERROR(--LEFT(AI17,FIND("-",AI17)-1),""))=(AW17))+2*((IFERROR(--MID(AI17,FIND("-",AI17)+1,99),""))=(AX17))),""))</f>
        <v>7</v>
      </c>
      <c r="AK17" s="10" t="s">
        <v>37</v>
      </c>
      <c r="AL17" s="11">
        <f>IF(OR($C17="",AK17=""),"",IFERROR(IF(AND(IFERROR(--LEFT(AK17,FIND("-",AK17)-1),"")=AW17,IFERROR(--MID(AK17,FIND("-",AK17)+1,99),"")=AX17),10,5*(SIGN((IFERROR(--LEFT(AK17,FIND("-",AK17)-1),""))-(IFERROR(--MID(AK17,FIND("-",AK17)+1,99),"")))=SIGN((AW17)-(AX17)))+2*(((IFERROR(--LEFT(AK17,FIND("-",AK17)-1),""))-(IFERROR(--MID(AK17,FIND("-",AK17)+1,99),"")))=((AW17)-(AX17)))+2*((IFERROR(--LEFT(AK17,FIND("-",AK17)-1),""))=(AW17))+2*((IFERROR(--MID(AK17,FIND("-",AK17)+1,99),""))=(AX17))),""))</f>
        <v>7</v>
      </c>
      <c r="AM17" s="10" t="s">
        <v>48</v>
      </c>
      <c r="AN17" s="11">
        <f>IF(OR($C17="",AM17=""),"",IFERROR(IF(AND(IFERROR(--LEFT(AM17,FIND("-",AM17)-1),"")=AW17,IFERROR(--MID(AM17,FIND("-",AM17)+1,99),"")=AX17),10,5*(SIGN((IFERROR(--LEFT(AM17,FIND("-",AM17)-1),""))-(IFERROR(--MID(AM17,FIND("-",AM17)+1,99),"")))=SIGN((AW17)-(AX17)))+2*(((IFERROR(--LEFT(AM17,FIND("-",AM17)-1),""))-(IFERROR(--MID(AM17,FIND("-",AM17)+1,99),"")))=((AW17)-(AX17)))+2*((IFERROR(--LEFT(AM17,FIND("-",AM17)-1),""))=(AW17))+2*((IFERROR(--MID(AM17,FIND("-",AM17)+1,99),""))=(AX17))),""))</f>
        <v>7</v>
      </c>
      <c r="AO17" s="10" t="s">
        <v>45</v>
      </c>
      <c r="AP17" s="11">
        <f>IF(OR($C17="",AO17=""),"",IFERROR(IF(AND(IFERROR(--LEFT(AO17,FIND("-",AO17)-1),"")=AW17,IFERROR(--MID(AO17,FIND("-",AO17)+1,99),"")=AX17),10,5*(SIGN((IFERROR(--LEFT(AO17,FIND("-",AO17)-1),""))-(IFERROR(--MID(AO17,FIND("-",AO17)+1,99),"")))=SIGN((AW17)-(AX17)))+2*(((IFERROR(--LEFT(AO17,FIND("-",AO17)-1),""))-(IFERROR(--MID(AO17,FIND("-",AO17)+1,99),"")))=((AW17)-(AX17)))+2*((IFERROR(--LEFT(AO17,FIND("-",AO17)-1),""))=(AW17))+2*((IFERROR(--MID(AO17,FIND("-",AO17)+1,99),""))=(AX17))),""))</f>
        <v>10</v>
      </c>
      <c r="AQ17" s="10" t="s">
        <v>35</v>
      </c>
      <c r="AR17" s="11">
        <f t="shared" si="0"/>
        <v>2</v>
      </c>
      <c r="AS17" s="10" t="s">
        <v>48</v>
      </c>
      <c r="AT17" s="11">
        <f t="shared" si="1"/>
        <v>7</v>
      </c>
      <c r="AU17" s="10" t="s">
        <v>45</v>
      </c>
      <c r="AV17" s="11">
        <f>IF(OR($C17="",AU17=""),"",IFERROR(IF(AND(IFERROR(--LEFT(AU17,FIND("-",AU17)-1),"")=AW17,IFERROR(--MID(AU17,FIND("-",AU17)+1,99),"")=AX17),10,5*(SIGN((IFERROR(--LEFT(AU17,FIND("-",AU17)-1),""))-(IFERROR(--MID(AU17,FIND("-",AU17)+1,99),"")))=SIGN((AW17)-(AX17)))+2*(((IFERROR(--LEFT(AU17,FIND("-",AU17)-1),""))-(IFERROR(--MID(AU17,FIND("-",AU17)+1,99),"")))=((AW17)-(AX17)))+2*((IFERROR(--LEFT(AU17,FIND("-",AU17)-1),""))=(AW17))+2*((IFERROR(--MID(AU17,FIND("-",AU17)+1,99),""))=(AX17))),""))</f>
        <v>10</v>
      </c>
      <c r="AW17" s="11">
        <f>IF($C17="","",IFERROR(--LEFT($C17,FIND("-",$C17)-1),""))</f>
        <v>0</v>
      </c>
      <c r="AX17" s="11">
        <f>IF($C17="","",IFERROR(--MID($C17,FIND("-",$C17)+1,99),""))</f>
        <v>1</v>
      </c>
    </row>
    <row r="18" spans="1:50" ht="18" customHeight="1" x14ac:dyDescent="0.3">
      <c r="A18" s="9">
        <v>1.25</v>
      </c>
      <c r="B18" s="18" t="s">
        <v>67</v>
      </c>
      <c r="C18" s="10" t="s">
        <v>36</v>
      </c>
      <c r="D18" s="1" t="s">
        <v>68</v>
      </c>
      <c r="E18" s="10" t="s">
        <v>35</v>
      </c>
      <c r="F18" s="11">
        <f>IF(OR($C18="",E18=""),"",IFERROR(IF(AND(IFERROR(--LEFT(E18,FIND("-",E18)-1),"")=AW18,IFERROR(--MID(E18,FIND("-",E18)+1,99),"")=AX18),10,5*(SIGN((IFERROR(--LEFT(E18,FIND("-",E18)-1),""))-(IFERROR(--MID(E18,FIND("-",E18)+1,99),"")))=SIGN((AW18)-(AX18)))+2*(((IFERROR(--LEFT(E18,FIND("-",E18)-1),""))-(IFERROR(--MID(E18,FIND("-",E18)+1,99),"")))=((AW18)-(AX18)))+2*((IFERROR(--LEFT(E18,FIND("-",E18)-1),""))=(AW18))+2*((IFERROR(--MID(E18,FIND("-",E18)+1,99),""))=(AX18))),""))</f>
        <v>0</v>
      </c>
      <c r="G18" s="10" t="s">
        <v>33</v>
      </c>
      <c r="H18" s="11">
        <f>IF(OR($C18="",G18=""),"",IFERROR(IF(AND(IFERROR(--LEFT(G18,FIND("-",G18)-1),"")=AW18,IFERROR(--MID(G18,FIND("-",G18)+1,99),"")=AX18),10,5*(SIGN((IFERROR(--LEFT(G18,FIND("-",G18)-1),""))-(IFERROR(--MID(G18,FIND("-",G18)+1,99),"")))=SIGN((AW18)-(AX18)))+2*(((IFERROR(--LEFT(G18,FIND("-",G18)-1),""))-(IFERROR(--MID(G18,FIND("-",G18)+1,99),"")))=((AW18)-(AX18)))+2*((IFERROR(--LEFT(G18,FIND("-",G18)-1),""))=(AW18))+2*((IFERROR(--MID(G18,FIND("-",G18)+1,99),""))=(AX18))),""))</f>
        <v>7</v>
      </c>
      <c r="I18" s="10" t="s">
        <v>48</v>
      </c>
      <c r="J18" s="11">
        <f>IF(OR($C18="",I18=""),"",IFERROR(IF(AND(IFERROR(--LEFT(I18,FIND("-",I18)-1),"")=AW18,IFERROR(--MID(I18,FIND("-",I18)+1,99),"")=AX18),10,5*(SIGN((IFERROR(--LEFT(I18,FIND("-",I18)-1),""))-(IFERROR(--MID(I18,FIND("-",I18)+1,99),"")))=SIGN((AW18)-(AX18)))+2*(((IFERROR(--LEFT(I18,FIND("-",I18)-1),""))-(IFERROR(--MID(I18,FIND("-",I18)+1,99),"")))=((AW18)-(AX18)))+2*((IFERROR(--LEFT(I18,FIND("-",I18)-1),""))=(AW18))+2*((IFERROR(--MID(I18,FIND("-",I18)+1,99),""))=(AX18))),""))</f>
        <v>0</v>
      </c>
      <c r="K18" s="10" t="s">
        <v>45</v>
      </c>
      <c r="L18" s="11">
        <f>IF(OR($C18="",K18=""),"",IFERROR(IF(AND(IFERROR(--LEFT(K18,FIND("-",K18)-1),"")=AW18,IFERROR(--MID(K18,FIND("-",K18)+1,99),"")=AX18),10,5*(SIGN((IFERROR(--LEFT(K18,FIND("-",K18)-1),""))-(IFERROR(--MID(K18,FIND("-",K18)+1,99),"")))=SIGN((AW18)-(AX18)))+2*(((IFERROR(--LEFT(K18,FIND("-",K18)-1),""))-(IFERROR(--MID(K18,FIND("-",K18)+1,99),"")))=((AW18)-(AX18)))+2*((IFERROR(--LEFT(K18,FIND("-",K18)-1),""))=(AW18))+2*((IFERROR(--MID(K18,FIND("-",K18)+1,99),""))=(AX18))),""))</f>
        <v>0</v>
      </c>
      <c r="M18" s="10" t="s">
        <v>35</v>
      </c>
      <c r="N18" s="11">
        <f>IF(OR($C18="",M18=""),"",IFERROR(IF(AND(IFERROR(--LEFT(M18,FIND("-",M18)-1),"")=AW18,IFERROR(--MID(M18,FIND("-",M18)+1,99),"")=AX18),10,5*(SIGN((IFERROR(--LEFT(M18,FIND("-",M18)-1),""))-(IFERROR(--MID(M18,FIND("-",M18)+1,99),"")))=SIGN((AW18)-(AX18)))+2*(((IFERROR(--LEFT(M18,FIND("-",M18)-1),""))-(IFERROR(--MID(M18,FIND("-",M18)+1,99),"")))=((AW18)-(AX18)))+2*((IFERROR(--LEFT(M18,FIND("-",M18)-1),""))=(AW18))+2*((IFERROR(--MID(M18,FIND("-",M18)+1,99),""))=(AX18))),""))</f>
        <v>0</v>
      </c>
      <c r="O18" s="10" t="s">
        <v>35</v>
      </c>
      <c r="P18" s="11">
        <f>IF(OR($C18="",O18=""),"",IFERROR(IF(AND(IFERROR(--LEFT(O18,FIND("-",O18)-1),"")=AW18,IFERROR(--MID(O18,FIND("-",O18)+1,99),"")=AX18),10,5*(SIGN((IFERROR(--LEFT(O18,FIND("-",O18)-1),""))-(IFERROR(--MID(O18,FIND("-",O18)+1,99),"")))=SIGN((AW18)-(AX18)))+2*(((IFERROR(--LEFT(O18,FIND("-",O18)-1),""))-(IFERROR(--MID(O18,FIND("-",O18)+1,99),"")))=((AW18)-(AX18)))+2*((IFERROR(--LEFT(O18,FIND("-",O18)-1),""))=(AW18))+2*((IFERROR(--MID(O18,FIND("-",O18)+1,99),""))=(AX18))),""))</f>
        <v>0</v>
      </c>
      <c r="Q18" s="10" t="s">
        <v>48</v>
      </c>
      <c r="R18" s="11">
        <f>IF(OR($C18="",Q18=""),"",IFERROR(IF(AND(IFERROR(--LEFT(Q18,FIND("-",Q18)-1),"")=AW18,IFERROR(--MID(Q18,FIND("-",Q18)+1,99),"")=AX18),10,5*(SIGN((IFERROR(--LEFT(Q18,FIND("-",Q18)-1),""))-(IFERROR(--MID(Q18,FIND("-",Q18)+1,99),"")))=SIGN((AW18)-(AX18)))+2*(((IFERROR(--LEFT(Q18,FIND("-",Q18)-1),""))-(IFERROR(--MID(Q18,FIND("-",Q18)+1,99),"")))=((AW18)-(AX18)))+2*((IFERROR(--LEFT(Q18,FIND("-",Q18)-1),""))=(AW18))+2*((IFERROR(--MID(Q18,FIND("-",Q18)+1,99),""))=(AX18))),""))</f>
        <v>0</v>
      </c>
      <c r="S18" s="10" t="s">
        <v>33</v>
      </c>
      <c r="T18" s="11">
        <f>IF(OR($C18="",S18=""),"",IFERROR(IF(AND(IFERROR(--LEFT(S18,FIND("-",S18)-1),"")=AW18,IFERROR(--MID(S18,FIND("-",S18)+1,99),"")=AX18),10,5*(SIGN((IFERROR(--LEFT(S18,FIND("-",S18)-1),""))-(IFERROR(--MID(S18,FIND("-",S18)+1,99),"")))=SIGN((AW18)-(AX18)))+2*(((IFERROR(--LEFT(S18,FIND("-",S18)-1),""))-(IFERROR(--MID(S18,FIND("-",S18)+1,99),"")))=((AW18)-(AX18)))+2*((IFERROR(--LEFT(S18,FIND("-",S18)-1),""))=(AW18))+2*((IFERROR(--MID(S18,FIND("-",S18)+1,99),""))=(AX18))),""))</f>
        <v>7</v>
      </c>
      <c r="U18" s="10" t="s">
        <v>37</v>
      </c>
      <c r="V18" s="11">
        <f>IF(OR($C18="",U18=""),"",IFERROR(IF(AND(IFERROR(--LEFT(U18,FIND("-",U18)-1),"")=AW18,IFERROR(--MID(U18,FIND("-",U18)+1,99),"")=AX18),10,5*(SIGN((IFERROR(--LEFT(U18,FIND("-",U18)-1),""))-(IFERROR(--MID(U18,FIND("-",U18)+1,99),"")))=SIGN((AW18)-(AX18)))+2*(((IFERROR(--LEFT(U18,FIND("-",U18)-1),""))-(IFERROR(--MID(U18,FIND("-",U18)+1,99),"")))=((AW18)-(AX18)))+2*((IFERROR(--LEFT(U18,FIND("-",U18)-1),""))=(AW18))+2*((IFERROR(--MID(U18,FIND("-",U18)+1,99),""))=(AX18))),""))</f>
        <v>0</v>
      </c>
      <c r="W18" s="10" t="s">
        <v>35</v>
      </c>
      <c r="X18" s="11">
        <f>IF(OR($C18="",W18=""),"",IFERROR(IF(AND(IFERROR(--LEFT(W18,FIND("-",W18)-1),"")=AW18,IFERROR(--MID(W18,FIND("-",W18)+1,99),"")=AX18),10,5*(SIGN((IFERROR(--LEFT(W18,FIND("-",W18)-1),""))-(IFERROR(--MID(W18,FIND("-",W18)+1,99),"")))=SIGN((AW18)-(AX18)))+2*(((IFERROR(--LEFT(W18,FIND("-",W18)-1),""))-(IFERROR(--MID(W18,FIND("-",W18)+1,99),"")))=((AW18)-(AX18)))+2*((IFERROR(--LEFT(W18,FIND("-",W18)-1),""))=(AW18))+2*((IFERROR(--MID(W18,FIND("-",W18)+1,99),""))=(AX18))),""))</f>
        <v>0</v>
      </c>
      <c r="Y18" s="10" t="s">
        <v>48</v>
      </c>
      <c r="Z18" s="11">
        <f>IF(OR($C18="",Y18=""),"",IFERROR(IF(AND(IFERROR(--LEFT(Y18,FIND("-",Y18)-1),"")=AW18,IFERROR(--MID(Y18,FIND("-",Y18)+1,99),"")=AX18),10,5*(SIGN((IFERROR(--LEFT(Y18,FIND("-",Y18)-1),""))-(IFERROR(--MID(Y18,FIND("-",Y18)+1,99),"")))=SIGN((AW18)-(AX18)))+2*(((IFERROR(--LEFT(Y18,FIND("-",Y18)-1),""))-(IFERROR(--MID(Y18,FIND("-",Y18)+1,99),"")))=((AW18)-(AX18)))+2*((IFERROR(--LEFT(Y18,FIND("-",Y18)-1),""))=(AW18))+2*((IFERROR(--MID(Y18,FIND("-",Y18)+1,99),""))=(AX18))),""))</f>
        <v>0</v>
      </c>
      <c r="AA18" s="10" t="s">
        <v>48</v>
      </c>
      <c r="AB18" s="11">
        <f>IF(OR($C18="",AA18=""),"",IFERROR(IF(AND(IFERROR(--LEFT(AA18,FIND("-",AA18)-1),"")=AW18,IFERROR(--MID(AA18,FIND("-",AA18)+1,99),"")=AX18),10,5*(SIGN((IFERROR(--LEFT(AA18,FIND("-",AA18)-1),""))-(IFERROR(--MID(AA18,FIND("-",AA18)+1,99),"")))=SIGN((AW18)-(AX18)))+2*(((IFERROR(--LEFT(AA18,FIND("-",AA18)-1),""))-(IFERROR(--MID(AA18,FIND("-",AA18)+1,99),"")))=((AW18)-(AX18)))+2*((IFERROR(--LEFT(AA18,FIND("-",AA18)-1),""))=(AW18))+2*((IFERROR(--MID(AA18,FIND("-",AA18)+1,99),""))=(AX18))),""))</f>
        <v>0</v>
      </c>
      <c r="AC18" s="10" t="s">
        <v>35</v>
      </c>
      <c r="AD18" s="11">
        <f>IF(OR($C18="",AC18=""),"",IFERROR(IF(AND(IFERROR(--LEFT(AC18,FIND("-",AC18)-1),"")=AW18,IFERROR(--MID(AC18,FIND("-",AC18)+1,99),"")=AX18),10,5*(SIGN((IFERROR(--LEFT(AC18,FIND("-",AC18)-1),""))-(IFERROR(--MID(AC18,FIND("-",AC18)+1,99),"")))=SIGN((AW18)-(AX18)))+2*(((IFERROR(--LEFT(AC18,FIND("-",AC18)-1),""))-(IFERROR(--MID(AC18,FIND("-",AC18)+1,99),"")))=((AW18)-(AX18)))+2*((IFERROR(--LEFT(AC18,FIND("-",AC18)-1),""))=(AW18))+2*((IFERROR(--MID(AC18,FIND("-",AC18)+1,99),""))=(AX18))),""))</f>
        <v>0</v>
      </c>
      <c r="AE18" s="10" t="s">
        <v>35</v>
      </c>
      <c r="AF18" s="11">
        <f>IF(OR($C18="",AE18=""),"",IFERROR(IF(AND(IFERROR(--LEFT(AE18,FIND("-",AE18)-1),"")=AW18,IFERROR(--MID(AE18,FIND("-",AE18)+1,99),"")=AX18),10,5*(SIGN((IFERROR(--LEFT(AE18,FIND("-",AE18)-1),""))-(IFERROR(--MID(AE18,FIND("-",AE18)+1,99),"")))=SIGN((AW18)-(AX18)))+2*(((IFERROR(--LEFT(AE18,FIND("-",AE18)-1),""))-(IFERROR(--MID(AE18,FIND("-",AE18)+1,99),"")))=((AW18)-(AX18)))+2*((IFERROR(--LEFT(AE18,FIND("-",AE18)-1),""))=(AW18))+2*((IFERROR(--MID(AE18,FIND("-",AE18)+1,99),""))=(AX18))),""))</f>
        <v>0</v>
      </c>
      <c r="AG18" s="10" t="s">
        <v>35</v>
      </c>
      <c r="AH18" s="11">
        <f>IF(OR($C18="",AG18=""),"",IFERROR(IF(AND(IFERROR(--LEFT(AG18,FIND("-",AG18)-1),"")=AW18,IFERROR(--MID(AG18,FIND("-",AG18)+1,99),"")=AX18),10,5*(SIGN((IFERROR(--LEFT(AG18,FIND("-",AG18)-1),""))-(IFERROR(--MID(AG18,FIND("-",AG18)+1,99),"")))=SIGN((AW18)-(AX18)))+2*(((IFERROR(--LEFT(AG18,FIND("-",AG18)-1),""))-(IFERROR(--MID(AG18,FIND("-",AG18)+1,99),"")))=((AW18)-(AX18)))+2*((IFERROR(--LEFT(AG18,FIND("-",AG18)-1),""))=(AW18))+2*((IFERROR(--MID(AG18,FIND("-",AG18)+1,99),""))=(AX18))),""))</f>
        <v>0</v>
      </c>
      <c r="AI18" s="10" t="s">
        <v>37</v>
      </c>
      <c r="AJ18" s="11">
        <f>IF(OR($C18="",AI18=""),"",IFERROR(IF(AND(IFERROR(--LEFT(AI18,FIND("-",AI18)-1),"")=AW18,IFERROR(--MID(AI18,FIND("-",AI18)+1,99),"")=AX18),10,5*(SIGN((IFERROR(--LEFT(AI18,FIND("-",AI18)-1),""))-(IFERROR(--MID(AI18,FIND("-",AI18)+1,99),"")))=SIGN((AW18)-(AX18)))+2*(((IFERROR(--LEFT(AI18,FIND("-",AI18)-1),""))-(IFERROR(--MID(AI18,FIND("-",AI18)+1,99),"")))=((AW18)-(AX18)))+2*((IFERROR(--LEFT(AI18,FIND("-",AI18)-1),""))=(AW18))+2*((IFERROR(--MID(AI18,FIND("-",AI18)+1,99),""))=(AX18))),""))</f>
        <v>0</v>
      </c>
      <c r="AK18" s="10" t="s">
        <v>37</v>
      </c>
      <c r="AL18" s="11">
        <f>IF(OR($C18="",AK18=""),"",IFERROR(IF(AND(IFERROR(--LEFT(AK18,FIND("-",AK18)-1),"")=AW18,IFERROR(--MID(AK18,FIND("-",AK18)+1,99),"")=AX18),10,5*(SIGN((IFERROR(--LEFT(AK18,FIND("-",AK18)-1),""))-(IFERROR(--MID(AK18,FIND("-",AK18)+1,99),"")))=SIGN((AW18)-(AX18)))+2*(((IFERROR(--LEFT(AK18,FIND("-",AK18)-1),""))-(IFERROR(--MID(AK18,FIND("-",AK18)+1,99),"")))=((AW18)-(AX18)))+2*((IFERROR(--LEFT(AK18,FIND("-",AK18)-1),""))=(AW18))+2*((IFERROR(--MID(AK18,FIND("-",AK18)+1,99),""))=(AX18))),""))</f>
        <v>0</v>
      </c>
      <c r="AM18" s="10" t="s">
        <v>35</v>
      </c>
      <c r="AN18" s="11">
        <f>IF(OR($C18="",AM18=""),"",IFERROR(IF(AND(IFERROR(--LEFT(AM18,FIND("-",AM18)-1),"")=AW18,IFERROR(--MID(AM18,FIND("-",AM18)+1,99),"")=AX18),10,5*(SIGN((IFERROR(--LEFT(AM18,FIND("-",AM18)-1),""))-(IFERROR(--MID(AM18,FIND("-",AM18)+1,99),"")))=SIGN((AW18)-(AX18)))+2*(((IFERROR(--LEFT(AM18,FIND("-",AM18)-1),""))-(IFERROR(--MID(AM18,FIND("-",AM18)+1,99),"")))=((AW18)-(AX18)))+2*((IFERROR(--LEFT(AM18,FIND("-",AM18)-1),""))=(AW18))+2*((IFERROR(--MID(AM18,FIND("-",AM18)+1,99),""))=(AX18))),""))</f>
        <v>0</v>
      </c>
      <c r="AO18" s="10" t="s">
        <v>48</v>
      </c>
      <c r="AP18" s="11">
        <f>IF(OR($C18="",AO18=""),"",IFERROR(IF(AND(IFERROR(--LEFT(AO18,FIND("-",AO18)-1),"")=AW18,IFERROR(--MID(AO18,FIND("-",AO18)+1,99),"")=AX18),10,5*(SIGN((IFERROR(--LEFT(AO18,FIND("-",AO18)-1),""))-(IFERROR(--MID(AO18,FIND("-",AO18)+1,99),"")))=SIGN((AW18)-(AX18)))+2*(((IFERROR(--LEFT(AO18,FIND("-",AO18)-1),""))-(IFERROR(--MID(AO18,FIND("-",AO18)+1,99),"")))=((AW18)-(AX18)))+2*((IFERROR(--LEFT(AO18,FIND("-",AO18)-1),""))=(AW18))+2*((IFERROR(--MID(AO18,FIND("-",AO18)+1,99),""))=(AX18))),""))</f>
        <v>0</v>
      </c>
      <c r="AQ18" s="10" t="s">
        <v>37</v>
      </c>
      <c r="AR18" s="11">
        <f t="shared" si="0"/>
        <v>0</v>
      </c>
      <c r="AS18" s="10" t="s">
        <v>50</v>
      </c>
      <c r="AT18" s="11">
        <f t="shared" si="1"/>
        <v>2</v>
      </c>
      <c r="AU18" s="10" t="s">
        <v>56</v>
      </c>
      <c r="AV18" s="11">
        <f>IF(OR($C18="",AU18=""),"",IFERROR(IF(AND(IFERROR(--LEFT(AU18,FIND("-",AU18)-1),"")=AW18,IFERROR(--MID(AU18,FIND("-",AU18)+1,99),"")=AX18),10,5*(SIGN((IFERROR(--LEFT(AU18,FIND("-",AU18)-1),""))-(IFERROR(--MID(AU18,FIND("-",AU18)+1,99),"")))=SIGN((AW18)-(AX18)))+2*(((IFERROR(--LEFT(AU18,FIND("-",AU18)-1),""))-(IFERROR(--MID(AU18,FIND("-",AU18)+1,99),"")))=((AW18)-(AX18)))+2*((IFERROR(--LEFT(AU18,FIND("-",AU18)-1),""))=(AW18))+2*((IFERROR(--MID(AU18,FIND("-",AU18)+1,99),""))=(AX18))),""))</f>
        <v>0</v>
      </c>
      <c r="AW18" s="11">
        <f>IF($C18="","",IFERROR(--LEFT($C18,FIND("-",$C18)-1),""))</f>
        <v>2</v>
      </c>
      <c r="AX18" s="11">
        <f>IF($C18="","",IFERROR(--MID($C18,FIND("-",$C18)+1,99),""))</f>
        <v>0</v>
      </c>
    </row>
    <row r="19" spans="1:50" ht="18" customHeight="1" x14ac:dyDescent="0.3">
      <c r="A19" s="9">
        <v>1.791666666666667</v>
      </c>
      <c r="B19" s="18" t="s">
        <v>69</v>
      </c>
      <c r="C19" s="10" t="s">
        <v>261</v>
      </c>
      <c r="D19" s="1" t="s">
        <v>70</v>
      </c>
      <c r="E19" s="10" t="s">
        <v>63</v>
      </c>
      <c r="F19" s="11">
        <f>IF(OR($C19="",E19=""),"",IFERROR(IF(AND(IFERROR(--LEFT(E19,FIND("-",E19)-1),"")=AW19,IFERROR(--MID(E19,FIND("-",E19)+1,99),"")=AX19),10,5*(SIGN((IFERROR(--LEFT(E19,FIND("-",E19)-1),""))-(IFERROR(--MID(E19,FIND("-",E19)+1,99),"")))=SIGN((AW19)-(AX19)))+2*(((IFERROR(--LEFT(E19,FIND("-",E19)-1),""))-(IFERROR(--MID(E19,FIND("-",E19)+1,99),"")))=((AW19)-(AX19)))+2*((IFERROR(--LEFT(E19,FIND("-",E19)-1),""))=(AW19))+2*((IFERROR(--MID(E19,FIND("-",E19)+1,99),""))=(AX19))),""))</f>
        <v>5</v>
      </c>
      <c r="G19" s="10" t="s">
        <v>63</v>
      </c>
      <c r="H19" s="11">
        <f>IF(OR($C19="",G19=""),"",IFERROR(IF(AND(IFERROR(--LEFT(G19,FIND("-",G19)-1),"")=AW19,IFERROR(--MID(G19,FIND("-",G19)+1,99),"")=AX19),10,5*(SIGN((IFERROR(--LEFT(G19,FIND("-",G19)-1),""))-(IFERROR(--MID(G19,FIND("-",G19)+1,99),"")))=SIGN((AW19)-(AX19)))+2*(((IFERROR(--LEFT(G19,FIND("-",G19)-1),""))-(IFERROR(--MID(G19,FIND("-",G19)+1,99),"")))=((AW19)-(AX19)))+2*((IFERROR(--LEFT(G19,FIND("-",G19)-1),""))=(AW19))+2*((IFERROR(--MID(G19,FIND("-",G19)+1,99),""))=(AX19))),""))</f>
        <v>5</v>
      </c>
      <c r="I19" s="10" t="s">
        <v>38</v>
      </c>
      <c r="J19" s="11">
        <f>IF(OR($C19="",I19=""),"",IFERROR(IF(AND(IFERROR(--LEFT(I19,FIND("-",I19)-1),"")=AW19,IFERROR(--MID(I19,FIND("-",I19)+1,99),"")=AX19),10,5*(SIGN((IFERROR(--LEFT(I19,FIND("-",I19)-1),""))-(IFERROR(--MID(I19,FIND("-",I19)+1,99),"")))=SIGN((AW19)-(AX19)))+2*(((IFERROR(--LEFT(I19,FIND("-",I19)-1),""))-(IFERROR(--MID(I19,FIND("-",I19)+1,99),"")))=((AW19)-(AX19)))+2*((IFERROR(--LEFT(I19,FIND("-",I19)-1),""))=(AW19))+2*((IFERROR(--MID(I19,FIND("-",I19)+1,99),""))=(AX19))),""))</f>
        <v>5</v>
      </c>
      <c r="K19" s="10" t="s">
        <v>71</v>
      </c>
      <c r="L19" s="11">
        <f>IF(OR($C19="",K19=""),"",IFERROR(IF(AND(IFERROR(--LEFT(K19,FIND("-",K19)-1),"")=AW19,IFERROR(--MID(K19,FIND("-",K19)+1,99),"")=AX19),10,5*(SIGN((IFERROR(--LEFT(K19,FIND("-",K19)-1),""))-(IFERROR(--MID(K19,FIND("-",K19)+1,99),"")))=SIGN((AW19)-(AX19)))+2*(((IFERROR(--LEFT(K19,FIND("-",K19)-1),""))-(IFERROR(--MID(K19,FIND("-",K19)+1,99),"")))=((AW19)-(AX19)))+2*((IFERROR(--LEFT(K19,FIND("-",K19)-1),""))=(AW19))+2*((IFERROR(--MID(K19,FIND("-",K19)+1,99),""))=(AX19))),""))</f>
        <v>5</v>
      </c>
      <c r="M19" s="10" t="s">
        <v>62</v>
      </c>
      <c r="N19" s="11">
        <f>IF(OR($C19="",M19=""),"",IFERROR(IF(AND(IFERROR(--LEFT(M19,FIND("-",M19)-1),"")=AW19,IFERROR(--MID(M19,FIND("-",M19)+1,99),"")=AX19),10,5*(SIGN((IFERROR(--LEFT(M19,FIND("-",M19)-1),""))-(IFERROR(--MID(M19,FIND("-",M19)+1,99),"")))=SIGN((AW19)-(AX19)))+2*(((IFERROR(--LEFT(M19,FIND("-",M19)-1),""))-(IFERROR(--MID(M19,FIND("-",M19)+1,99),"")))=((AW19)-(AX19)))+2*((IFERROR(--LEFT(M19,FIND("-",M19)-1),""))=(AW19))+2*((IFERROR(--MID(M19,FIND("-",M19)+1,99),""))=(AX19))),""))</f>
        <v>5</v>
      </c>
      <c r="O19" s="10" t="s">
        <v>63</v>
      </c>
      <c r="P19" s="11">
        <f>IF(OR($C19="",O19=""),"",IFERROR(IF(AND(IFERROR(--LEFT(O19,FIND("-",O19)-1),"")=AW19,IFERROR(--MID(O19,FIND("-",O19)+1,99),"")=AX19),10,5*(SIGN((IFERROR(--LEFT(O19,FIND("-",O19)-1),""))-(IFERROR(--MID(O19,FIND("-",O19)+1,99),"")))=SIGN((AW19)-(AX19)))+2*(((IFERROR(--LEFT(O19,FIND("-",O19)-1),""))-(IFERROR(--MID(O19,FIND("-",O19)+1,99),"")))=((AW19)-(AX19)))+2*((IFERROR(--LEFT(O19,FIND("-",O19)-1),""))=(AW19))+2*((IFERROR(--MID(O19,FIND("-",O19)+1,99),""))=(AX19))),""))</f>
        <v>5</v>
      </c>
      <c r="Q19" s="10" t="s">
        <v>38</v>
      </c>
      <c r="R19" s="11">
        <f>IF(OR($C19="",Q19=""),"",IFERROR(IF(AND(IFERROR(--LEFT(Q19,FIND("-",Q19)-1),"")=AW19,IFERROR(--MID(Q19,FIND("-",Q19)+1,99),"")=AX19),10,5*(SIGN((IFERROR(--LEFT(Q19,FIND("-",Q19)-1),""))-(IFERROR(--MID(Q19,FIND("-",Q19)+1,99),"")))=SIGN((AW19)-(AX19)))+2*(((IFERROR(--LEFT(Q19,FIND("-",Q19)-1),""))-(IFERROR(--MID(Q19,FIND("-",Q19)+1,99),"")))=((AW19)-(AX19)))+2*((IFERROR(--LEFT(Q19,FIND("-",Q19)-1),""))=(AW19))+2*((IFERROR(--MID(Q19,FIND("-",Q19)+1,99),""))=(AX19))),""))</f>
        <v>5</v>
      </c>
      <c r="S19" s="10" t="s">
        <v>43</v>
      </c>
      <c r="T19" s="11">
        <f>IF(OR($C19="",S19=""),"",IFERROR(IF(AND(IFERROR(--LEFT(S19,FIND("-",S19)-1),"")=AW19,IFERROR(--MID(S19,FIND("-",S19)+1,99),"")=AX19),10,5*(SIGN((IFERROR(--LEFT(S19,FIND("-",S19)-1),""))-(IFERROR(--MID(S19,FIND("-",S19)+1,99),"")))=SIGN((AW19)-(AX19)))+2*(((IFERROR(--LEFT(S19,FIND("-",S19)-1),""))-(IFERROR(--MID(S19,FIND("-",S19)+1,99),"")))=((AW19)-(AX19)))+2*((IFERROR(--LEFT(S19,FIND("-",S19)-1),""))=(AW19))+2*((IFERROR(--MID(S19,FIND("-",S19)+1,99),""))=(AX19))),""))</f>
        <v>7</v>
      </c>
      <c r="U19" s="10" t="s">
        <v>38</v>
      </c>
      <c r="V19" s="11">
        <f>IF(OR($C19="",U19=""),"",IFERROR(IF(AND(IFERROR(--LEFT(U19,FIND("-",U19)-1),"")=AW19,IFERROR(--MID(U19,FIND("-",U19)+1,99),"")=AX19),10,5*(SIGN((IFERROR(--LEFT(U19,FIND("-",U19)-1),""))-(IFERROR(--MID(U19,FIND("-",U19)+1,99),"")))=SIGN((AW19)-(AX19)))+2*(((IFERROR(--LEFT(U19,FIND("-",U19)-1),""))-(IFERROR(--MID(U19,FIND("-",U19)+1,99),"")))=((AW19)-(AX19)))+2*((IFERROR(--LEFT(U19,FIND("-",U19)-1),""))=(AW19))+2*((IFERROR(--MID(U19,FIND("-",U19)+1,99),""))=(AX19))),""))</f>
        <v>5</v>
      </c>
      <c r="W19" s="10" t="s">
        <v>38</v>
      </c>
      <c r="X19" s="11">
        <f>IF(OR($C19="",W19=""),"",IFERROR(IF(AND(IFERROR(--LEFT(W19,FIND("-",W19)-1),"")=AW19,IFERROR(--MID(W19,FIND("-",W19)+1,99),"")=AX19),10,5*(SIGN((IFERROR(--LEFT(W19,FIND("-",W19)-1),""))-(IFERROR(--MID(W19,FIND("-",W19)+1,99),"")))=SIGN((AW19)-(AX19)))+2*(((IFERROR(--LEFT(W19,FIND("-",W19)-1),""))-(IFERROR(--MID(W19,FIND("-",W19)+1,99),"")))=((AW19)-(AX19)))+2*((IFERROR(--LEFT(W19,FIND("-",W19)-1),""))=(AW19))+2*((IFERROR(--MID(W19,FIND("-",W19)+1,99),""))=(AX19))),""))</f>
        <v>5</v>
      </c>
      <c r="Y19" s="10" t="s">
        <v>36</v>
      </c>
      <c r="Z19" s="11">
        <f>IF(OR($C19="",Y19=""),"",IFERROR(IF(AND(IFERROR(--LEFT(Y19,FIND("-",Y19)-1),"")=AW19,IFERROR(--MID(Y19,FIND("-",Y19)+1,99),"")=AX19),10,5*(SIGN((IFERROR(--LEFT(Y19,FIND("-",Y19)-1),""))-(IFERROR(--MID(Y19,FIND("-",Y19)+1,99),"")))=SIGN((AW19)-(AX19)))+2*(((IFERROR(--LEFT(Y19,FIND("-",Y19)-1),""))-(IFERROR(--MID(Y19,FIND("-",Y19)+1,99),"")))=((AW19)-(AX19)))+2*((IFERROR(--LEFT(Y19,FIND("-",Y19)-1),""))=(AW19))+2*((IFERROR(--MID(Y19,FIND("-",Y19)+1,99),""))=(AX19))),""))</f>
        <v>5</v>
      </c>
      <c r="AA19" s="10" t="s">
        <v>63</v>
      </c>
      <c r="AB19" s="11">
        <f>IF(OR($C19="",AA19=""),"",IFERROR(IF(AND(IFERROR(--LEFT(AA19,FIND("-",AA19)-1),"")=AW19,IFERROR(--MID(AA19,FIND("-",AA19)+1,99),"")=AX19),10,5*(SIGN((IFERROR(--LEFT(AA19,FIND("-",AA19)-1),""))-(IFERROR(--MID(AA19,FIND("-",AA19)+1,99),"")))=SIGN((AW19)-(AX19)))+2*(((IFERROR(--LEFT(AA19,FIND("-",AA19)-1),""))-(IFERROR(--MID(AA19,FIND("-",AA19)+1,99),"")))=((AW19)-(AX19)))+2*((IFERROR(--LEFT(AA19,FIND("-",AA19)-1),""))=(AW19))+2*((IFERROR(--MID(AA19,FIND("-",AA19)+1,99),""))=(AX19))),""))</f>
        <v>5</v>
      </c>
      <c r="AC19" s="10" t="s">
        <v>34</v>
      </c>
      <c r="AD19" s="11">
        <f>IF(OR($C19="",AC19=""),"",IFERROR(IF(AND(IFERROR(--LEFT(AC19,FIND("-",AC19)-1),"")=AW19,IFERROR(--MID(AC19,FIND("-",AC19)+1,99),"")=AX19),10,5*(SIGN((IFERROR(--LEFT(AC19,FIND("-",AC19)-1),""))-(IFERROR(--MID(AC19,FIND("-",AC19)+1,99),"")))=SIGN((AW19)-(AX19)))+2*(((IFERROR(--LEFT(AC19,FIND("-",AC19)-1),""))-(IFERROR(--MID(AC19,FIND("-",AC19)+1,99),"")))=((AW19)-(AX19)))+2*((IFERROR(--LEFT(AC19,FIND("-",AC19)-1),""))=(AW19))+2*((IFERROR(--MID(AC19,FIND("-",AC19)+1,99),""))=(AX19))),""))</f>
        <v>7</v>
      </c>
      <c r="AE19" s="10" t="s">
        <v>63</v>
      </c>
      <c r="AF19" s="11">
        <f>IF(OR($C19="",AE19=""),"",IFERROR(IF(AND(IFERROR(--LEFT(AE19,FIND("-",AE19)-1),"")=AW19,IFERROR(--MID(AE19,FIND("-",AE19)+1,99),"")=AX19),10,5*(SIGN((IFERROR(--LEFT(AE19,FIND("-",AE19)-1),""))-(IFERROR(--MID(AE19,FIND("-",AE19)+1,99),"")))=SIGN((AW19)-(AX19)))+2*(((IFERROR(--LEFT(AE19,FIND("-",AE19)-1),""))-(IFERROR(--MID(AE19,FIND("-",AE19)+1,99),"")))=((AW19)-(AX19)))+2*((IFERROR(--LEFT(AE19,FIND("-",AE19)-1),""))=(AW19))+2*((IFERROR(--MID(AE19,FIND("-",AE19)+1,99),""))=(AX19))),""))</f>
        <v>5</v>
      </c>
      <c r="AG19" s="10" t="s">
        <v>36</v>
      </c>
      <c r="AH19" s="11">
        <f>IF(OR($C19="",AG19=""),"",IFERROR(IF(AND(IFERROR(--LEFT(AG19,FIND("-",AG19)-1),"")=AW19,IFERROR(--MID(AG19,FIND("-",AG19)+1,99),"")=AX19),10,5*(SIGN((IFERROR(--LEFT(AG19,FIND("-",AG19)-1),""))-(IFERROR(--MID(AG19,FIND("-",AG19)+1,99),"")))=SIGN((AW19)-(AX19)))+2*(((IFERROR(--LEFT(AG19,FIND("-",AG19)-1),""))-(IFERROR(--MID(AG19,FIND("-",AG19)+1,99),"")))=((AW19)-(AX19)))+2*((IFERROR(--LEFT(AG19,FIND("-",AG19)-1),""))=(AW19))+2*((IFERROR(--MID(AG19,FIND("-",AG19)+1,99),""))=(AX19))),""))</f>
        <v>5</v>
      </c>
      <c r="AI19" s="10" t="s">
        <v>71</v>
      </c>
      <c r="AJ19" s="11">
        <f>IF(OR($C19="",AI19=""),"",IFERROR(IF(AND(IFERROR(--LEFT(AI19,FIND("-",AI19)-1),"")=AW19,IFERROR(--MID(AI19,FIND("-",AI19)+1,99),"")=AX19),10,5*(SIGN((IFERROR(--LEFT(AI19,FIND("-",AI19)-1),""))-(IFERROR(--MID(AI19,FIND("-",AI19)+1,99),"")))=SIGN((AW19)-(AX19)))+2*(((IFERROR(--LEFT(AI19,FIND("-",AI19)-1),""))-(IFERROR(--MID(AI19,FIND("-",AI19)+1,99),"")))=((AW19)-(AX19)))+2*((IFERROR(--LEFT(AI19,FIND("-",AI19)-1),""))=(AW19))+2*((IFERROR(--MID(AI19,FIND("-",AI19)+1,99),""))=(AX19))),""))</f>
        <v>5</v>
      </c>
      <c r="AK19" s="10" t="s">
        <v>38</v>
      </c>
      <c r="AL19" s="11">
        <f>IF(OR($C19="",AK19=""),"",IFERROR(IF(AND(IFERROR(--LEFT(AK19,FIND("-",AK19)-1),"")=AW19,IFERROR(--MID(AK19,FIND("-",AK19)+1,99),"")=AX19),10,5*(SIGN((IFERROR(--LEFT(AK19,FIND("-",AK19)-1),""))-(IFERROR(--MID(AK19,FIND("-",AK19)+1,99),"")))=SIGN((AW19)-(AX19)))+2*(((IFERROR(--LEFT(AK19,FIND("-",AK19)-1),""))-(IFERROR(--MID(AK19,FIND("-",AK19)+1,99),"")))=((AW19)-(AX19)))+2*((IFERROR(--LEFT(AK19,FIND("-",AK19)-1),""))=(AW19))+2*((IFERROR(--MID(AK19,FIND("-",AK19)+1,99),""))=(AX19))),""))</f>
        <v>5</v>
      </c>
      <c r="AM19" s="10" t="s">
        <v>63</v>
      </c>
      <c r="AN19" s="11">
        <f>IF(OR($C19="",AM19=""),"",IFERROR(IF(AND(IFERROR(--LEFT(AM19,FIND("-",AM19)-1),"")=AW19,IFERROR(--MID(AM19,FIND("-",AM19)+1,99),"")=AX19),10,5*(SIGN((IFERROR(--LEFT(AM19,FIND("-",AM19)-1),""))-(IFERROR(--MID(AM19,FIND("-",AM19)+1,99),"")))=SIGN((AW19)-(AX19)))+2*(((IFERROR(--LEFT(AM19,FIND("-",AM19)-1),""))-(IFERROR(--MID(AM19,FIND("-",AM19)+1,99),"")))=((AW19)-(AX19)))+2*((IFERROR(--LEFT(AM19,FIND("-",AM19)-1),""))=(AW19))+2*((IFERROR(--MID(AM19,FIND("-",AM19)+1,99),""))=(AX19))),""))</f>
        <v>5</v>
      </c>
      <c r="AO19" s="10" t="s">
        <v>63</v>
      </c>
      <c r="AP19" s="11">
        <f>IF(OR($C19="",AO19=""),"",IFERROR(IF(AND(IFERROR(--LEFT(AO19,FIND("-",AO19)-1),"")=AW19,IFERROR(--MID(AO19,FIND("-",AO19)+1,99),"")=AX19),10,5*(SIGN((IFERROR(--LEFT(AO19,FIND("-",AO19)-1),""))-(IFERROR(--MID(AO19,FIND("-",AO19)+1,99),"")))=SIGN((AW19)-(AX19)))+2*(((IFERROR(--LEFT(AO19,FIND("-",AO19)-1),""))-(IFERROR(--MID(AO19,FIND("-",AO19)+1,99),"")))=((AW19)-(AX19)))+2*((IFERROR(--LEFT(AO19,FIND("-",AO19)-1),""))=(AW19))+2*((IFERROR(--MID(AO19,FIND("-",AO19)+1,99),""))=(AX19))),""))</f>
        <v>5</v>
      </c>
      <c r="AQ19" s="10" t="s">
        <v>34</v>
      </c>
      <c r="AR19" s="11">
        <f t="shared" si="0"/>
        <v>7</v>
      </c>
      <c r="AS19" s="10" t="s">
        <v>43</v>
      </c>
      <c r="AT19" s="11">
        <f t="shared" si="1"/>
        <v>7</v>
      </c>
      <c r="AU19" s="10" t="s">
        <v>72</v>
      </c>
      <c r="AV19" s="11">
        <f>IF(OR($C19="",AU19=""),"",IFERROR(IF(AND(IFERROR(--LEFT(AU19,FIND("-",AU19)-1),"")=AW19,IFERROR(--MID(AU19,FIND("-",AU19)+1,99),"")=AX19),10,5*(SIGN((IFERROR(--LEFT(AU19,FIND("-",AU19)-1),""))-(IFERROR(--MID(AU19,FIND("-",AU19)+1,99),"")))=SIGN((AW19)-(AX19)))+2*(((IFERROR(--LEFT(AU19,FIND("-",AU19)-1),""))-(IFERROR(--MID(AU19,FIND("-",AU19)+1,99),"")))=((AW19)-(AX19)))+2*((IFERROR(--LEFT(AU19,FIND("-",AU19)-1),""))=(AW19))+2*((IFERROR(--MID(AU19,FIND("-",AU19)+1,99),""))=(AX19))),""))</f>
        <v>7</v>
      </c>
      <c r="AW19" s="11">
        <f>IF($C19="","",IFERROR(--LEFT($C19,FIND("-",$C19)-1),""))</f>
        <v>7</v>
      </c>
      <c r="AX19" s="11">
        <f>IF($C19="","",IFERROR(--MID($C19,FIND("-",$C19)+1,99),""))</f>
        <v>1</v>
      </c>
    </row>
    <row r="20" spans="1:50" ht="18" customHeight="1" x14ac:dyDescent="0.3">
      <c r="A20" s="9">
        <v>1.916666666666667</v>
      </c>
      <c r="B20" s="18" t="s">
        <v>73</v>
      </c>
      <c r="C20" s="10" t="s">
        <v>49</v>
      </c>
      <c r="D20" s="1" t="s">
        <v>74</v>
      </c>
      <c r="E20" s="10" t="s">
        <v>35</v>
      </c>
      <c r="F20" s="11">
        <f>IF(OR($C20="",E20=""),"",IFERROR(IF(AND(IFERROR(--LEFT(E20,FIND("-",E20)-1),"")=AW20,IFERROR(--MID(E20,FIND("-",E20)+1,99),"")=AX20),10,5*(SIGN((IFERROR(--LEFT(E20,FIND("-",E20)-1),""))-(IFERROR(--MID(E20,FIND("-",E20)+1,99),"")))=SIGN((AW20)-(AX20)))+2*(((IFERROR(--LEFT(E20,FIND("-",E20)-1),""))-(IFERROR(--MID(E20,FIND("-",E20)+1,99),"")))=((AW20)-(AX20)))+2*((IFERROR(--LEFT(E20,FIND("-",E20)-1),""))=(AW20))+2*((IFERROR(--MID(E20,FIND("-",E20)+1,99),""))=(AX20))),""))</f>
        <v>7</v>
      </c>
      <c r="G20" s="10" t="s">
        <v>33</v>
      </c>
      <c r="H20" s="11">
        <f>IF(OR($C20="",G20=""),"",IFERROR(IF(AND(IFERROR(--LEFT(G20,FIND("-",G20)-1),"")=AW20,IFERROR(--MID(G20,FIND("-",G20)+1,99),"")=AX20),10,5*(SIGN((IFERROR(--LEFT(G20,FIND("-",G20)-1),""))-(IFERROR(--MID(G20,FIND("-",G20)+1,99),"")))=SIGN((AW20)-(AX20)))+2*(((IFERROR(--LEFT(G20,FIND("-",G20)-1),""))-(IFERROR(--MID(G20,FIND("-",G20)+1,99),"")))=((AW20)-(AX20)))+2*((IFERROR(--LEFT(G20,FIND("-",G20)-1),""))=(AW20))+2*((IFERROR(--MID(G20,FIND("-",G20)+1,99),""))=(AX20))),""))</f>
        <v>2</v>
      </c>
      <c r="I20" s="10" t="s">
        <v>33</v>
      </c>
      <c r="J20" s="11">
        <f>IF(OR($C20="",I20=""),"",IFERROR(IF(AND(IFERROR(--LEFT(I20,FIND("-",I20)-1),"")=AW20,IFERROR(--MID(I20,FIND("-",I20)+1,99),"")=AX20),10,5*(SIGN((IFERROR(--LEFT(I20,FIND("-",I20)-1),""))-(IFERROR(--MID(I20,FIND("-",I20)+1,99),"")))=SIGN((AW20)-(AX20)))+2*(((IFERROR(--LEFT(I20,FIND("-",I20)-1),""))-(IFERROR(--MID(I20,FIND("-",I20)+1,99),"")))=((AW20)-(AX20)))+2*((IFERROR(--LEFT(I20,FIND("-",I20)-1),""))=(AW20))+2*((IFERROR(--MID(I20,FIND("-",I20)+1,99),""))=(AX20))),""))</f>
        <v>2</v>
      </c>
      <c r="K20" s="10" t="s">
        <v>38</v>
      </c>
      <c r="L20" s="11">
        <f>IF(OR($C20="",K20=""),"",IFERROR(IF(AND(IFERROR(--LEFT(K20,FIND("-",K20)-1),"")=AW20,IFERROR(--MID(K20,FIND("-",K20)+1,99),"")=AX20),10,5*(SIGN((IFERROR(--LEFT(K20,FIND("-",K20)-1),""))-(IFERROR(--MID(K20,FIND("-",K20)+1,99),"")))=SIGN((AW20)-(AX20)))+2*(((IFERROR(--LEFT(K20,FIND("-",K20)-1),""))-(IFERROR(--MID(K20,FIND("-",K20)+1,99),"")))=((AW20)-(AX20)))+2*((IFERROR(--LEFT(K20,FIND("-",K20)-1),""))=(AW20))+2*((IFERROR(--MID(K20,FIND("-",K20)+1,99),""))=(AX20))),""))</f>
        <v>0</v>
      </c>
      <c r="M20" s="10" t="s">
        <v>44</v>
      </c>
      <c r="N20" s="11">
        <f>IF(OR($C20="",M20=""),"",IFERROR(IF(AND(IFERROR(--LEFT(M20,FIND("-",M20)-1),"")=AW20,IFERROR(--MID(M20,FIND("-",M20)+1,99),"")=AX20),10,5*(SIGN((IFERROR(--LEFT(M20,FIND("-",M20)-1),""))-(IFERROR(--MID(M20,FIND("-",M20)+1,99),"")))=SIGN((AW20)-(AX20)))+2*(((IFERROR(--LEFT(M20,FIND("-",M20)-1),""))-(IFERROR(--MID(M20,FIND("-",M20)+1,99),"")))=((AW20)-(AX20)))+2*((IFERROR(--LEFT(M20,FIND("-",M20)-1),""))=(AW20))+2*((IFERROR(--MID(M20,FIND("-",M20)+1,99),""))=(AX20))),""))</f>
        <v>2</v>
      </c>
      <c r="O20" s="10" t="s">
        <v>33</v>
      </c>
      <c r="P20" s="11">
        <f>IF(OR($C20="",O20=""),"",IFERROR(IF(AND(IFERROR(--LEFT(O20,FIND("-",O20)-1),"")=AW20,IFERROR(--MID(O20,FIND("-",O20)+1,99),"")=AX20),10,5*(SIGN((IFERROR(--LEFT(O20,FIND("-",O20)-1),""))-(IFERROR(--MID(O20,FIND("-",O20)+1,99),"")))=SIGN((AW20)-(AX20)))+2*(((IFERROR(--LEFT(O20,FIND("-",O20)-1),""))-(IFERROR(--MID(O20,FIND("-",O20)+1,99),"")))=((AW20)-(AX20)))+2*((IFERROR(--LEFT(O20,FIND("-",O20)-1),""))=(AW20))+2*((IFERROR(--MID(O20,FIND("-",O20)+1,99),""))=(AX20))),""))</f>
        <v>2</v>
      </c>
      <c r="Q20" s="10" t="s">
        <v>61</v>
      </c>
      <c r="R20" s="11">
        <f>IF(OR($C20="",Q20=""),"",IFERROR(IF(AND(IFERROR(--LEFT(Q20,FIND("-",Q20)-1),"")=AW20,IFERROR(--MID(Q20,FIND("-",Q20)+1,99),"")=AX20),10,5*(SIGN((IFERROR(--LEFT(Q20,FIND("-",Q20)-1),""))-(IFERROR(--MID(Q20,FIND("-",Q20)+1,99),"")))=SIGN((AW20)-(AX20)))+2*(((IFERROR(--LEFT(Q20,FIND("-",Q20)-1),""))-(IFERROR(--MID(Q20,FIND("-",Q20)+1,99),"")))=((AW20)-(AX20)))+2*((IFERROR(--LEFT(Q20,FIND("-",Q20)-1),""))=(AW20))+2*((IFERROR(--MID(Q20,FIND("-",Q20)+1,99),""))=(AX20))),""))</f>
        <v>2</v>
      </c>
      <c r="S20" s="10" t="s">
        <v>63</v>
      </c>
      <c r="T20" s="11">
        <f>IF(OR($C20="",S20=""),"",IFERROR(IF(AND(IFERROR(--LEFT(S20,FIND("-",S20)-1),"")=AW20,IFERROR(--MID(S20,FIND("-",S20)+1,99),"")=AX20),10,5*(SIGN((IFERROR(--LEFT(S20,FIND("-",S20)-1),""))-(IFERROR(--MID(S20,FIND("-",S20)+1,99),"")))=SIGN((AW20)-(AX20)))+2*(((IFERROR(--LEFT(S20,FIND("-",S20)-1),""))-(IFERROR(--MID(S20,FIND("-",S20)+1,99),"")))=((AW20)-(AX20)))+2*((IFERROR(--LEFT(S20,FIND("-",S20)-1),""))=(AW20))+2*((IFERROR(--MID(S20,FIND("-",S20)+1,99),""))=(AX20))),""))</f>
        <v>0</v>
      </c>
      <c r="U20" s="10" t="s">
        <v>35</v>
      </c>
      <c r="V20" s="11">
        <f>IF(OR($C20="",U20=""),"",IFERROR(IF(AND(IFERROR(--LEFT(U20,FIND("-",U20)-1),"")=AW20,IFERROR(--MID(U20,FIND("-",U20)+1,99),"")=AX20),10,5*(SIGN((IFERROR(--LEFT(U20,FIND("-",U20)-1),""))-(IFERROR(--MID(U20,FIND("-",U20)+1,99),"")))=SIGN((AW20)-(AX20)))+2*(((IFERROR(--LEFT(U20,FIND("-",U20)-1),""))-(IFERROR(--MID(U20,FIND("-",U20)+1,99),"")))=((AW20)-(AX20)))+2*((IFERROR(--LEFT(U20,FIND("-",U20)-1),""))=(AW20))+2*((IFERROR(--MID(U20,FIND("-",U20)+1,99),""))=(AX20))),""))</f>
        <v>7</v>
      </c>
      <c r="W20" s="10" t="s">
        <v>33</v>
      </c>
      <c r="X20" s="11">
        <f>IF(OR($C20="",W20=""),"",IFERROR(IF(AND(IFERROR(--LEFT(W20,FIND("-",W20)-1),"")=AW20,IFERROR(--MID(W20,FIND("-",W20)+1,99),"")=AX20),10,5*(SIGN((IFERROR(--LEFT(W20,FIND("-",W20)-1),""))-(IFERROR(--MID(W20,FIND("-",W20)+1,99),"")))=SIGN((AW20)-(AX20)))+2*(((IFERROR(--LEFT(W20,FIND("-",W20)-1),""))-(IFERROR(--MID(W20,FIND("-",W20)+1,99),"")))=((AW20)-(AX20)))+2*((IFERROR(--LEFT(W20,FIND("-",W20)-1),""))=(AW20))+2*((IFERROR(--MID(W20,FIND("-",W20)+1,99),""))=(AX20))),""))</f>
        <v>2</v>
      </c>
      <c r="Y20" s="10" t="s">
        <v>35</v>
      </c>
      <c r="Z20" s="11">
        <f>IF(OR($C20="",Y20=""),"",IFERROR(IF(AND(IFERROR(--LEFT(Y20,FIND("-",Y20)-1),"")=AW20,IFERROR(--MID(Y20,FIND("-",Y20)+1,99),"")=AX20),10,5*(SIGN((IFERROR(--LEFT(Y20,FIND("-",Y20)-1),""))-(IFERROR(--MID(Y20,FIND("-",Y20)+1,99),"")))=SIGN((AW20)-(AX20)))+2*(((IFERROR(--LEFT(Y20,FIND("-",Y20)-1),""))-(IFERROR(--MID(Y20,FIND("-",Y20)+1,99),"")))=((AW20)-(AX20)))+2*((IFERROR(--LEFT(Y20,FIND("-",Y20)-1),""))=(AW20))+2*((IFERROR(--MID(Y20,FIND("-",Y20)+1,99),""))=(AX20))),""))</f>
        <v>7</v>
      </c>
      <c r="AA20" s="10" t="s">
        <v>49</v>
      </c>
      <c r="AB20" s="11">
        <f>IF(OR($C20="",AA20=""),"",IFERROR(IF(AND(IFERROR(--LEFT(AA20,FIND("-",AA20)-1),"")=AW20,IFERROR(--MID(AA20,FIND("-",AA20)+1,99),"")=AX20),10,5*(SIGN((IFERROR(--LEFT(AA20,FIND("-",AA20)-1),""))-(IFERROR(--MID(AA20,FIND("-",AA20)+1,99),"")))=SIGN((AW20)-(AX20)))+2*(((IFERROR(--LEFT(AA20,FIND("-",AA20)-1),""))-(IFERROR(--MID(AA20,FIND("-",AA20)+1,99),"")))=((AW20)-(AX20)))+2*((IFERROR(--LEFT(AA20,FIND("-",AA20)-1),""))=(AW20))+2*((IFERROR(--MID(AA20,FIND("-",AA20)+1,99),""))=(AX20))),""))</f>
        <v>10</v>
      </c>
      <c r="AC20" s="10" t="s">
        <v>48</v>
      </c>
      <c r="AD20" s="11">
        <f>IF(OR($C20="",AC20=""),"",IFERROR(IF(AND(IFERROR(--LEFT(AC20,FIND("-",AC20)-1),"")=AW20,IFERROR(--MID(AC20,FIND("-",AC20)+1,99),"")=AX20),10,5*(SIGN((IFERROR(--LEFT(AC20,FIND("-",AC20)-1),""))-(IFERROR(--MID(AC20,FIND("-",AC20)+1,99),"")))=SIGN((AW20)-(AX20)))+2*(((IFERROR(--LEFT(AC20,FIND("-",AC20)-1),""))-(IFERROR(--MID(AC20,FIND("-",AC20)+1,99),"")))=((AW20)-(AX20)))+2*((IFERROR(--LEFT(AC20,FIND("-",AC20)-1),""))=(AW20))+2*((IFERROR(--MID(AC20,FIND("-",AC20)+1,99),""))=(AX20))),""))</f>
        <v>2</v>
      </c>
      <c r="AE20" s="10" t="s">
        <v>36</v>
      </c>
      <c r="AF20" s="11">
        <f>IF(OR($C20="",AE20=""),"",IFERROR(IF(AND(IFERROR(--LEFT(AE20,FIND("-",AE20)-1),"")=AW20,IFERROR(--MID(AE20,FIND("-",AE20)+1,99),"")=AX20),10,5*(SIGN((IFERROR(--LEFT(AE20,FIND("-",AE20)-1),""))-(IFERROR(--MID(AE20,FIND("-",AE20)+1,99),"")))=SIGN((AW20)-(AX20)))+2*(((IFERROR(--LEFT(AE20,FIND("-",AE20)-1),""))-(IFERROR(--MID(AE20,FIND("-",AE20)+1,99),"")))=((AW20)-(AX20)))+2*((IFERROR(--LEFT(AE20,FIND("-",AE20)-1),""))=(AW20))+2*((IFERROR(--MID(AE20,FIND("-",AE20)+1,99),""))=(AX20))),""))</f>
        <v>2</v>
      </c>
      <c r="AG20" s="10" t="s">
        <v>39</v>
      </c>
      <c r="AH20" s="11">
        <f>IF(OR($C20="",AG20=""),"",IFERROR(IF(AND(IFERROR(--LEFT(AG20,FIND("-",AG20)-1),"")=AW20,IFERROR(--MID(AG20,FIND("-",AG20)+1,99),"")=AX20),10,5*(SIGN((IFERROR(--LEFT(AG20,FIND("-",AG20)-1),""))-(IFERROR(--MID(AG20,FIND("-",AG20)+1,99),"")))=SIGN((AW20)-(AX20)))+2*(((IFERROR(--LEFT(AG20,FIND("-",AG20)-1),""))-(IFERROR(--MID(AG20,FIND("-",AG20)+1,99),"")))=((AW20)-(AX20)))+2*((IFERROR(--LEFT(AG20,FIND("-",AG20)-1),""))=(AW20))+2*((IFERROR(--MID(AG20,FIND("-",AG20)+1,99),""))=(AX20))),""))</f>
        <v>0</v>
      </c>
      <c r="AI20" s="10" t="s">
        <v>34</v>
      </c>
      <c r="AJ20" s="11">
        <f>IF(OR($C20="",AI20=""),"",IFERROR(IF(AND(IFERROR(--LEFT(AI20,FIND("-",AI20)-1),"")=AW20,IFERROR(--MID(AI20,FIND("-",AI20)+1,99),"")=AX20),10,5*(SIGN((IFERROR(--LEFT(AI20,FIND("-",AI20)-1),""))-(IFERROR(--MID(AI20,FIND("-",AI20)+1,99),"")))=SIGN((AW20)-(AX20)))+2*(((IFERROR(--LEFT(AI20,FIND("-",AI20)-1),""))-(IFERROR(--MID(AI20,FIND("-",AI20)+1,99),"")))=((AW20)-(AX20)))+2*((IFERROR(--LEFT(AI20,FIND("-",AI20)-1),""))=(AW20))+2*((IFERROR(--MID(AI20,FIND("-",AI20)+1,99),""))=(AX20))),""))</f>
        <v>0</v>
      </c>
      <c r="AK20" s="10" t="s">
        <v>33</v>
      </c>
      <c r="AL20" s="11">
        <f>IF(OR($C20="",AK20=""),"",IFERROR(IF(AND(IFERROR(--LEFT(AK20,FIND("-",AK20)-1),"")=AW20,IFERROR(--MID(AK20,FIND("-",AK20)+1,99),"")=AX20),10,5*(SIGN((IFERROR(--LEFT(AK20,FIND("-",AK20)-1),""))-(IFERROR(--MID(AK20,FIND("-",AK20)+1,99),"")))=SIGN((AW20)-(AX20)))+2*(((IFERROR(--LEFT(AK20,FIND("-",AK20)-1),""))-(IFERROR(--MID(AK20,FIND("-",AK20)+1,99),"")))=((AW20)-(AX20)))+2*((IFERROR(--LEFT(AK20,FIND("-",AK20)-1),""))=(AW20))+2*((IFERROR(--MID(AK20,FIND("-",AK20)+1,99),""))=(AX20))),""))</f>
        <v>2</v>
      </c>
      <c r="AM20" s="10" t="s">
        <v>39</v>
      </c>
      <c r="AN20" s="11">
        <f>IF(OR($C20="",AM20=""),"",IFERROR(IF(AND(IFERROR(--LEFT(AM20,FIND("-",AM20)-1),"")=AW20,IFERROR(--MID(AM20,FIND("-",AM20)+1,99),"")=AX20),10,5*(SIGN((IFERROR(--LEFT(AM20,FIND("-",AM20)-1),""))-(IFERROR(--MID(AM20,FIND("-",AM20)+1,99),"")))=SIGN((AW20)-(AX20)))+2*(((IFERROR(--LEFT(AM20,FIND("-",AM20)-1),""))-(IFERROR(--MID(AM20,FIND("-",AM20)+1,99),"")))=((AW20)-(AX20)))+2*((IFERROR(--LEFT(AM20,FIND("-",AM20)-1),""))=(AW20))+2*((IFERROR(--MID(AM20,FIND("-",AM20)+1,99),""))=(AX20))),""))</f>
        <v>0</v>
      </c>
      <c r="AO20" s="10" t="s">
        <v>35</v>
      </c>
      <c r="AP20" s="11">
        <f>IF(OR($C20="",AO20=""),"",IFERROR(IF(AND(IFERROR(--LEFT(AO20,FIND("-",AO20)-1),"")=AW20,IFERROR(--MID(AO20,FIND("-",AO20)+1,99),"")=AX20),10,5*(SIGN((IFERROR(--LEFT(AO20,FIND("-",AO20)-1),""))-(IFERROR(--MID(AO20,FIND("-",AO20)+1,99),"")))=SIGN((AW20)-(AX20)))+2*(((IFERROR(--LEFT(AO20,FIND("-",AO20)-1),""))-(IFERROR(--MID(AO20,FIND("-",AO20)+1,99),"")))=((AW20)-(AX20)))+2*((IFERROR(--LEFT(AO20,FIND("-",AO20)-1),""))=(AW20))+2*((IFERROR(--MID(AO20,FIND("-",AO20)+1,99),""))=(AX20))),""))</f>
        <v>7</v>
      </c>
      <c r="AQ20" s="10" t="s">
        <v>39</v>
      </c>
      <c r="AR20" s="11">
        <f t="shared" si="0"/>
        <v>0</v>
      </c>
      <c r="AS20" s="10" t="s">
        <v>33</v>
      </c>
      <c r="AT20" s="11">
        <f t="shared" si="1"/>
        <v>2</v>
      </c>
      <c r="AU20" s="10" t="s">
        <v>37</v>
      </c>
      <c r="AV20" s="11">
        <f>IF(OR($C20="",AU20=""),"",IFERROR(IF(AND(IFERROR(--LEFT(AU20,FIND("-",AU20)-1),"")=AW20,IFERROR(--MID(AU20,FIND("-",AU20)+1,99),"")=AX20),10,5*(SIGN((IFERROR(--LEFT(AU20,FIND("-",AU20)-1),""))-(IFERROR(--MID(AU20,FIND("-",AU20)+1,99),"")))=SIGN((AW20)-(AX20)))+2*(((IFERROR(--LEFT(AU20,FIND("-",AU20)-1),""))-(IFERROR(--MID(AU20,FIND("-",AU20)+1,99),"")))=((AW20)-(AX20)))+2*((IFERROR(--LEFT(AU20,FIND("-",AU20)-1),""))=(AW20))+2*((IFERROR(--MID(AU20,FIND("-",AU20)+1,99),""))=(AX20))),""))</f>
        <v>2</v>
      </c>
      <c r="AW20" s="11">
        <f>IF($C20="","",IFERROR(--LEFT($C20,FIND("-",$C20)-1),""))</f>
        <v>2</v>
      </c>
      <c r="AX20" s="11">
        <f>IF($C20="","",IFERROR(--MID($C20,FIND("-",$C20)+1,99),""))</f>
        <v>2</v>
      </c>
    </row>
    <row r="21" spans="1:50" ht="18" customHeight="1" x14ac:dyDescent="0.3">
      <c r="A21" s="12"/>
      <c r="B21" s="18"/>
      <c r="C21" s="13"/>
      <c r="D21" s="1"/>
      <c r="E21" s="22"/>
      <c r="F21" s="12"/>
      <c r="G21" s="22"/>
      <c r="H21" s="12"/>
      <c r="I21" s="22"/>
      <c r="J21" s="12"/>
      <c r="K21" s="22"/>
      <c r="L21" s="12"/>
      <c r="M21" s="22"/>
      <c r="N21" s="12"/>
      <c r="O21" s="22"/>
      <c r="P21" s="12"/>
      <c r="Q21" s="22"/>
      <c r="R21" s="12"/>
      <c r="S21" s="22"/>
      <c r="T21" s="12"/>
      <c r="U21" s="13"/>
      <c r="V21" s="12"/>
      <c r="W21" s="22"/>
      <c r="X21" s="12"/>
      <c r="Y21" s="22"/>
      <c r="Z21" s="12"/>
      <c r="AA21" s="22"/>
      <c r="AB21" s="12"/>
      <c r="AC21" s="22"/>
      <c r="AD21" s="12"/>
      <c r="AE21" s="22"/>
      <c r="AF21" s="12"/>
      <c r="AG21" s="22"/>
      <c r="AH21" s="12"/>
      <c r="AI21" s="22"/>
      <c r="AJ21" s="12"/>
      <c r="AK21" s="22"/>
      <c r="AL21" s="12"/>
      <c r="AM21" s="22"/>
      <c r="AN21" s="12"/>
      <c r="AO21" s="22"/>
      <c r="AP21" s="12"/>
      <c r="AQ21" s="22"/>
      <c r="AR21" s="12" t="str">
        <f t="shared" si="0"/>
        <v/>
      </c>
      <c r="AS21" s="22"/>
      <c r="AT21" s="12" t="str">
        <f t="shared" si="1"/>
        <v/>
      </c>
      <c r="AU21" s="22"/>
      <c r="AV21" s="12"/>
      <c r="AW21" s="12"/>
      <c r="AX21" s="12"/>
    </row>
    <row r="22" spans="1:50" ht="20.100000000000001" customHeight="1" x14ac:dyDescent="0.3">
      <c r="A22" s="36" t="s">
        <v>75</v>
      </c>
      <c r="B22" s="37"/>
      <c r="C22" s="38"/>
      <c r="D22" s="37"/>
      <c r="E22" s="38"/>
      <c r="F22" s="37"/>
      <c r="G22" s="38"/>
      <c r="H22" s="37"/>
      <c r="I22" s="38"/>
      <c r="J22" s="37"/>
      <c r="K22" s="38"/>
      <c r="L22" s="37"/>
      <c r="M22" s="38"/>
      <c r="N22" s="37"/>
      <c r="O22" s="38"/>
      <c r="P22" s="37"/>
      <c r="Q22" s="38"/>
      <c r="R22" s="37"/>
      <c r="S22" s="38"/>
      <c r="T22" s="37"/>
      <c r="U22" s="38"/>
      <c r="V22" s="37"/>
      <c r="W22" s="38"/>
      <c r="X22" s="37"/>
      <c r="Y22" s="38"/>
      <c r="Z22" s="37"/>
      <c r="AA22" s="38"/>
      <c r="AB22" s="37"/>
      <c r="AC22" s="38"/>
      <c r="AD22" s="37"/>
      <c r="AE22" s="38"/>
      <c r="AF22" s="37"/>
      <c r="AG22" s="38"/>
      <c r="AH22" s="37"/>
      <c r="AI22" s="38"/>
      <c r="AJ22" s="37"/>
      <c r="AK22" s="38"/>
      <c r="AL22" s="37"/>
      <c r="AM22" s="38"/>
      <c r="AN22" s="37"/>
      <c r="AO22" s="38"/>
      <c r="AP22" s="37"/>
      <c r="AQ22" s="37"/>
      <c r="AR22" s="37"/>
      <c r="AS22" s="37"/>
      <c r="AT22" s="37"/>
      <c r="AU22" s="38"/>
      <c r="AV22" s="39"/>
      <c r="AW22" s="8"/>
      <c r="AX22" s="8"/>
    </row>
    <row r="23" spans="1:50" ht="18" customHeight="1" x14ac:dyDescent="0.3">
      <c r="A23" s="9">
        <v>1.041666666666667</v>
      </c>
      <c r="B23" s="18" t="s">
        <v>76</v>
      </c>
      <c r="C23" s="10" t="s">
        <v>39</v>
      </c>
      <c r="D23" s="1" t="s">
        <v>77</v>
      </c>
      <c r="E23" s="10" t="s">
        <v>35</v>
      </c>
      <c r="F23" s="11">
        <f>IF(OR($C23="",E23=""),"",IFERROR(IF(AND(IFERROR(--LEFT(E23,FIND("-",E23)-1),"")=AW23,IFERROR(--MID(E23,FIND("-",E23)+1,99),"")=AX23),10,5*(SIGN((IFERROR(--LEFT(E23,FIND("-",E23)-1),""))-(IFERROR(--MID(E23,FIND("-",E23)+1,99),"")))=SIGN((AW23)-(AX23)))+2*(((IFERROR(--LEFT(E23,FIND("-",E23)-1),""))-(IFERROR(--MID(E23,FIND("-",E23)+1,99),"")))=((AW23)-(AX23)))+2*((IFERROR(--LEFT(E23,FIND("-",E23)-1),""))=(AW23))+2*((IFERROR(--MID(E23,FIND("-",E23)+1,99),""))=(AX23))),""))</f>
        <v>2</v>
      </c>
      <c r="G23" s="10" t="s">
        <v>33</v>
      </c>
      <c r="H23" s="11">
        <f>IF(OR($C23="",G23=""),"",IFERROR(IF(AND(IFERROR(--LEFT(G23,FIND("-",G23)-1),"")=AW23,IFERROR(--MID(G23,FIND("-",G23)+1,99),"")=AX23),10,5*(SIGN((IFERROR(--LEFT(G23,FIND("-",G23)-1),""))-(IFERROR(--MID(G23,FIND("-",G23)+1,99),"")))=SIGN((AW23)-(AX23)))+2*(((IFERROR(--LEFT(G23,FIND("-",G23)-1),""))-(IFERROR(--MID(G23,FIND("-",G23)+1,99),"")))=((AW23)-(AX23)))+2*((IFERROR(--LEFT(G23,FIND("-",G23)-1),""))=(AW23))+2*((IFERROR(--MID(G23,FIND("-",G23)+1,99),""))=(AX23))),""))</f>
        <v>7</v>
      </c>
      <c r="I23" s="10" t="s">
        <v>39</v>
      </c>
      <c r="J23" s="11">
        <f>IF(OR($C23="",I23=""),"",IFERROR(IF(AND(IFERROR(--LEFT(I23,FIND("-",I23)-1),"")=AW23,IFERROR(--MID(I23,FIND("-",I23)+1,99),"")=AX23),10,5*(SIGN((IFERROR(--LEFT(I23,FIND("-",I23)-1),""))-(IFERROR(--MID(I23,FIND("-",I23)+1,99),"")))=SIGN((AW23)-(AX23)))+2*(((IFERROR(--LEFT(I23,FIND("-",I23)-1),""))-(IFERROR(--MID(I23,FIND("-",I23)+1,99),"")))=((AW23)-(AX23)))+2*((IFERROR(--LEFT(I23,FIND("-",I23)-1),""))=(AW23))+2*((IFERROR(--MID(I23,FIND("-",I23)+1,99),""))=(AX23))),""))</f>
        <v>10</v>
      </c>
      <c r="K23" s="10" t="s">
        <v>56</v>
      </c>
      <c r="L23" s="11">
        <f>IF(OR($C23="",K23=""),"",IFERROR(IF(AND(IFERROR(--LEFT(K23,FIND("-",K23)-1),"")=AW23,IFERROR(--MID(K23,FIND("-",K23)+1,99),"")=AX23),10,5*(SIGN((IFERROR(--LEFT(K23,FIND("-",K23)-1),""))-(IFERROR(--MID(K23,FIND("-",K23)+1,99),"")))=SIGN((AW23)-(AX23)))+2*(((IFERROR(--LEFT(K23,FIND("-",K23)-1),""))-(IFERROR(--MID(K23,FIND("-",K23)+1,99),"")))=((AW23)-(AX23)))+2*((IFERROR(--LEFT(K23,FIND("-",K23)-1),""))=(AW23))+2*((IFERROR(--MID(K23,FIND("-",K23)+1,99),""))=(AX23))),""))</f>
        <v>0</v>
      </c>
      <c r="M23" s="10" t="s">
        <v>35</v>
      </c>
      <c r="N23" s="11">
        <f>IF(OR($C23="",M23=""),"",IFERROR(IF(AND(IFERROR(--LEFT(M23,FIND("-",M23)-1),"")=AW23,IFERROR(--MID(M23,FIND("-",M23)+1,99),"")=AX23),10,5*(SIGN((IFERROR(--LEFT(M23,FIND("-",M23)-1),""))-(IFERROR(--MID(M23,FIND("-",M23)+1,99),"")))=SIGN((AW23)-(AX23)))+2*(((IFERROR(--LEFT(M23,FIND("-",M23)-1),""))-(IFERROR(--MID(M23,FIND("-",M23)+1,99),"")))=((AW23)-(AX23)))+2*((IFERROR(--LEFT(M23,FIND("-",M23)-1),""))=(AW23))+2*((IFERROR(--MID(M23,FIND("-",M23)+1,99),""))=(AX23))),""))</f>
        <v>2</v>
      </c>
      <c r="O23" s="10" t="s">
        <v>35</v>
      </c>
      <c r="P23" s="11">
        <f>IF(OR($C23="",O23=""),"",IFERROR(IF(AND(IFERROR(--LEFT(O23,FIND("-",O23)-1),"")=AW23,IFERROR(--MID(O23,FIND("-",O23)+1,99),"")=AX23),10,5*(SIGN((IFERROR(--LEFT(O23,FIND("-",O23)-1),""))-(IFERROR(--MID(O23,FIND("-",O23)+1,99),"")))=SIGN((AW23)-(AX23)))+2*(((IFERROR(--LEFT(O23,FIND("-",O23)-1),""))-(IFERROR(--MID(O23,FIND("-",O23)+1,99),"")))=((AW23)-(AX23)))+2*((IFERROR(--LEFT(O23,FIND("-",O23)-1),""))=(AW23))+2*((IFERROR(--MID(O23,FIND("-",O23)+1,99),""))=(AX23))),""))</f>
        <v>2</v>
      </c>
      <c r="Q23" s="10" t="s">
        <v>49</v>
      </c>
      <c r="R23" s="11">
        <f>IF(OR($C23="",Q23=""),"",IFERROR(IF(AND(IFERROR(--LEFT(Q23,FIND("-",Q23)-1),"")=AW23,IFERROR(--MID(Q23,FIND("-",Q23)+1,99),"")=AX23),10,5*(SIGN((IFERROR(--LEFT(Q23,FIND("-",Q23)-1),""))-(IFERROR(--MID(Q23,FIND("-",Q23)+1,99),"")))=SIGN((AW23)-(AX23)))+2*(((IFERROR(--LEFT(Q23,FIND("-",Q23)-1),""))-(IFERROR(--MID(Q23,FIND("-",Q23)+1,99),"")))=((AW23)-(AX23)))+2*((IFERROR(--LEFT(Q23,FIND("-",Q23)-1),""))=(AW23))+2*((IFERROR(--MID(Q23,FIND("-",Q23)+1,99),""))=(AX23))),""))</f>
        <v>0</v>
      </c>
      <c r="S23" s="10" t="s">
        <v>49</v>
      </c>
      <c r="T23" s="11">
        <f>IF(OR($C23="",S23=""),"",IFERROR(IF(AND(IFERROR(--LEFT(S23,FIND("-",S23)-1),"")=AW23,IFERROR(--MID(S23,FIND("-",S23)+1,99),"")=AX23),10,5*(SIGN((IFERROR(--LEFT(S23,FIND("-",S23)-1),""))-(IFERROR(--MID(S23,FIND("-",S23)+1,99),"")))=SIGN((AW23)-(AX23)))+2*(((IFERROR(--LEFT(S23,FIND("-",S23)-1),""))-(IFERROR(--MID(S23,FIND("-",S23)+1,99),"")))=((AW23)-(AX23)))+2*((IFERROR(--LEFT(S23,FIND("-",S23)-1),""))=(AW23))+2*((IFERROR(--MID(S23,FIND("-",S23)+1,99),""))=(AX23))),""))</f>
        <v>0</v>
      </c>
      <c r="U23" s="10" t="s">
        <v>33</v>
      </c>
      <c r="V23" s="11">
        <f>IF(OR($C23="",U23=""),"",IFERROR(IF(AND(IFERROR(--LEFT(U23,FIND("-",U23)-1),"")=AW23,IFERROR(--MID(U23,FIND("-",U23)+1,99),"")=AX23),10,5*(SIGN((IFERROR(--LEFT(U23,FIND("-",U23)-1),""))-(IFERROR(--MID(U23,FIND("-",U23)+1,99),"")))=SIGN((AW23)-(AX23)))+2*(((IFERROR(--LEFT(U23,FIND("-",U23)-1),""))-(IFERROR(--MID(U23,FIND("-",U23)+1,99),"")))=((AW23)-(AX23)))+2*((IFERROR(--LEFT(U23,FIND("-",U23)-1),""))=(AW23))+2*((IFERROR(--MID(U23,FIND("-",U23)+1,99),""))=(AX23))),""))</f>
        <v>7</v>
      </c>
      <c r="W23" s="10" t="s">
        <v>35</v>
      </c>
      <c r="X23" s="11">
        <f>IF(OR($C23="",W23=""),"",IFERROR(IF(AND(IFERROR(--LEFT(W23,FIND("-",W23)-1),"")=AW23,IFERROR(--MID(W23,FIND("-",W23)+1,99),"")=AX23),10,5*(SIGN((IFERROR(--LEFT(W23,FIND("-",W23)-1),""))-(IFERROR(--MID(W23,FIND("-",W23)+1,99),"")))=SIGN((AW23)-(AX23)))+2*(((IFERROR(--LEFT(W23,FIND("-",W23)-1),""))-(IFERROR(--MID(W23,FIND("-",W23)+1,99),"")))=((AW23)-(AX23)))+2*((IFERROR(--LEFT(W23,FIND("-",W23)-1),""))=(AW23))+2*((IFERROR(--MID(W23,FIND("-",W23)+1,99),""))=(AX23))),""))</f>
        <v>2</v>
      </c>
      <c r="Y23" s="10" t="s">
        <v>35</v>
      </c>
      <c r="Z23" s="11">
        <f>IF(OR($C23="",Y23=""),"",IFERROR(IF(AND(IFERROR(--LEFT(Y23,FIND("-",Y23)-1),"")=AW23,IFERROR(--MID(Y23,FIND("-",Y23)+1,99),"")=AX23),10,5*(SIGN((IFERROR(--LEFT(Y23,FIND("-",Y23)-1),""))-(IFERROR(--MID(Y23,FIND("-",Y23)+1,99),"")))=SIGN((AW23)-(AX23)))+2*(((IFERROR(--LEFT(Y23,FIND("-",Y23)-1),""))-(IFERROR(--MID(Y23,FIND("-",Y23)+1,99),"")))=((AW23)-(AX23)))+2*((IFERROR(--LEFT(Y23,FIND("-",Y23)-1),""))=(AW23))+2*((IFERROR(--MID(Y23,FIND("-",Y23)+1,99),""))=(AX23))),""))</f>
        <v>2</v>
      </c>
      <c r="AA23" s="10" t="s">
        <v>50</v>
      </c>
      <c r="AB23" s="11">
        <f>IF(OR($C23="",AA23=""),"",IFERROR(IF(AND(IFERROR(--LEFT(AA23,FIND("-",AA23)-1),"")=AW23,IFERROR(--MID(AA23,FIND("-",AA23)+1,99),"")=AX23),10,5*(SIGN((IFERROR(--LEFT(AA23,FIND("-",AA23)-1),""))-(IFERROR(--MID(AA23,FIND("-",AA23)+1,99),"")))=SIGN((AW23)-(AX23)))+2*(((IFERROR(--LEFT(AA23,FIND("-",AA23)-1),""))-(IFERROR(--MID(AA23,FIND("-",AA23)+1,99),"")))=((AW23)-(AX23)))+2*((IFERROR(--LEFT(AA23,FIND("-",AA23)-1),""))=(AW23))+2*((IFERROR(--MID(AA23,FIND("-",AA23)+1,99),""))=(AX23))),""))</f>
        <v>2</v>
      </c>
      <c r="AC23" s="10" t="s">
        <v>49</v>
      </c>
      <c r="AD23" s="11">
        <f>IF(OR($C23="",AC23=""),"",IFERROR(IF(AND(IFERROR(--LEFT(AC23,FIND("-",AC23)-1),"")=AW23,IFERROR(--MID(AC23,FIND("-",AC23)+1,99),"")=AX23),10,5*(SIGN((IFERROR(--LEFT(AC23,FIND("-",AC23)-1),""))-(IFERROR(--MID(AC23,FIND("-",AC23)+1,99),"")))=SIGN((AW23)-(AX23)))+2*(((IFERROR(--LEFT(AC23,FIND("-",AC23)-1),""))-(IFERROR(--MID(AC23,FIND("-",AC23)+1,99),"")))=((AW23)-(AX23)))+2*((IFERROR(--LEFT(AC23,FIND("-",AC23)-1),""))=(AW23))+2*((IFERROR(--MID(AC23,FIND("-",AC23)+1,99),""))=(AX23))),""))</f>
        <v>0</v>
      </c>
      <c r="AE23" s="10" t="s">
        <v>35</v>
      </c>
      <c r="AF23" s="11">
        <f>IF(OR($C23="",AE23=""),"",IFERROR(IF(AND(IFERROR(--LEFT(AE23,FIND("-",AE23)-1),"")=AW23,IFERROR(--MID(AE23,FIND("-",AE23)+1,99),"")=AX23),10,5*(SIGN((IFERROR(--LEFT(AE23,FIND("-",AE23)-1),""))-(IFERROR(--MID(AE23,FIND("-",AE23)+1,99),"")))=SIGN((AW23)-(AX23)))+2*(((IFERROR(--LEFT(AE23,FIND("-",AE23)-1),""))-(IFERROR(--MID(AE23,FIND("-",AE23)+1,99),"")))=((AW23)-(AX23)))+2*((IFERROR(--LEFT(AE23,FIND("-",AE23)-1),""))=(AW23))+2*((IFERROR(--MID(AE23,FIND("-",AE23)+1,99),""))=(AX23))),""))</f>
        <v>2</v>
      </c>
      <c r="AG23" s="10" t="s">
        <v>45</v>
      </c>
      <c r="AH23" s="11">
        <f>IF(OR($C23="",AG23=""),"",IFERROR(IF(AND(IFERROR(--LEFT(AG23,FIND("-",AG23)-1),"")=AW23,IFERROR(--MID(AG23,FIND("-",AG23)+1,99),"")=AX23),10,5*(SIGN((IFERROR(--LEFT(AG23,FIND("-",AG23)-1),""))-(IFERROR(--MID(AG23,FIND("-",AG23)+1,99),"")))=SIGN((AW23)-(AX23)))+2*(((IFERROR(--LEFT(AG23,FIND("-",AG23)-1),""))-(IFERROR(--MID(AG23,FIND("-",AG23)+1,99),"")))=((AW23)-(AX23)))+2*((IFERROR(--LEFT(AG23,FIND("-",AG23)-1),""))=(AW23))+2*((IFERROR(--MID(AG23,FIND("-",AG23)+1,99),""))=(AX23))),""))</f>
        <v>0</v>
      </c>
      <c r="AI23" s="10" t="s">
        <v>50</v>
      </c>
      <c r="AJ23" s="11">
        <f>IF(OR($C23="",AI23=""),"",IFERROR(IF(AND(IFERROR(--LEFT(AI23,FIND("-",AI23)-1),"")=AW23,IFERROR(--MID(AI23,FIND("-",AI23)+1,99),"")=AX23),10,5*(SIGN((IFERROR(--LEFT(AI23,FIND("-",AI23)-1),""))-(IFERROR(--MID(AI23,FIND("-",AI23)+1,99),"")))=SIGN((AW23)-(AX23)))+2*(((IFERROR(--LEFT(AI23,FIND("-",AI23)-1),""))-(IFERROR(--MID(AI23,FIND("-",AI23)+1,99),"")))=((AW23)-(AX23)))+2*((IFERROR(--LEFT(AI23,FIND("-",AI23)-1),""))=(AW23))+2*((IFERROR(--MID(AI23,FIND("-",AI23)+1,99),""))=(AX23))),""))</f>
        <v>2</v>
      </c>
      <c r="AK23" s="10" t="s">
        <v>35</v>
      </c>
      <c r="AL23" s="11">
        <f>IF(OR($C23="",AK23=""),"",IFERROR(IF(AND(IFERROR(--LEFT(AK23,FIND("-",AK23)-1),"")=AW23,IFERROR(--MID(AK23,FIND("-",AK23)+1,99),"")=AX23),10,5*(SIGN((IFERROR(--LEFT(AK23,FIND("-",AK23)-1),""))-(IFERROR(--MID(AK23,FIND("-",AK23)+1,99),"")))=SIGN((AW23)-(AX23)))+2*(((IFERROR(--LEFT(AK23,FIND("-",AK23)-1),""))-(IFERROR(--MID(AK23,FIND("-",AK23)+1,99),"")))=((AW23)-(AX23)))+2*((IFERROR(--LEFT(AK23,FIND("-",AK23)-1),""))=(AW23))+2*((IFERROR(--MID(AK23,FIND("-",AK23)+1,99),""))=(AX23))),""))</f>
        <v>2</v>
      </c>
      <c r="AM23" s="10" t="s">
        <v>49</v>
      </c>
      <c r="AN23" s="11">
        <f>IF(OR($C23="",AM23=""),"",IFERROR(IF(AND(IFERROR(--LEFT(AM23,FIND("-",AM23)-1),"")=AW23,IFERROR(--MID(AM23,FIND("-",AM23)+1,99),"")=AX23),10,5*(SIGN((IFERROR(--LEFT(AM23,FIND("-",AM23)-1),""))-(IFERROR(--MID(AM23,FIND("-",AM23)+1,99),"")))=SIGN((AW23)-(AX23)))+2*(((IFERROR(--LEFT(AM23,FIND("-",AM23)-1),""))-(IFERROR(--MID(AM23,FIND("-",AM23)+1,99),"")))=((AW23)-(AX23)))+2*((IFERROR(--LEFT(AM23,FIND("-",AM23)-1),""))=(AW23))+2*((IFERROR(--MID(AM23,FIND("-",AM23)+1,99),""))=(AX23))),""))</f>
        <v>0</v>
      </c>
      <c r="AO23" s="10" t="s">
        <v>35</v>
      </c>
      <c r="AP23" s="11">
        <f>IF(OR($C23="",AO23=""),"",IFERROR(IF(AND(IFERROR(--LEFT(AO23,FIND("-",AO23)-1),"")=AW23,IFERROR(--MID(AO23,FIND("-",AO23)+1,99),"")=AX23),10,5*(SIGN((IFERROR(--LEFT(AO23,FIND("-",AO23)-1),""))-(IFERROR(--MID(AO23,FIND("-",AO23)+1,99),"")))=SIGN((AW23)-(AX23)))+2*(((IFERROR(--LEFT(AO23,FIND("-",AO23)-1),""))-(IFERROR(--MID(AO23,FIND("-",AO23)+1,99),"")))=((AW23)-(AX23)))+2*((IFERROR(--LEFT(AO23,FIND("-",AO23)-1),""))=(AW23))+2*((IFERROR(--MID(AO23,FIND("-",AO23)+1,99),""))=(AX23))),""))</f>
        <v>2</v>
      </c>
      <c r="AQ23" s="10" t="s">
        <v>37</v>
      </c>
      <c r="AR23" s="11">
        <f>IF(OR($C23="",AQ23=""),"",IFERROR(IF(AND(IFERROR(--LEFT(AQ23,FIND("-",AQ23)-1),"")=AW23,IFERROR(--MID(AQ23,FIND("-",AQ23)+1,99),"")=AX23),10,5*(SIGN((IFERROR(--LEFT(AQ23,FIND("-",AQ23)-1),""))-(IFERROR(--MID(AQ23,FIND("-",AQ23)+1,99),"")))=SIGN((AW23)-(AX23)))+2*(((IFERROR(--LEFT(AQ23,FIND("-",AQ23)-1),""))-(IFERROR(--MID(AQ23,FIND("-",AQ23)+1,99),"")))=((AW23)-(AX23)))+2*((IFERROR(--LEFT(AQ23,FIND("-",AQ23)-1),""))=(AW23))+2*((IFERROR(--MID(AQ23,FIND("-",AQ23)+1,99),""))=(AX23))),""))</f>
        <v>2</v>
      </c>
      <c r="AS23" s="10" t="s">
        <v>37</v>
      </c>
      <c r="AT23" s="11">
        <f>IF(OR($C23="",AS23=""),"",IFERROR(IF(AND(IFERROR(--LEFT(AS23,FIND("-",AS23)-1),"")=AW23,IFERROR(--MID(AS23,FIND("-",AS23)+1,99),"")=AX23),10,5*(SIGN((IFERROR(--LEFT(AS23,FIND("-",AS23)-1),""))-(IFERROR(--MID(AS23,FIND("-",AS23)+1,99),"")))=SIGN((AW23)-(AX23)))+2*(((IFERROR(--LEFT(AS23,FIND("-",AS23)-1),""))-(IFERROR(--MID(AS23,FIND("-",AS23)+1,99),"")))=((AW23)-(AX23)))+2*((IFERROR(--LEFT(AS23,FIND("-",AS23)-1),""))=(AW23))+2*((IFERROR(--MID(AS23,FIND("-",AS23)+1,99),""))=(AX23))),""))</f>
        <v>2</v>
      </c>
      <c r="AU23" s="10" t="s">
        <v>48</v>
      </c>
      <c r="AV23" s="11">
        <f>IF(OR($C23="",AU23=""),"",IFERROR(IF(AND(IFERROR(--LEFT(AU23,FIND("-",AU23)-1),"")=AW23,IFERROR(--MID(AU23,FIND("-",AU23)+1,99),"")=AX23),10,5*(SIGN((IFERROR(--LEFT(AU23,FIND("-",AU23)-1),""))-(IFERROR(--MID(AU23,FIND("-",AU23)+1,99),"")))=SIGN((AW23)-(AX23)))+2*(((IFERROR(--LEFT(AU23,FIND("-",AU23)-1),""))-(IFERROR(--MID(AU23,FIND("-",AU23)+1,99),"")))=((AW23)-(AX23)))+2*((IFERROR(--LEFT(AU23,FIND("-",AU23)-1),""))=(AW23))+2*((IFERROR(--MID(AU23,FIND("-",AU23)+1,99),""))=(AX23))),""))</f>
        <v>0</v>
      </c>
      <c r="AW23" s="11">
        <f>IF($C23="","",IFERROR(--LEFT($C23,FIND("-",$C23)-1),""))</f>
        <v>1</v>
      </c>
      <c r="AX23" s="11">
        <f>IF($C23="","",IFERROR(--MID($C23,FIND("-",$C23)+1,99),""))</f>
        <v>0</v>
      </c>
    </row>
    <row r="24" spans="1:50" ht="18" customHeight="1" x14ac:dyDescent="0.3">
      <c r="A24" s="9">
        <v>1.166666666666667</v>
      </c>
      <c r="B24" s="18" t="s">
        <v>78</v>
      </c>
      <c r="C24" s="10" t="s">
        <v>113</v>
      </c>
      <c r="D24" s="1" t="s">
        <v>79</v>
      </c>
      <c r="E24" s="10" t="s">
        <v>33</v>
      </c>
      <c r="F24" s="11">
        <f>IF(OR($C24="",E24=""),"",IFERROR(IF(AND(IFERROR(--LEFT(E24,FIND("-",E24)-1),"")=AW24,IFERROR(--MID(E24,FIND("-",E24)+1,99),"")=AX24),10,5*(SIGN((IFERROR(--LEFT(E24,FIND("-",E24)-1),""))-(IFERROR(--MID(E24,FIND("-",E24)+1,99),"")))=SIGN((AW24)-(AX24)))+2*(((IFERROR(--LEFT(E24,FIND("-",E24)-1),""))-(IFERROR(--MID(E24,FIND("-",E24)+1,99),"")))=((AW24)-(AX24)))+2*((IFERROR(--LEFT(E24,FIND("-",E24)-1),""))=(AW24))+2*((IFERROR(--MID(E24,FIND("-",E24)+1,99),""))=(AX24))),""))</f>
        <v>7</v>
      </c>
      <c r="G24" s="10" t="s">
        <v>35</v>
      </c>
      <c r="H24" s="11">
        <f>IF(OR($C24="",G24=""),"",IFERROR(IF(AND(IFERROR(--LEFT(G24,FIND("-",G24)-1),"")=AW24,IFERROR(--MID(G24,FIND("-",G24)+1,99),"")=AX24),10,5*(SIGN((IFERROR(--LEFT(G24,FIND("-",G24)-1),""))-(IFERROR(--MID(G24,FIND("-",G24)+1,99),"")))=SIGN((AW24)-(AX24)))+2*(((IFERROR(--LEFT(G24,FIND("-",G24)-1),""))-(IFERROR(--MID(G24,FIND("-",G24)+1,99),"")))=((AW24)-(AX24)))+2*((IFERROR(--LEFT(G24,FIND("-",G24)-1),""))=(AW24))+2*((IFERROR(--MID(G24,FIND("-",G24)+1,99),""))=(AX24))),""))</f>
        <v>2</v>
      </c>
      <c r="I24" s="10" t="s">
        <v>39</v>
      </c>
      <c r="J24" s="11">
        <f>IF(OR($C24="",I24=""),"",IFERROR(IF(AND(IFERROR(--LEFT(I24,FIND("-",I24)-1),"")=AW24,IFERROR(--MID(I24,FIND("-",I24)+1,99),"")=AX24),10,5*(SIGN((IFERROR(--LEFT(I24,FIND("-",I24)-1),""))-(IFERROR(--MID(I24,FIND("-",I24)+1,99),"")))=SIGN((AW24)-(AX24)))+2*(((IFERROR(--LEFT(I24,FIND("-",I24)-1),""))-(IFERROR(--MID(I24,FIND("-",I24)+1,99),"")))=((AW24)-(AX24)))+2*((IFERROR(--LEFT(I24,FIND("-",I24)-1),""))=(AW24))+2*((IFERROR(--MID(I24,FIND("-",I24)+1,99),""))=(AX24))),""))</f>
        <v>5</v>
      </c>
      <c r="K24" s="10" t="s">
        <v>38</v>
      </c>
      <c r="L24" s="11">
        <f>IF(OR($C24="",K24=""),"",IFERROR(IF(AND(IFERROR(--LEFT(K24,FIND("-",K24)-1),"")=AW24,IFERROR(--MID(K24,FIND("-",K24)+1,99),"")=AX24),10,5*(SIGN((IFERROR(--LEFT(K24,FIND("-",K24)-1),""))-(IFERROR(--MID(K24,FIND("-",K24)+1,99),"")))=SIGN((AW24)-(AX24)))+2*(((IFERROR(--LEFT(K24,FIND("-",K24)-1),""))-(IFERROR(--MID(K24,FIND("-",K24)+1,99),"")))=((AW24)-(AX24)))+2*((IFERROR(--LEFT(K24,FIND("-",K24)-1),""))=(AW24))+2*((IFERROR(--MID(K24,FIND("-",K24)+1,99),""))=(AX24))),""))</f>
        <v>5</v>
      </c>
      <c r="M24" s="10" t="s">
        <v>33</v>
      </c>
      <c r="N24" s="11">
        <f>IF(OR($C24="",M24=""),"",IFERROR(IF(AND(IFERROR(--LEFT(M24,FIND("-",M24)-1),"")=AW24,IFERROR(--MID(M24,FIND("-",M24)+1,99),"")=AX24),10,5*(SIGN((IFERROR(--LEFT(M24,FIND("-",M24)-1),""))-(IFERROR(--MID(M24,FIND("-",M24)+1,99),"")))=SIGN((AW24)-(AX24)))+2*(((IFERROR(--LEFT(M24,FIND("-",M24)-1),""))-(IFERROR(--MID(M24,FIND("-",M24)+1,99),"")))=((AW24)-(AX24)))+2*((IFERROR(--LEFT(M24,FIND("-",M24)-1),""))=(AW24))+2*((IFERROR(--MID(M24,FIND("-",M24)+1,99),""))=(AX24))),""))</f>
        <v>7</v>
      </c>
      <c r="O24" s="10" t="s">
        <v>39</v>
      </c>
      <c r="P24" s="11">
        <f>IF(OR($C24="",O24=""),"",IFERROR(IF(AND(IFERROR(--LEFT(O24,FIND("-",O24)-1),"")=AW24,IFERROR(--MID(O24,FIND("-",O24)+1,99),"")=AX24),10,5*(SIGN((IFERROR(--LEFT(O24,FIND("-",O24)-1),""))-(IFERROR(--MID(O24,FIND("-",O24)+1,99),"")))=SIGN((AW24)-(AX24)))+2*(((IFERROR(--LEFT(O24,FIND("-",O24)-1),""))-(IFERROR(--MID(O24,FIND("-",O24)+1,99),"")))=((AW24)-(AX24)))+2*((IFERROR(--LEFT(O24,FIND("-",O24)-1),""))=(AW24))+2*((IFERROR(--MID(O24,FIND("-",O24)+1,99),""))=(AX24))),""))</f>
        <v>5</v>
      </c>
      <c r="Q24" s="10" t="s">
        <v>34</v>
      </c>
      <c r="R24" s="11">
        <f>IF(OR($C24="",Q24=""),"",IFERROR(IF(AND(IFERROR(--LEFT(Q24,FIND("-",Q24)-1),"")=AW24,IFERROR(--MID(Q24,FIND("-",Q24)+1,99),"")=AX24),10,5*(SIGN((IFERROR(--LEFT(Q24,FIND("-",Q24)-1),""))-(IFERROR(--MID(Q24,FIND("-",Q24)+1,99),"")))=SIGN((AW24)-(AX24)))+2*(((IFERROR(--LEFT(Q24,FIND("-",Q24)-1),""))-(IFERROR(--MID(Q24,FIND("-",Q24)+1,99),"")))=((AW24)-(AX24)))+2*((IFERROR(--LEFT(Q24,FIND("-",Q24)-1),""))=(AW24))+2*((IFERROR(--MID(Q24,FIND("-",Q24)+1,99),""))=(AX24))),""))</f>
        <v>7</v>
      </c>
      <c r="S24" s="10" t="s">
        <v>35</v>
      </c>
      <c r="T24" s="11">
        <f>IF(OR($C24="",S24=""),"",IFERROR(IF(AND(IFERROR(--LEFT(S24,FIND("-",S24)-1),"")=AW24,IFERROR(--MID(S24,FIND("-",S24)+1,99),"")=AX24),10,5*(SIGN((IFERROR(--LEFT(S24,FIND("-",S24)-1),""))-(IFERROR(--MID(S24,FIND("-",S24)+1,99),"")))=SIGN((AW24)-(AX24)))+2*(((IFERROR(--LEFT(S24,FIND("-",S24)-1),""))-(IFERROR(--MID(S24,FIND("-",S24)+1,99),"")))=((AW24)-(AX24)))+2*((IFERROR(--LEFT(S24,FIND("-",S24)-1),""))=(AW24))+2*((IFERROR(--MID(S24,FIND("-",S24)+1,99),""))=(AX24))),""))</f>
        <v>2</v>
      </c>
      <c r="U24" s="10" t="s">
        <v>35</v>
      </c>
      <c r="V24" s="11">
        <f>IF(OR($C24="",U24=""),"",IFERROR(IF(AND(IFERROR(--LEFT(U24,FIND("-",U24)-1),"")=AW24,IFERROR(--MID(U24,FIND("-",U24)+1,99),"")=AX24),10,5*(SIGN((IFERROR(--LEFT(U24,FIND("-",U24)-1),""))-(IFERROR(--MID(U24,FIND("-",U24)+1,99),"")))=SIGN((AW24)-(AX24)))+2*(((IFERROR(--LEFT(U24,FIND("-",U24)-1),""))-(IFERROR(--MID(U24,FIND("-",U24)+1,99),"")))=((AW24)-(AX24)))+2*((IFERROR(--LEFT(U24,FIND("-",U24)-1),""))=(AW24))+2*((IFERROR(--MID(U24,FIND("-",U24)+1,99),""))=(AX24))),""))</f>
        <v>2</v>
      </c>
      <c r="W24" s="10" t="s">
        <v>39</v>
      </c>
      <c r="X24" s="11">
        <f>IF(OR($C24="",W24=""),"",IFERROR(IF(AND(IFERROR(--LEFT(W24,FIND("-",W24)-1),"")=AW24,IFERROR(--MID(W24,FIND("-",W24)+1,99),"")=AX24),10,5*(SIGN((IFERROR(--LEFT(W24,FIND("-",W24)-1),""))-(IFERROR(--MID(W24,FIND("-",W24)+1,99),"")))=SIGN((AW24)-(AX24)))+2*(((IFERROR(--LEFT(W24,FIND("-",W24)-1),""))-(IFERROR(--MID(W24,FIND("-",W24)+1,99),"")))=((AW24)-(AX24)))+2*((IFERROR(--LEFT(W24,FIND("-",W24)-1),""))=(AW24))+2*((IFERROR(--MID(W24,FIND("-",W24)+1,99),""))=(AX24))),""))</f>
        <v>5</v>
      </c>
      <c r="Y24" s="10" t="s">
        <v>39</v>
      </c>
      <c r="Z24" s="11">
        <f>IF(OR($C24="",Y24=""),"",IFERROR(IF(AND(IFERROR(--LEFT(Y24,FIND("-",Y24)-1),"")=AW24,IFERROR(--MID(Y24,FIND("-",Y24)+1,99),"")=AX24),10,5*(SIGN((IFERROR(--LEFT(Y24,FIND("-",Y24)-1),""))-(IFERROR(--MID(Y24,FIND("-",Y24)+1,99),"")))=SIGN((AW24)-(AX24)))+2*(((IFERROR(--LEFT(Y24,FIND("-",Y24)-1),""))-(IFERROR(--MID(Y24,FIND("-",Y24)+1,99),"")))=((AW24)-(AX24)))+2*((IFERROR(--LEFT(Y24,FIND("-",Y24)-1),""))=(AW24))+2*((IFERROR(--MID(Y24,FIND("-",Y24)+1,99),""))=(AX24))),""))</f>
        <v>5</v>
      </c>
      <c r="AA24" s="10" t="s">
        <v>39</v>
      </c>
      <c r="AB24" s="11">
        <f>IF(OR($C24="",AA24=""),"",IFERROR(IF(AND(IFERROR(--LEFT(AA24,FIND("-",AA24)-1),"")=AW24,IFERROR(--MID(AA24,FIND("-",AA24)+1,99),"")=AX24),10,5*(SIGN((IFERROR(--LEFT(AA24,FIND("-",AA24)-1),""))-(IFERROR(--MID(AA24,FIND("-",AA24)+1,99),"")))=SIGN((AW24)-(AX24)))+2*(((IFERROR(--LEFT(AA24,FIND("-",AA24)-1),""))-(IFERROR(--MID(AA24,FIND("-",AA24)+1,99),"")))=((AW24)-(AX24)))+2*((IFERROR(--LEFT(AA24,FIND("-",AA24)-1),""))=(AW24))+2*((IFERROR(--MID(AA24,FIND("-",AA24)+1,99),""))=(AX24))),""))</f>
        <v>5</v>
      </c>
      <c r="AC24" s="10" t="s">
        <v>33</v>
      </c>
      <c r="AD24" s="11">
        <f>IF(OR($C24="",AC24=""),"",IFERROR(IF(AND(IFERROR(--LEFT(AC24,FIND("-",AC24)-1),"")=AW24,IFERROR(--MID(AC24,FIND("-",AC24)+1,99),"")=AX24),10,5*(SIGN((IFERROR(--LEFT(AC24,FIND("-",AC24)-1),""))-(IFERROR(--MID(AC24,FIND("-",AC24)+1,99),"")))=SIGN((AW24)-(AX24)))+2*(((IFERROR(--LEFT(AC24,FIND("-",AC24)-1),""))-(IFERROR(--MID(AC24,FIND("-",AC24)+1,99),"")))=((AW24)-(AX24)))+2*((IFERROR(--LEFT(AC24,FIND("-",AC24)-1),""))=(AW24))+2*((IFERROR(--MID(AC24,FIND("-",AC24)+1,99),""))=(AX24))),""))</f>
        <v>7</v>
      </c>
      <c r="AE24" s="10" t="s">
        <v>39</v>
      </c>
      <c r="AF24" s="11">
        <f>IF(OR($C24="",AE24=""),"",IFERROR(IF(AND(IFERROR(--LEFT(AE24,FIND("-",AE24)-1),"")=AW24,IFERROR(--MID(AE24,FIND("-",AE24)+1,99),"")=AX24),10,5*(SIGN((IFERROR(--LEFT(AE24,FIND("-",AE24)-1),""))-(IFERROR(--MID(AE24,FIND("-",AE24)+1,99),"")))=SIGN((AW24)-(AX24)))+2*(((IFERROR(--LEFT(AE24,FIND("-",AE24)-1),""))-(IFERROR(--MID(AE24,FIND("-",AE24)+1,99),"")))=((AW24)-(AX24)))+2*((IFERROR(--LEFT(AE24,FIND("-",AE24)-1),""))=(AW24))+2*((IFERROR(--MID(AE24,FIND("-",AE24)+1,99),""))=(AX24))),""))</f>
        <v>5</v>
      </c>
      <c r="AG24" s="10" t="s">
        <v>36</v>
      </c>
      <c r="AH24" s="11">
        <f>IF(OR($C24="",AG24=""),"",IFERROR(IF(AND(IFERROR(--LEFT(AG24,FIND("-",AG24)-1),"")=AW24,IFERROR(--MID(AG24,FIND("-",AG24)+1,99),"")=AX24),10,5*(SIGN((IFERROR(--LEFT(AG24,FIND("-",AG24)-1),""))-(IFERROR(--MID(AG24,FIND("-",AG24)+1,99),"")))=SIGN((AW24)-(AX24)))+2*(((IFERROR(--LEFT(AG24,FIND("-",AG24)-1),""))-(IFERROR(--MID(AG24,FIND("-",AG24)+1,99),"")))=((AW24)-(AX24)))+2*((IFERROR(--LEFT(AG24,FIND("-",AG24)-1),""))=(AW24))+2*((IFERROR(--MID(AG24,FIND("-",AG24)+1,99),""))=(AX24))),""))</f>
        <v>5</v>
      </c>
      <c r="AI24" s="10" t="s">
        <v>39</v>
      </c>
      <c r="AJ24" s="11">
        <f>IF(OR($C24="",AI24=""),"",IFERROR(IF(AND(IFERROR(--LEFT(AI24,FIND("-",AI24)-1),"")=AW24,IFERROR(--MID(AI24,FIND("-",AI24)+1,99),"")=AX24),10,5*(SIGN((IFERROR(--LEFT(AI24,FIND("-",AI24)-1),""))-(IFERROR(--MID(AI24,FIND("-",AI24)+1,99),"")))=SIGN((AW24)-(AX24)))+2*(((IFERROR(--LEFT(AI24,FIND("-",AI24)-1),""))-(IFERROR(--MID(AI24,FIND("-",AI24)+1,99),"")))=((AW24)-(AX24)))+2*((IFERROR(--LEFT(AI24,FIND("-",AI24)-1),""))=(AW24))+2*((IFERROR(--MID(AI24,FIND("-",AI24)+1,99),""))=(AX24))),""))</f>
        <v>5</v>
      </c>
      <c r="AK24" s="10" t="s">
        <v>36</v>
      </c>
      <c r="AL24" s="11">
        <f>IF(OR($C24="",AK24=""),"",IFERROR(IF(AND(IFERROR(--LEFT(AK24,FIND("-",AK24)-1),"")=AW24,IFERROR(--MID(AK24,FIND("-",AK24)+1,99),"")=AX24),10,5*(SIGN((IFERROR(--LEFT(AK24,FIND("-",AK24)-1),""))-(IFERROR(--MID(AK24,FIND("-",AK24)+1,99),"")))=SIGN((AW24)-(AX24)))+2*(((IFERROR(--LEFT(AK24,FIND("-",AK24)-1),""))-(IFERROR(--MID(AK24,FIND("-",AK24)+1,99),"")))=((AW24)-(AX24)))+2*((IFERROR(--LEFT(AK24,FIND("-",AK24)-1),""))=(AW24))+2*((IFERROR(--MID(AK24,FIND("-",AK24)+1,99),""))=(AX24))),""))</f>
        <v>5</v>
      </c>
      <c r="AM24" s="10" t="s">
        <v>50</v>
      </c>
      <c r="AN24" s="11">
        <f>IF(OR($C24="",AM24=""),"",IFERROR(IF(AND(IFERROR(--LEFT(AM24,FIND("-",AM24)-1),"")=AW24,IFERROR(--MID(AM24,FIND("-",AM24)+1,99),"")=AX24),10,5*(SIGN((IFERROR(--LEFT(AM24,FIND("-",AM24)-1),""))-(IFERROR(--MID(AM24,FIND("-",AM24)+1,99),"")))=SIGN((AW24)-(AX24)))+2*(((IFERROR(--LEFT(AM24,FIND("-",AM24)-1),""))-(IFERROR(--MID(AM24,FIND("-",AM24)+1,99),"")))=((AW24)-(AX24)))+2*((IFERROR(--LEFT(AM24,FIND("-",AM24)-1),""))=(AW24))+2*((IFERROR(--MID(AM24,FIND("-",AM24)+1,99),""))=(AX24))),""))</f>
        <v>0</v>
      </c>
      <c r="AO24" s="10" t="s">
        <v>37</v>
      </c>
      <c r="AP24" s="11">
        <f>IF(OR($C24="",AO24=""),"",IFERROR(IF(AND(IFERROR(--LEFT(AO24,FIND("-",AO24)-1),"")=AW24,IFERROR(--MID(AO24,FIND("-",AO24)+1,99),"")=AX24),10,5*(SIGN((IFERROR(--LEFT(AO24,FIND("-",AO24)-1),""))-(IFERROR(--MID(AO24,FIND("-",AO24)+1,99),"")))=SIGN((AW24)-(AX24)))+2*(((IFERROR(--LEFT(AO24,FIND("-",AO24)-1),""))-(IFERROR(--MID(AO24,FIND("-",AO24)+1,99),"")))=((AW24)-(AX24)))+2*((IFERROR(--LEFT(AO24,FIND("-",AO24)-1),""))=(AW24))+2*((IFERROR(--MID(AO24,FIND("-",AO24)+1,99),""))=(AX24))),""))</f>
        <v>0</v>
      </c>
      <c r="AQ24" s="10" t="s">
        <v>36</v>
      </c>
      <c r="AR24" s="11">
        <f>IF(OR($C24="",AQ24=""),"",IFERROR(IF(AND(IFERROR(--LEFT(AQ24,FIND("-",AQ24)-1),"")=AW24,IFERROR(--MID(AQ24,FIND("-",AQ24)+1,99),"")=AX24),10,5*(SIGN((IFERROR(--LEFT(AQ24,FIND("-",AQ24)-1),""))-(IFERROR(--MID(AQ24,FIND("-",AQ24)+1,99),"")))=SIGN((AW24)-(AX24)))+2*(((IFERROR(--LEFT(AQ24,FIND("-",AQ24)-1),""))-(IFERROR(--MID(AQ24,FIND("-",AQ24)+1,99),"")))=((AW24)-(AX24)))+2*((IFERROR(--LEFT(AQ24,FIND("-",AQ24)-1),""))=(AW24))+2*((IFERROR(--MID(AQ24,FIND("-",AQ24)+1,99),""))=(AX24))),""))</f>
        <v>5</v>
      </c>
      <c r="AS24" s="10" t="s">
        <v>36</v>
      </c>
      <c r="AT24" s="11">
        <f>IF(OR($C24="",AS24=""),"",IFERROR(IF(AND(IFERROR(--LEFT(AS24,FIND("-",AS24)-1),"")=AW24,IFERROR(--MID(AS24,FIND("-",AS24)+1,99),"")=AX24),10,5*(SIGN((IFERROR(--LEFT(AS24,FIND("-",AS24)-1),""))-(IFERROR(--MID(AS24,FIND("-",AS24)+1,99),"")))=SIGN((AW24)-(AX24)))+2*(((IFERROR(--LEFT(AS24,FIND("-",AS24)-1),""))-(IFERROR(--MID(AS24,FIND("-",AS24)+1,99),"")))=((AW24)-(AX24)))+2*((IFERROR(--LEFT(AS24,FIND("-",AS24)-1),""))=(AW24))+2*((IFERROR(--MID(AS24,FIND("-",AS24)+1,99),""))=(AX24))),""))</f>
        <v>5</v>
      </c>
      <c r="AU24" s="10" t="s">
        <v>49</v>
      </c>
      <c r="AV24" s="11">
        <f>IF(OR($C24="",AU24=""),"",IFERROR(IF(AND(IFERROR(--LEFT(AU24,FIND("-",AU24)-1),"")=AW24,IFERROR(--MID(AU24,FIND("-",AU24)+1,99),"")=AX24),10,5*(SIGN((IFERROR(--LEFT(AU24,FIND("-",AU24)-1),""))-(IFERROR(--MID(AU24,FIND("-",AU24)+1,99),"")))=SIGN((AW24)-(AX24)))+2*(((IFERROR(--LEFT(AU24,FIND("-",AU24)-1),""))-(IFERROR(--MID(AU24,FIND("-",AU24)+1,99),"")))=((AW24)-(AX24)))+2*((IFERROR(--LEFT(AU24,FIND("-",AU24)-1),""))=(AW24))+2*((IFERROR(--MID(AU24,FIND("-",AU24)+1,99),""))=(AX24))),""))</f>
        <v>0</v>
      </c>
      <c r="AW24" s="11">
        <f>IF($C24="","",IFERROR(--LEFT($C24,FIND("-",$C24)-1),""))</f>
        <v>5</v>
      </c>
      <c r="AX24" s="11">
        <f>IF($C24="","",IFERROR(--MID($C24,FIND("-",$C24)+1,99),""))</f>
        <v>1</v>
      </c>
    </row>
    <row r="25" spans="1:50" ht="18" customHeight="1" x14ac:dyDescent="0.3">
      <c r="A25" s="9">
        <v>1.75</v>
      </c>
      <c r="B25" s="18" t="s">
        <v>80</v>
      </c>
      <c r="C25" s="10" t="s">
        <v>50</v>
      </c>
      <c r="D25" s="1" t="s">
        <v>81</v>
      </c>
      <c r="E25" s="10" t="s">
        <v>38</v>
      </c>
      <c r="F25" s="11">
        <f>IF(OR($C25="",E25=""),"",IFERROR(IF(AND(IFERROR(--LEFT(E25,FIND("-",E25)-1),"")=AW25,IFERROR(--MID(E25,FIND("-",E25)+1,99),"")=AX25),10,5*(SIGN((IFERROR(--LEFT(E25,FIND("-",E25)-1),""))-(IFERROR(--MID(E25,FIND("-",E25)+1,99),"")))=SIGN((AW25)-(AX25)))+2*(((IFERROR(--LEFT(E25,FIND("-",E25)-1),""))-(IFERROR(--MID(E25,FIND("-",E25)+1,99),"")))=((AW25)-(AX25)))+2*((IFERROR(--LEFT(E25,FIND("-",E25)-1),""))=(AW25))+2*((IFERROR(--MID(E25,FIND("-",E25)+1,99),""))=(AX25))),""))</f>
        <v>2</v>
      </c>
      <c r="G25" s="10" t="s">
        <v>38</v>
      </c>
      <c r="H25" s="11">
        <f>IF(OR($C25="",G25=""),"",IFERROR(IF(AND(IFERROR(--LEFT(G25,FIND("-",G25)-1),"")=AW25,IFERROR(--MID(G25,FIND("-",G25)+1,99),"")=AX25),10,5*(SIGN((IFERROR(--LEFT(G25,FIND("-",G25)-1),""))-(IFERROR(--MID(G25,FIND("-",G25)+1,99),"")))=SIGN((AW25)-(AX25)))+2*(((IFERROR(--LEFT(G25,FIND("-",G25)-1),""))-(IFERROR(--MID(G25,FIND("-",G25)+1,99),"")))=((AW25)-(AX25)))+2*((IFERROR(--LEFT(G25,FIND("-",G25)-1),""))=(AW25))+2*((IFERROR(--MID(G25,FIND("-",G25)+1,99),""))=(AX25))),""))</f>
        <v>2</v>
      </c>
      <c r="I25" s="10" t="s">
        <v>38</v>
      </c>
      <c r="J25" s="11">
        <f>IF(OR($C25="",I25=""),"",IFERROR(IF(AND(IFERROR(--LEFT(I25,FIND("-",I25)-1),"")=AW25,IFERROR(--MID(I25,FIND("-",I25)+1,99),"")=AX25),10,5*(SIGN((IFERROR(--LEFT(I25,FIND("-",I25)-1),""))-(IFERROR(--MID(I25,FIND("-",I25)+1,99),"")))=SIGN((AW25)-(AX25)))+2*(((IFERROR(--LEFT(I25,FIND("-",I25)-1),""))-(IFERROR(--MID(I25,FIND("-",I25)+1,99),"")))=((AW25)-(AX25)))+2*((IFERROR(--LEFT(I25,FIND("-",I25)-1),""))=(AW25))+2*((IFERROR(--MID(I25,FIND("-",I25)+1,99),""))=(AX25))),""))</f>
        <v>2</v>
      </c>
      <c r="K25" s="10" t="s">
        <v>72</v>
      </c>
      <c r="L25" s="11">
        <f>IF(OR($C25="",K25=""),"",IFERROR(IF(AND(IFERROR(--LEFT(K25,FIND("-",K25)-1),"")=AW25,IFERROR(--MID(K25,FIND("-",K25)+1,99),"")=AX25),10,5*(SIGN((IFERROR(--LEFT(K25,FIND("-",K25)-1),""))-(IFERROR(--MID(K25,FIND("-",K25)+1,99),"")))=SIGN((AW25)-(AX25)))+2*(((IFERROR(--LEFT(K25,FIND("-",K25)-1),""))-(IFERROR(--MID(K25,FIND("-",K25)+1,99),"")))=((AW25)-(AX25)))+2*((IFERROR(--LEFT(K25,FIND("-",K25)-1),""))=(AW25))+2*((IFERROR(--MID(K25,FIND("-",K25)+1,99),""))=(AX25))),""))</f>
        <v>2</v>
      </c>
      <c r="M25" s="10" t="s">
        <v>63</v>
      </c>
      <c r="N25" s="11">
        <f>IF(OR($C25="",M25=""),"",IFERROR(IF(AND(IFERROR(--LEFT(M25,FIND("-",M25)-1),"")=AW25,IFERROR(--MID(M25,FIND("-",M25)+1,99),"")=AX25),10,5*(SIGN((IFERROR(--LEFT(M25,FIND("-",M25)-1),""))-(IFERROR(--MID(M25,FIND("-",M25)+1,99),"")))=SIGN((AW25)-(AX25)))+2*(((IFERROR(--LEFT(M25,FIND("-",M25)-1),""))-(IFERROR(--MID(M25,FIND("-",M25)+1,99),"")))=((AW25)-(AX25)))+2*((IFERROR(--LEFT(M25,FIND("-",M25)-1),""))=(AW25))+2*((IFERROR(--MID(M25,FIND("-",M25)+1,99),""))=(AX25))),""))</f>
        <v>2</v>
      </c>
      <c r="O25" s="10" t="s">
        <v>71</v>
      </c>
      <c r="P25" s="11">
        <f>IF(OR($C25="",O25=""),"",IFERROR(IF(AND(IFERROR(--LEFT(O25,FIND("-",O25)-1),"")=AW25,IFERROR(--MID(O25,FIND("-",O25)+1,99),"")=AX25),10,5*(SIGN((IFERROR(--LEFT(O25,FIND("-",O25)-1),""))-(IFERROR(--MID(O25,FIND("-",O25)+1,99),"")))=SIGN((AW25)-(AX25)))+2*(((IFERROR(--LEFT(O25,FIND("-",O25)-1),""))-(IFERROR(--MID(O25,FIND("-",O25)+1,99),"")))=((AW25)-(AX25)))+2*((IFERROR(--LEFT(O25,FIND("-",O25)-1),""))=(AW25))+2*((IFERROR(--MID(O25,FIND("-",O25)+1,99),""))=(AX25))),""))</f>
        <v>2</v>
      </c>
      <c r="Q25" s="10" t="s">
        <v>38</v>
      </c>
      <c r="R25" s="11">
        <f>IF(OR($C25="",Q25=""),"",IFERROR(IF(AND(IFERROR(--LEFT(Q25,FIND("-",Q25)-1),"")=AW25,IFERROR(--MID(Q25,FIND("-",Q25)+1,99),"")=AX25),10,5*(SIGN((IFERROR(--LEFT(Q25,FIND("-",Q25)-1),""))-(IFERROR(--MID(Q25,FIND("-",Q25)+1,99),"")))=SIGN((AW25)-(AX25)))+2*(((IFERROR(--LEFT(Q25,FIND("-",Q25)-1),""))-(IFERROR(--MID(Q25,FIND("-",Q25)+1,99),"")))=((AW25)-(AX25)))+2*((IFERROR(--LEFT(Q25,FIND("-",Q25)-1),""))=(AW25))+2*((IFERROR(--MID(Q25,FIND("-",Q25)+1,99),""))=(AX25))),""))</f>
        <v>2</v>
      </c>
      <c r="S25" s="10" t="s">
        <v>43</v>
      </c>
      <c r="T25" s="11">
        <f>IF(OR($C25="",S25=""),"",IFERROR(IF(AND(IFERROR(--LEFT(S25,FIND("-",S25)-1),"")=AW25,IFERROR(--MID(S25,FIND("-",S25)+1,99),"")=AX25),10,5*(SIGN((IFERROR(--LEFT(S25,FIND("-",S25)-1),""))-(IFERROR(--MID(S25,FIND("-",S25)+1,99),"")))=SIGN((AW25)-(AX25)))+2*(((IFERROR(--LEFT(S25,FIND("-",S25)-1),""))-(IFERROR(--MID(S25,FIND("-",S25)+1,99),"")))=((AW25)-(AX25)))+2*((IFERROR(--LEFT(S25,FIND("-",S25)-1),""))=(AW25))+2*((IFERROR(--MID(S25,FIND("-",S25)+1,99),""))=(AX25))),""))</f>
        <v>0</v>
      </c>
      <c r="U25" s="10" t="s">
        <v>38</v>
      </c>
      <c r="V25" s="11">
        <f>IF(OR($C25="",U25=""),"",IFERROR(IF(AND(IFERROR(--LEFT(U25,FIND("-",U25)-1),"")=AW25,IFERROR(--MID(U25,FIND("-",U25)+1,99),"")=AX25),10,5*(SIGN((IFERROR(--LEFT(U25,FIND("-",U25)-1),""))-(IFERROR(--MID(U25,FIND("-",U25)+1,99),"")))=SIGN((AW25)-(AX25)))+2*(((IFERROR(--LEFT(U25,FIND("-",U25)-1),""))-(IFERROR(--MID(U25,FIND("-",U25)+1,99),"")))=((AW25)-(AX25)))+2*((IFERROR(--LEFT(U25,FIND("-",U25)-1),""))=(AW25))+2*((IFERROR(--MID(U25,FIND("-",U25)+1,99),""))=(AX25))),""))</f>
        <v>2</v>
      </c>
      <c r="W25" s="10" t="s">
        <v>38</v>
      </c>
      <c r="X25" s="11">
        <f>IF(OR($C25="",W25=""),"",IFERROR(IF(AND(IFERROR(--LEFT(W25,FIND("-",W25)-1),"")=AW25,IFERROR(--MID(W25,FIND("-",W25)+1,99),"")=AX25),10,5*(SIGN((IFERROR(--LEFT(W25,FIND("-",W25)-1),""))-(IFERROR(--MID(W25,FIND("-",W25)+1,99),"")))=SIGN((AW25)-(AX25)))+2*(((IFERROR(--LEFT(W25,FIND("-",W25)-1),""))-(IFERROR(--MID(W25,FIND("-",W25)+1,99),"")))=((AW25)-(AX25)))+2*((IFERROR(--LEFT(W25,FIND("-",W25)-1),""))=(AW25))+2*((IFERROR(--MID(W25,FIND("-",W25)+1,99),""))=(AX25))),""))</f>
        <v>2</v>
      </c>
      <c r="Y25" s="10" t="s">
        <v>38</v>
      </c>
      <c r="Z25" s="11">
        <f>IF(OR($C25="",Y25=""),"",IFERROR(IF(AND(IFERROR(--LEFT(Y25,FIND("-",Y25)-1),"")=AW25,IFERROR(--MID(Y25,FIND("-",Y25)+1,99),"")=AX25),10,5*(SIGN((IFERROR(--LEFT(Y25,FIND("-",Y25)-1),""))-(IFERROR(--MID(Y25,FIND("-",Y25)+1,99),"")))=SIGN((AW25)-(AX25)))+2*(((IFERROR(--LEFT(Y25,FIND("-",Y25)-1),""))-(IFERROR(--MID(Y25,FIND("-",Y25)+1,99),"")))=((AW25)-(AX25)))+2*((IFERROR(--LEFT(Y25,FIND("-",Y25)-1),""))=(AW25))+2*((IFERROR(--MID(Y25,FIND("-",Y25)+1,99),""))=(AX25))),""))</f>
        <v>2</v>
      </c>
      <c r="AA25" s="10" t="s">
        <v>43</v>
      </c>
      <c r="AB25" s="11">
        <f>IF(OR($C25="",AA25=""),"",IFERROR(IF(AND(IFERROR(--LEFT(AA25,FIND("-",AA25)-1),"")=AW25,IFERROR(--MID(AA25,FIND("-",AA25)+1,99),"")=AX25),10,5*(SIGN((IFERROR(--LEFT(AA25,FIND("-",AA25)-1),""))-(IFERROR(--MID(AA25,FIND("-",AA25)+1,99),"")))=SIGN((AW25)-(AX25)))+2*(((IFERROR(--LEFT(AA25,FIND("-",AA25)-1),""))-(IFERROR(--MID(AA25,FIND("-",AA25)+1,99),"")))=((AW25)-(AX25)))+2*((IFERROR(--LEFT(AA25,FIND("-",AA25)-1),""))=(AW25))+2*((IFERROR(--MID(AA25,FIND("-",AA25)+1,99),""))=(AX25))),""))</f>
        <v>0</v>
      </c>
      <c r="AC25" s="10" t="s">
        <v>63</v>
      </c>
      <c r="AD25" s="11">
        <f>IF(OR($C25="",AC25=""),"",IFERROR(IF(AND(IFERROR(--LEFT(AC25,FIND("-",AC25)-1),"")=AW25,IFERROR(--MID(AC25,FIND("-",AC25)+1,99),"")=AX25),10,5*(SIGN((IFERROR(--LEFT(AC25,FIND("-",AC25)-1),""))-(IFERROR(--MID(AC25,FIND("-",AC25)+1,99),"")))=SIGN((AW25)-(AX25)))+2*(((IFERROR(--LEFT(AC25,FIND("-",AC25)-1),""))-(IFERROR(--MID(AC25,FIND("-",AC25)+1,99),"")))=((AW25)-(AX25)))+2*((IFERROR(--LEFT(AC25,FIND("-",AC25)-1),""))=(AW25))+2*((IFERROR(--MID(AC25,FIND("-",AC25)+1,99),""))=(AX25))),""))</f>
        <v>2</v>
      </c>
      <c r="AE25" s="10" t="s">
        <v>38</v>
      </c>
      <c r="AF25" s="11">
        <f>IF(OR($C25="",AE25=""),"",IFERROR(IF(AND(IFERROR(--LEFT(AE25,FIND("-",AE25)-1),"")=AW25,IFERROR(--MID(AE25,FIND("-",AE25)+1,99),"")=AX25),10,5*(SIGN((IFERROR(--LEFT(AE25,FIND("-",AE25)-1),""))-(IFERROR(--MID(AE25,FIND("-",AE25)+1,99),"")))=SIGN((AW25)-(AX25)))+2*(((IFERROR(--LEFT(AE25,FIND("-",AE25)-1),""))-(IFERROR(--MID(AE25,FIND("-",AE25)+1,99),"")))=((AW25)-(AX25)))+2*((IFERROR(--LEFT(AE25,FIND("-",AE25)-1),""))=(AW25))+2*((IFERROR(--MID(AE25,FIND("-",AE25)+1,99),""))=(AX25))),""))</f>
        <v>2</v>
      </c>
      <c r="AG25" s="10" t="s">
        <v>38</v>
      </c>
      <c r="AH25" s="11">
        <f>IF(OR($C25="",AG25=""),"",IFERROR(IF(AND(IFERROR(--LEFT(AG25,FIND("-",AG25)-1),"")=AW25,IFERROR(--MID(AG25,FIND("-",AG25)+1,99),"")=AX25),10,5*(SIGN((IFERROR(--LEFT(AG25,FIND("-",AG25)-1),""))-(IFERROR(--MID(AG25,FIND("-",AG25)+1,99),"")))=SIGN((AW25)-(AX25)))+2*(((IFERROR(--LEFT(AG25,FIND("-",AG25)-1),""))-(IFERROR(--MID(AG25,FIND("-",AG25)+1,99),"")))=((AW25)-(AX25)))+2*((IFERROR(--LEFT(AG25,FIND("-",AG25)-1),""))=(AW25))+2*((IFERROR(--MID(AG25,FIND("-",AG25)+1,99),""))=(AX25))),""))</f>
        <v>2</v>
      </c>
      <c r="AI25" s="10" t="s">
        <v>63</v>
      </c>
      <c r="AJ25" s="11">
        <f>IF(OR($C25="",AI25=""),"",IFERROR(IF(AND(IFERROR(--LEFT(AI25,FIND("-",AI25)-1),"")=AW25,IFERROR(--MID(AI25,FIND("-",AI25)+1,99),"")=AX25),10,5*(SIGN((IFERROR(--LEFT(AI25,FIND("-",AI25)-1),""))-(IFERROR(--MID(AI25,FIND("-",AI25)+1,99),"")))=SIGN((AW25)-(AX25)))+2*(((IFERROR(--LEFT(AI25,FIND("-",AI25)-1),""))-(IFERROR(--MID(AI25,FIND("-",AI25)+1,99),"")))=((AW25)-(AX25)))+2*((IFERROR(--LEFT(AI25,FIND("-",AI25)-1),""))=(AW25))+2*((IFERROR(--MID(AI25,FIND("-",AI25)+1,99),""))=(AX25))),""))</f>
        <v>2</v>
      </c>
      <c r="AK25" s="10" t="s">
        <v>38</v>
      </c>
      <c r="AL25" s="11">
        <f>IF(OR($C25="",AK25=""),"",IFERROR(IF(AND(IFERROR(--LEFT(AK25,FIND("-",AK25)-1),"")=AW25,IFERROR(--MID(AK25,FIND("-",AK25)+1,99),"")=AX25),10,5*(SIGN((IFERROR(--LEFT(AK25,FIND("-",AK25)-1),""))-(IFERROR(--MID(AK25,FIND("-",AK25)+1,99),"")))=SIGN((AW25)-(AX25)))+2*(((IFERROR(--LEFT(AK25,FIND("-",AK25)-1),""))-(IFERROR(--MID(AK25,FIND("-",AK25)+1,99),"")))=((AW25)-(AX25)))+2*((IFERROR(--LEFT(AK25,FIND("-",AK25)-1),""))=(AW25))+2*((IFERROR(--MID(AK25,FIND("-",AK25)+1,99),""))=(AX25))),""))</f>
        <v>2</v>
      </c>
      <c r="AM25" s="10" t="s">
        <v>43</v>
      </c>
      <c r="AN25" s="11">
        <f>IF(OR($C25="",AM25=""),"",IFERROR(IF(AND(IFERROR(--LEFT(AM25,FIND("-",AM25)-1),"")=AW25,IFERROR(--MID(AM25,FIND("-",AM25)+1,99),"")=AX25),10,5*(SIGN((IFERROR(--LEFT(AM25,FIND("-",AM25)-1),""))-(IFERROR(--MID(AM25,FIND("-",AM25)+1,99),"")))=SIGN((AW25)-(AX25)))+2*(((IFERROR(--LEFT(AM25,FIND("-",AM25)-1),""))-(IFERROR(--MID(AM25,FIND("-",AM25)+1,99),"")))=((AW25)-(AX25)))+2*((IFERROR(--LEFT(AM25,FIND("-",AM25)-1),""))=(AW25))+2*((IFERROR(--MID(AM25,FIND("-",AM25)+1,99),""))=(AX25))),""))</f>
        <v>0</v>
      </c>
      <c r="AO25" s="10" t="s">
        <v>38</v>
      </c>
      <c r="AP25" s="11">
        <f>IF(OR($C25="",AO25=""),"",IFERROR(IF(AND(IFERROR(--LEFT(AO25,FIND("-",AO25)-1),"")=AW25,IFERROR(--MID(AO25,FIND("-",AO25)+1,99),"")=AX25),10,5*(SIGN((IFERROR(--LEFT(AO25,FIND("-",AO25)-1),""))-(IFERROR(--MID(AO25,FIND("-",AO25)+1,99),"")))=SIGN((AW25)-(AX25)))+2*(((IFERROR(--LEFT(AO25,FIND("-",AO25)-1),""))-(IFERROR(--MID(AO25,FIND("-",AO25)+1,99),"")))=((AW25)-(AX25)))+2*((IFERROR(--LEFT(AO25,FIND("-",AO25)-1),""))=(AW25))+2*((IFERROR(--MID(AO25,FIND("-",AO25)+1,99),""))=(AX25))),""))</f>
        <v>2</v>
      </c>
      <c r="AQ25" s="10" t="s">
        <v>38</v>
      </c>
      <c r="AR25" s="11">
        <f>IF(OR($C25="",AQ25=""),"",IFERROR(IF(AND(IFERROR(--LEFT(AQ25,FIND("-",AQ25)-1),"")=AW25,IFERROR(--MID(AQ25,FIND("-",AQ25)+1,99),"")=AX25),10,5*(SIGN((IFERROR(--LEFT(AQ25,FIND("-",AQ25)-1),""))-(IFERROR(--MID(AQ25,FIND("-",AQ25)+1,99),"")))=SIGN((AW25)-(AX25)))+2*(((IFERROR(--LEFT(AQ25,FIND("-",AQ25)-1),""))-(IFERROR(--MID(AQ25,FIND("-",AQ25)+1,99),"")))=((AW25)-(AX25)))+2*((IFERROR(--LEFT(AQ25,FIND("-",AQ25)-1),""))=(AW25))+2*((IFERROR(--MID(AQ25,FIND("-",AQ25)+1,99),""))=(AX25))),""))</f>
        <v>2</v>
      </c>
      <c r="AS25" s="10" t="s">
        <v>63</v>
      </c>
      <c r="AT25" s="11">
        <f>IF(OR($C25="",AS25=""),"",IFERROR(IF(AND(IFERROR(--LEFT(AS25,FIND("-",AS25)-1),"")=AW25,IFERROR(--MID(AS25,FIND("-",AS25)+1,99),"")=AX25),10,5*(SIGN((IFERROR(--LEFT(AS25,FIND("-",AS25)-1),""))-(IFERROR(--MID(AS25,FIND("-",AS25)+1,99),"")))=SIGN((AW25)-(AX25)))+2*(((IFERROR(--LEFT(AS25,FIND("-",AS25)-1),""))-(IFERROR(--MID(AS25,FIND("-",AS25)+1,99),"")))=((AW25)-(AX25)))+2*((IFERROR(--LEFT(AS25,FIND("-",AS25)-1),""))=(AW25))+2*((IFERROR(--MID(AS25,FIND("-",AS25)+1,99),""))=(AX25))),""))</f>
        <v>2</v>
      </c>
      <c r="AU25" s="10" t="s">
        <v>36</v>
      </c>
      <c r="AV25" s="11">
        <f>IF(OR($C25="",AU25=""),"",IFERROR(IF(AND(IFERROR(--LEFT(AU25,FIND("-",AU25)-1),"")=AW25,IFERROR(--MID(AU25,FIND("-",AU25)+1,99),"")=AX25),10,5*(SIGN((IFERROR(--LEFT(AU25,FIND("-",AU25)-1),""))-(IFERROR(--MID(AU25,FIND("-",AU25)+1,99),"")))=SIGN((AW25)-(AX25)))+2*(((IFERROR(--LEFT(AU25,FIND("-",AU25)-1),""))-(IFERROR(--MID(AU25,FIND("-",AU25)+1,99),"")))=((AW25)-(AX25)))+2*((IFERROR(--LEFT(AU25,FIND("-",AU25)-1),""))=(AW25))+2*((IFERROR(--MID(AU25,FIND("-",AU25)+1,99),""))=(AX25))),""))</f>
        <v>2</v>
      </c>
      <c r="AW25" s="11">
        <f>IF($C25="","",IFERROR(--LEFT($C25,FIND("-",$C25)-1),""))</f>
        <v>0</v>
      </c>
      <c r="AX25" s="11">
        <f>IF($C25="","",IFERROR(--MID($C25,FIND("-",$C25)+1,99),""))</f>
        <v>0</v>
      </c>
    </row>
    <row r="26" spans="1:50" ht="18" customHeight="1" x14ac:dyDescent="0.3">
      <c r="A26" s="9">
        <v>1.875</v>
      </c>
      <c r="B26" s="18" t="s">
        <v>82</v>
      </c>
      <c r="C26" s="10" t="s">
        <v>35</v>
      </c>
      <c r="D26" s="1" t="s">
        <v>83</v>
      </c>
      <c r="E26" s="10" t="s">
        <v>33</v>
      </c>
      <c r="F26" s="11">
        <f>IF(OR($C26="",E26=""),"",IFERROR(IF(AND(IFERROR(--LEFT(E26,FIND("-",E26)-1),"")=AW26,IFERROR(--MID(E26,FIND("-",E26)+1,99),"")=AX26),10,5*(SIGN((IFERROR(--LEFT(E26,FIND("-",E26)-1),""))-(IFERROR(--MID(E26,FIND("-",E26)+1,99),"")))=SIGN((AW26)-(AX26)))+2*(((IFERROR(--LEFT(E26,FIND("-",E26)-1),""))-(IFERROR(--MID(E26,FIND("-",E26)+1,99),"")))=((AW26)-(AX26)))+2*((IFERROR(--LEFT(E26,FIND("-",E26)-1),""))=(AW26))+2*((IFERROR(--MID(E26,FIND("-",E26)+1,99),""))=(AX26))),""))</f>
        <v>2</v>
      </c>
      <c r="G26" s="10" t="s">
        <v>33</v>
      </c>
      <c r="H26" s="11">
        <f>IF(OR($C26="",G26=""),"",IFERROR(IF(AND(IFERROR(--LEFT(G26,FIND("-",G26)-1),"")=AW26,IFERROR(--MID(G26,FIND("-",G26)+1,99),"")=AX26),10,5*(SIGN((IFERROR(--LEFT(G26,FIND("-",G26)-1),""))-(IFERROR(--MID(G26,FIND("-",G26)+1,99),"")))=SIGN((AW26)-(AX26)))+2*(((IFERROR(--LEFT(G26,FIND("-",G26)-1),""))-(IFERROR(--MID(G26,FIND("-",G26)+1,99),"")))=((AW26)-(AX26)))+2*((IFERROR(--LEFT(G26,FIND("-",G26)-1),""))=(AW26))+2*((IFERROR(--MID(G26,FIND("-",G26)+1,99),""))=(AX26))),""))</f>
        <v>2</v>
      </c>
      <c r="I26" s="10" t="s">
        <v>33</v>
      </c>
      <c r="J26" s="11">
        <f>IF(OR($C26="",I26=""),"",IFERROR(IF(AND(IFERROR(--LEFT(I26,FIND("-",I26)-1),"")=AW26,IFERROR(--MID(I26,FIND("-",I26)+1,99),"")=AX26),10,5*(SIGN((IFERROR(--LEFT(I26,FIND("-",I26)-1),""))-(IFERROR(--MID(I26,FIND("-",I26)+1,99),"")))=SIGN((AW26)-(AX26)))+2*(((IFERROR(--LEFT(I26,FIND("-",I26)-1),""))-(IFERROR(--MID(I26,FIND("-",I26)+1,99),"")))=((AW26)-(AX26)))+2*((IFERROR(--LEFT(I26,FIND("-",I26)-1),""))=(AW26))+2*((IFERROR(--MID(I26,FIND("-",I26)+1,99),""))=(AX26))),""))</f>
        <v>2</v>
      </c>
      <c r="K26" s="10" t="s">
        <v>43</v>
      </c>
      <c r="L26" s="11">
        <f>IF(OR($C26="",K26=""),"",IFERROR(IF(AND(IFERROR(--LEFT(K26,FIND("-",K26)-1),"")=AW26,IFERROR(--MID(K26,FIND("-",K26)+1,99),"")=AX26),10,5*(SIGN((IFERROR(--LEFT(K26,FIND("-",K26)-1),""))-(IFERROR(--MID(K26,FIND("-",K26)+1,99),"")))=SIGN((AW26)-(AX26)))+2*(((IFERROR(--LEFT(K26,FIND("-",K26)-1),""))-(IFERROR(--MID(K26,FIND("-",K26)+1,99),"")))=((AW26)-(AX26)))+2*((IFERROR(--LEFT(K26,FIND("-",K26)-1),""))=(AW26))+2*((IFERROR(--MID(K26,FIND("-",K26)+1,99),""))=(AX26))),""))</f>
        <v>2</v>
      </c>
      <c r="M26" s="10" t="s">
        <v>49</v>
      </c>
      <c r="N26" s="11">
        <f>IF(OR($C26="",M26=""),"",IFERROR(IF(AND(IFERROR(--LEFT(M26,FIND("-",M26)-1),"")=AW26,IFERROR(--MID(M26,FIND("-",M26)+1,99),"")=AX26),10,5*(SIGN((IFERROR(--LEFT(M26,FIND("-",M26)-1),""))-(IFERROR(--MID(M26,FIND("-",M26)+1,99),"")))=SIGN((AW26)-(AX26)))+2*(((IFERROR(--LEFT(M26,FIND("-",M26)-1),""))-(IFERROR(--MID(M26,FIND("-",M26)+1,99),"")))=((AW26)-(AX26)))+2*((IFERROR(--LEFT(M26,FIND("-",M26)-1),""))=(AW26))+2*((IFERROR(--MID(M26,FIND("-",M26)+1,99),""))=(AX26))),""))</f>
        <v>7</v>
      </c>
      <c r="O26" s="10" t="s">
        <v>33</v>
      </c>
      <c r="P26" s="11">
        <f>IF(OR($C26="",O26=""),"",IFERROR(IF(AND(IFERROR(--LEFT(O26,FIND("-",O26)-1),"")=AW26,IFERROR(--MID(O26,FIND("-",O26)+1,99),"")=AX26),10,5*(SIGN((IFERROR(--LEFT(O26,FIND("-",O26)-1),""))-(IFERROR(--MID(O26,FIND("-",O26)+1,99),"")))=SIGN((AW26)-(AX26)))+2*(((IFERROR(--LEFT(O26,FIND("-",O26)-1),""))-(IFERROR(--MID(O26,FIND("-",O26)+1,99),"")))=((AW26)-(AX26)))+2*((IFERROR(--LEFT(O26,FIND("-",O26)-1),""))=(AW26))+2*((IFERROR(--MID(O26,FIND("-",O26)+1,99),""))=(AX26))),""))</f>
        <v>2</v>
      </c>
      <c r="Q26" s="10" t="s">
        <v>36</v>
      </c>
      <c r="R26" s="11">
        <f>IF(OR($C26="",Q26=""),"",IFERROR(IF(AND(IFERROR(--LEFT(Q26,FIND("-",Q26)-1),"")=AW26,IFERROR(--MID(Q26,FIND("-",Q26)+1,99),"")=AX26),10,5*(SIGN((IFERROR(--LEFT(Q26,FIND("-",Q26)-1),""))-(IFERROR(--MID(Q26,FIND("-",Q26)+1,99),"")))=SIGN((AW26)-(AX26)))+2*(((IFERROR(--LEFT(Q26,FIND("-",Q26)-1),""))-(IFERROR(--MID(Q26,FIND("-",Q26)+1,99),"")))=((AW26)-(AX26)))+2*((IFERROR(--LEFT(Q26,FIND("-",Q26)-1),""))=(AW26))+2*((IFERROR(--MID(Q26,FIND("-",Q26)+1,99),""))=(AX26))),""))</f>
        <v>0</v>
      </c>
      <c r="S26" s="10" t="s">
        <v>63</v>
      </c>
      <c r="T26" s="11">
        <f>IF(OR($C26="",S26=""),"",IFERROR(IF(AND(IFERROR(--LEFT(S26,FIND("-",S26)-1),"")=AW26,IFERROR(--MID(S26,FIND("-",S26)+1,99),"")=AX26),10,5*(SIGN((IFERROR(--LEFT(S26,FIND("-",S26)-1),""))-(IFERROR(--MID(S26,FIND("-",S26)+1,99),"")))=SIGN((AW26)-(AX26)))+2*(((IFERROR(--LEFT(S26,FIND("-",S26)-1),""))-(IFERROR(--MID(S26,FIND("-",S26)+1,99),"")))=((AW26)-(AX26)))+2*((IFERROR(--LEFT(S26,FIND("-",S26)-1),""))=(AW26))+2*((IFERROR(--MID(S26,FIND("-",S26)+1,99),""))=(AX26))),""))</f>
        <v>0</v>
      </c>
      <c r="U26" s="10" t="s">
        <v>33</v>
      </c>
      <c r="V26" s="11">
        <f>IF(OR($C26="",U26=""),"",IFERROR(IF(AND(IFERROR(--LEFT(U26,FIND("-",U26)-1),"")=AW26,IFERROR(--MID(U26,FIND("-",U26)+1,99),"")=AX26),10,5*(SIGN((IFERROR(--LEFT(U26,FIND("-",U26)-1),""))-(IFERROR(--MID(U26,FIND("-",U26)+1,99),"")))=SIGN((AW26)-(AX26)))+2*(((IFERROR(--LEFT(U26,FIND("-",U26)-1),""))-(IFERROR(--MID(U26,FIND("-",U26)+1,99),"")))=((AW26)-(AX26)))+2*((IFERROR(--LEFT(U26,FIND("-",U26)-1),""))=(AW26))+2*((IFERROR(--MID(U26,FIND("-",U26)+1,99),""))=(AX26))),""))</f>
        <v>2</v>
      </c>
      <c r="W26" s="10" t="s">
        <v>36</v>
      </c>
      <c r="X26" s="11">
        <f>IF(OR($C26="",W26=""),"",IFERROR(IF(AND(IFERROR(--LEFT(W26,FIND("-",W26)-1),"")=AW26,IFERROR(--MID(W26,FIND("-",W26)+1,99),"")=AX26),10,5*(SIGN((IFERROR(--LEFT(W26,FIND("-",W26)-1),""))-(IFERROR(--MID(W26,FIND("-",W26)+1,99),"")))=SIGN((AW26)-(AX26)))+2*(((IFERROR(--LEFT(W26,FIND("-",W26)-1),""))-(IFERROR(--MID(W26,FIND("-",W26)+1,99),"")))=((AW26)-(AX26)))+2*((IFERROR(--LEFT(W26,FIND("-",W26)-1),""))=(AW26))+2*((IFERROR(--MID(W26,FIND("-",W26)+1,99),""))=(AX26))),""))</f>
        <v>0</v>
      </c>
      <c r="Y26" s="10" t="s">
        <v>36</v>
      </c>
      <c r="Z26" s="11">
        <f>IF(OR($C26="",Y26=""),"",IFERROR(IF(AND(IFERROR(--LEFT(Y26,FIND("-",Y26)-1),"")=AW26,IFERROR(--MID(Y26,FIND("-",Y26)+1,99),"")=AX26),10,5*(SIGN((IFERROR(--LEFT(Y26,FIND("-",Y26)-1),""))-(IFERROR(--MID(Y26,FIND("-",Y26)+1,99),"")))=SIGN((AW26)-(AX26)))+2*(((IFERROR(--LEFT(Y26,FIND("-",Y26)-1),""))-(IFERROR(--MID(Y26,FIND("-",Y26)+1,99),"")))=((AW26)-(AX26)))+2*((IFERROR(--LEFT(Y26,FIND("-",Y26)-1),""))=(AW26))+2*((IFERROR(--MID(Y26,FIND("-",Y26)+1,99),""))=(AX26))),""))</f>
        <v>0</v>
      </c>
      <c r="AA26" s="10" t="s">
        <v>38</v>
      </c>
      <c r="AB26" s="11">
        <f>IF(OR($C26="",AA26=""),"",IFERROR(IF(AND(IFERROR(--LEFT(AA26,FIND("-",AA26)-1),"")=AW26,IFERROR(--MID(AA26,FIND("-",AA26)+1,99),"")=AX26),10,5*(SIGN((IFERROR(--LEFT(AA26,FIND("-",AA26)-1),""))-(IFERROR(--MID(AA26,FIND("-",AA26)+1,99),"")))=SIGN((AW26)-(AX26)))+2*(((IFERROR(--LEFT(AA26,FIND("-",AA26)-1),""))-(IFERROR(--MID(AA26,FIND("-",AA26)+1,99),"")))=((AW26)-(AX26)))+2*((IFERROR(--LEFT(AA26,FIND("-",AA26)-1),""))=(AW26))+2*((IFERROR(--MID(AA26,FIND("-",AA26)+1,99),""))=(AX26))),""))</f>
        <v>0</v>
      </c>
      <c r="AC26" s="10" t="s">
        <v>33</v>
      </c>
      <c r="AD26" s="11">
        <f>IF(OR($C26="",AC26=""),"",IFERROR(IF(AND(IFERROR(--LEFT(AC26,FIND("-",AC26)-1),"")=AW26,IFERROR(--MID(AC26,FIND("-",AC26)+1,99),"")=AX26),10,5*(SIGN((IFERROR(--LEFT(AC26,FIND("-",AC26)-1),""))-(IFERROR(--MID(AC26,FIND("-",AC26)+1,99),"")))=SIGN((AW26)-(AX26)))+2*(((IFERROR(--LEFT(AC26,FIND("-",AC26)-1),""))-(IFERROR(--MID(AC26,FIND("-",AC26)+1,99),"")))=((AW26)-(AX26)))+2*((IFERROR(--LEFT(AC26,FIND("-",AC26)-1),""))=(AW26))+2*((IFERROR(--MID(AC26,FIND("-",AC26)+1,99),""))=(AX26))),""))</f>
        <v>2</v>
      </c>
      <c r="AE26" s="10" t="s">
        <v>33</v>
      </c>
      <c r="AF26" s="11">
        <f>IF(OR($C26="",AE26=""),"",IFERROR(IF(AND(IFERROR(--LEFT(AE26,FIND("-",AE26)-1),"")=AW26,IFERROR(--MID(AE26,FIND("-",AE26)+1,99),"")=AX26),10,5*(SIGN((IFERROR(--LEFT(AE26,FIND("-",AE26)-1),""))-(IFERROR(--MID(AE26,FIND("-",AE26)+1,99),"")))=SIGN((AW26)-(AX26)))+2*(((IFERROR(--LEFT(AE26,FIND("-",AE26)-1),""))-(IFERROR(--MID(AE26,FIND("-",AE26)+1,99),"")))=((AW26)-(AX26)))+2*((IFERROR(--LEFT(AE26,FIND("-",AE26)-1),""))=(AW26))+2*((IFERROR(--MID(AE26,FIND("-",AE26)+1,99),""))=(AX26))),""))</f>
        <v>2</v>
      </c>
      <c r="AG26" s="10" t="s">
        <v>36</v>
      </c>
      <c r="AH26" s="11">
        <f>IF(OR($C26="",AG26=""),"",IFERROR(IF(AND(IFERROR(--LEFT(AG26,FIND("-",AG26)-1),"")=AW26,IFERROR(--MID(AG26,FIND("-",AG26)+1,99),"")=AX26),10,5*(SIGN((IFERROR(--LEFT(AG26,FIND("-",AG26)-1),""))-(IFERROR(--MID(AG26,FIND("-",AG26)+1,99),"")))=SIGN((AW26)-(AX26)))+2*(((IFERROR(--LEFT(AG26,FIND("-",AG26)-1),""))-(IFERROR(--MID(AG26,FIND("-",AG26)+1,99),"")))=((AW26)-(AX26)))+2*((IFERROR(--LEFT(AG26,FIND("-",AG26)-1),""))=(AW26))+2*((IFERROR(--MID(AG26,FIND("-",AG26)+1,99),""))=(AX26))),""))</f>
        <v>0</v>
      </c>
      <c r="AI26" s="10" t="s">
        <v>34</v>
      </c>
      <c r="AJ26" s="11">
        <f>IF(OR($C26="",AI26=""),"",IFERROR(IF(AND(IFERROR(--LEFT(AI26,FIND("-",AI26)-1),"")=AW26,IFERROR(--MID(AI26,FIND("-",AI26)+1,99),"")=AX26),10,5*(SIGN((IFERROR(--LEFT(AI26,FIND("-",AI26)-1),""))-(IFERROR(--MID(AI26,FIND("-",AI26)+1,99),"")))=SIGN((AW26)-(AX26)))+2*(((IFERROR(--LEFT(AI26,FIND("-",AI26)-1),""))-(IFERROR(--MID(AI26,FIND("-",AI26)+1,99),"")))=((AW26)-(AX26)))+2*((IFERROR(--LEFT(AI26,FIND("-",AI26)-1),""))=(AW26))+2*((IFERROR(--MID(AI26,FIND("-",AI26)+1,99),""))=(AX26))),""))</f>
        <v>2</v>
      </c>
      <c r="AK26" s="10" t="s">
        <v>33</v>
      </c>
      <c r="AL26" s="11">
        <f>IF(OR($C26="",AK26=""),"",IFERROR(IF(AND(IFERROR(--LEFT(AK26,FIND("-",AK26)-1),"")=AW26,IFERROR(--MID(AK26,FIND("-",AK26)+1,99),"")=AX26),10,5*(SIGN((IFERROR(--LEFT(AK26,FIND("-",AK26)-1),""))-(IFERROR(--MID(AK26,FIND("-",AK26)+1,99),"")))=SIGN((AW26)-(AX26)))+2*(((IFERROR(--LEFT(AK26,FIND("-",AK26)-1),""))-(IFERROR(--MID(AK26,FIND("-",AK26)+1,99),"")))=((AW26)-(AX26)))+2*((IFERROR(--LEFT(AK26,FIND("-",AK26)-1),""))=(AW26))+2*((IFERROR(--MID(AK26,FIND("-",AK26)+1,99),""))=(AX26))),""))</f>
        <v>2</v>
      </c>
      <c r="AM26" s="10" t="s">
        <v>36</v>
      </c>
      <c r="AN26" s="11">
        <f>IF(OR($C26="",AM26=""),"",IFERROR(IF(AND(IFERROR(--LEFT(AM26,FIND("-",AM26)-1),"")=AW26,IFERROR(--MID(AM26,FIND("-",AM26)+1,99),"")=AX26),10,5*(SIGN((IFERROR(--LEFT(AM26,FIND("-",AM26)-1),""))-(IFERROR(--MID(AM26,FIND("-",AM26)+1,99),"")))=SIGN((AW26)-(AX26)))+2*(((IFERROR(--LEFT(AM26,FIND("-",AM26)-1),""))-(IFERROR(--MID(AM26,FIND("-",AM26)+1,99),"")))=((AW26)-(AX26)))+2*((IFERROR(--LEFT(AM26,FIND("-",AM26)-1),""))=(AW26))+2*((IFERROR(--MID(AM26,FIND("-",AM26)+1,99),""))=(AX26))),""))</f>
        <v>0</v>
      </c>
      <c r="AO26" s="10" t="s">
        <v>39</v>
      </c>
      <c r="AP26" s="11">
        <f>IF(OR($C26="",AO26=""),"",IFERROR(IF(AND(IFERROR(--LEFT(AO26,FIND("-",AO26)-1),"")=AW26,IFERROR(--MID(AO26,FIND("-",AO26)+1,99),"")=AX26),10,5*(SIGN((IFERROR(--LEFT(AO26,FIND("-",AO26)-1),""))-(IFERROR(--MID(AO26,FIND("-",AO26)+1,99),"")))=SIGN((AW26)-(AX26)))+2*(((IFERROR(--LEFT(AO26,FIND("-",AO26)-1),""))-(IFERROR(--MID(AO26,FIND("-",AO26)+1,99),"")))=((AW26)-(AX26)))+2*((IFERROR(--LEFT(AO26,FIND("-",AO26)-1),""))=(AW26))+2*((IFERROR(--MID(AO26,FIND("-",AO26)+1,99),""))=(AX26))),""))</f>
        <v>2</v>
      </c>
      <c r="AQ26" s="10" t="s">
        <v>61</v>
      </c>
      <c r="AR26" s="11">
        <f>IF(OR($C26="",AQ26=""),"",IFERROR(IF(AND(IFERROR(--LEFT(AQ26,FIND("-",AQ26)-1),"")=AW26,IFERROR(--MID(AQ26,FIND("-",AQ26)+1,99),"")=AX26),10,5*(SIGN((IFERROR(--LEFT(AQ26,FIND("-",AQ26)-1),""))-(IFERROR(--MID(AQ26,FIND("-",AQ26)+1,99),"")))=SIGN((AW26)-(AX26)))+2*(((IFERROR(--LEFT(AQ26,FIND("-",AQ26)-1),""))-(IFERROR(--MID(AQ26,FIND("-",AQ26)+1,99),"")))=((AW26)-(AX26)))+2*((IFERROR(--LEFT(AQ26,FIND("-",AQ26)-1),""))=(AW26))+2*((IFERROR(--MID(AQ26,FIND("-",AQ26)+1,99),""))=(AX26))),""))</f>
        <v>0</v>
      </c>
      <c r="AS26" s="10" t="s">
        <v>35</v>
      </c>
      <c r="AT26" s="11">
        <f>IF(OR($C26="",AS26=""),"",IFERROR(IF(AND(IFERROR(--LEFT(AS26,FIND("-",AS26)-1),"")=AW26,IFERROR(--MID(AS26,FIND("-",AS26)+1,99),"")=AX26),10,5*(SIGN((IFERROR(--LEFT(AS26,FIND("-",AS26)-1),""))-(IFERROR(--MID(AS26,FIND("-",AS26)+1,99),"")))=SIGN((AW26)-(AX26)))+2*(((IFERROR(--LEFT(AS26,FIND("-",AS26)-1),""))-(IFERROR(--MID(AS26,FIND("-",AS26)+1,99),"")))=((AW26)-(AX26)))+2*((IFERROR(--LEFT(AS26,FIND("-",AS26)-1),""))=(AW26))+2*((IFERROR(--MID(AS26,FIND("-",AS26)+1,99),""))=(AX26))),""))</f>
        <v>10</v>
      </c>
      <c r="AU26" s="10" t="s">
        <v>34</v>
      </c>
      <c r="AV26" s="11">
        <f>IF(OR($C26="",AU26=""),"",IFERROR(IF(AND(IFERROR(--LEFT(AU26,FIND("-",AU26)-1),"")=AW26,IFERROR(--MID(AU26,FIND("-",AU26)+1,99),"")=AX26),10,5*(SIGN((IFERROR(--LEFT(AU26,FIND("-",AU26)-1),""))-(IFERROR(--MID(AU26,FIND("-",AU26)+1,99),"")))=SIGN((AW26)-(AX26)))+2*(((IFERROR(--LEFT(AU26,FIND("-",AU26)-1),""))-(IFERROR(--MID(AU26,FIND("-",AU26)+1,99),"")))=((AW26)-(AX26)))+2*((IFERROR(--LEFT(AU26,FIND("-",AU26)-1),""))=(AW26))+2*((IFERROR(--MID(AU26,FIND("-",AU26)+1,99),""))=(AX26))),""))</f>
        <v>2</v>
      </c>
      <c r="AW26" s="11">
        <f>IF($C26="","",IFERROR(--LEFT($C26,FIND("-",$C26)-1),""))</f>
        <v>1</v>
      </c>
      <c r="AX26" s="11">
        <f>IF($C26="","",IFERROR(--MID($C26,FIND("-",$C26)+1,99),""))</f>
        <v>1</v>
      </c>
    </row>
    <row r="27" spans="1:50" ht="18" customHeight="1" x14ac:dyDescent="0.3">
      <c r="A27" s="12"/>
      <c r="B27" s="18"/>
      <c r="C27" s="13"/>
      <c r="D27" s="1"/>
      <c r="E27" s="22"/>
      <c r="F27" s="12"/>
      <c r="G27" s="22"/>
      <c r="H27" s="12"/>
      <c r="I27" s="22"/>
      <c r="J27" s="12"/>
      <c r="K27" s="22"/>
      <c r="L27" s="12"/>
      <c r="M27" s="22"/>
      <c r="N27" s="12"/>
      <c r="O27" s="22"/>
      <c r="P27" s="12"/>
      <c r="Q27" s="22"/>
      <c r="R27" s="12"/>
      <c r="S27" s="22"/>
      <c r="T27" s="12"/>
      <c r="U27" s="13"/>
      <c r="V27" s="12"/>
      <c r="W27" s="22"/>
      <c r="X27" s="12"/>
      <c r="Y27" s="22"/>
      <c r="Z27" s="12"/>
      <c r="AA27" s="22"/>
      <c r="AB27" s="12"/>
      <c r="AC27" s="22"/>
      <c r="AD27" s="12"/>
      <c r="AE27" s="22"/>
      <c r="AF27" s="12"/>
      <c r="AG27" s="22"/>
      <c r="AH27" s="12"/>
      <c r="AI27" s="22"/>
      <c r="AJ27" s="12"/>
      <c r="AK27" s="22"/>
      <c r="AL27" s="12"/>
      <c r="AM27" s="22"/>
      <c r="AN27" s="12"/>
      <c r="AO27" s="22"/>
      <c r="AP27" s="12"/>
      <c r="AQ27" s="22"/>
      <c r="AR27" s="12" t="str">
        <f>IF(OR($C27="",AQ27=""),"",IFERROR(IF(AND(IFERROR(--LEFT(AQ27,FIND("-",AQ27)-1),"")=AW27,IFERROR(--MID(AQ27,FIND("-",AQ27)+1,99),"")=AX27),10,5*(SIGN((IFERROR(--LEFT(AQ27,FIND("-",AQ27)-1),""))-(IFERROR(--MID(AQ27,FIND("-",AQ27)+1,99),"")))=SIGN((AW27)-(AX27)))+2*(((IFERROR(--LEFT(AQ27,FIND("-",AQ27)-1),""))-(IFERROR(--MID(AQ27,FIND("-",AQ27)+1,99),"")))=((AW27)-(AX27)))+2*((IFERROR(--LEFT(AQ27,FIND("-",AQ27)-1),""))=(AW27))+2*((IFERROR(--MID(AQ27,FIND("-",AQ27)+1,99),""))=(AX27))),""))</f>
        <v/>
      </c>
      <c r="AS27" s="22"/>
      <c r="AT27" s="12" t="str">
        <f>IF(OR($C27="",AS27=""),"",IFERROR(IF(AND(IFERROR(--LEFT(AS27,FIND("-",AS27)-1),"")=AW27,IFERROR(--MID(AS27,FIND("-",AS27)+1,99),"")=AX27),10,5*(SIGN((IFERROR(--LEFT(AS27,FIND("-",AS27)-1),""))-(IFERROR(--MID(AS27,FIND("-",AS27)+1,99),"")))=SIGN((AW27)-(AX27)))+2*(((IFERROR(--LEFT(AS27,FIND("-",AS27)-1),""))-(IFERROR(--MID(AS27,FIND("-",AS27)+1,99),"")))=((AW27)-(AX27)))+2*((IFERROR(--LEFT(AS27,FIND("-",AS27)-1),""))=(AW27))+2*((IFERROR(--MID(AS27,FIND("-",AS27)+1,99),""))=(AX27))),""))</f>
        <v/>
      </c>
      <c r="AU27" s="22"/>
      <c r="AV27" s="12"/>
      <c r="AW27" s="12"/>
      <c r="AX27" s="12"/>
    </row>
    <row r="28" spans="1:50" ht="20.100000000000001" customHeight="1" x14ac:dyDescent="0.3">
      <c r="A28" s="36" t="s">
        <v>84</v>
      </c>
      <c r="B28" s="37"/>
      <c r="C28" s="38"/>
      <c r="D28" s="37"/>
      <c r="E28" s="38"/>
      <c r="F28" s="37"/>
      <c r="G28" s="38"/>
      <c r="H28" s="37"/>
      <c r="I28" s="38"/>
      <c r="J28" s="37"/>
      <c r="K28" s="38"/>
      <c r="L28" s="37"/>
      <c r="M28" s="38"/>
      <c r="N28" s="37"/>
      <c r="O28" s="38"/>
      <c r="P28" s="37"/>
      <c r="Q28" s="38"/>
      <c r="R28" s="37"/>
      <c r="S28" s="38"/>
      <c r="T28" s="37"/>
      <c r="U28" s="38"/>
      <c r="V28" s="37"/>
      <c r="W28" s="38"/>
      <c r="X28" s="37"/>
      <c r="Y28" s="38"/>
      <c r="Z28" s="37"/>
      <c r="AA28" s="38"/>
      <c r="AB28" s="37"/>
      <c r="AC28" s="38"/>
      <c r="AD28" s="37"/>
      <c r="AE28" s="38"/>
      <c r="AF28" s="37"/>
      <c r="AG28" s="38"/>
      <c r="AH28" s="37"/>
      <c r="AI28" s="38"/>
      <c r="AJ28" s="37"/>
      <c r="AK28" s="38"/>
      <c r="AL28" s="37"/>
      <c r="AM28" s="38"/>
      <c r="AN28" s="37"/>
      <c r="AO28" s="38"/>
      <c r="AP28" s="37"/>
      <c r="AQ28" s="37"/>
      <c r="AR28" s="37"/>
      <c r="AS28" s="37"/>
      <c r="AT28" s="37"/>
      <c r="AU28" s="38"/>
      <c r="AV28" s="39"/>
      <c r="AW28" s="8"/>
      <c r="AX28" s="8"/>
    </row>
    <row r="29" spans="1:50" ht="18" customHeight="1" x14ac:dyDescent="0.3">
      <c r="A29" s="9">
        <v>1</v>
      </c>
      <c r="B29" s="18" t="s">
        <v>85</v>
      </c>
      <c r="C29" s="10" t="s">
        <v>35</v>
      </c>
      <c r="D29" s="1" t="s">
        <v>86</v>
      </c>
      <c r="E29" s="10" t="s">
        <v>37</v>
      </c>
      <c r="F29" s="11">
        <f>IF(OR($C29="",E29=""),"",IFERROR(IF(AND(IFERROR(--LEFT(E29,FIND("-",E29)-1),"")=AW29,IFERROR(--MID(E29,FIND("-",E29)+1,99),"")=AX29),10,5*(SIGN((IFERROR(--LEFT(E29,FIND("-",E29)-1),""))-(IFERROR(--MID(E29,FIND("-",E29)+1,99),"")))=SIGN((AW29)-(AX29)))+2*(((IFERROR(--LEFT(E29,FIND("-",E29)-1),""))-(IFERROR(--MID(E29,FIND("-",E29)+1,99),"")))=((AW29)-(AX29)))+2*((IFERROR(--LEFT(E29,FIND("-",E29)-1),""))=(AW29))+2*((IFERROR(--MID(E29,FIND("-",E29)+1,99),""))=(AX29))),""))</f>
        <v>2</v>
      </c>
      <c r="G29" s="10" t="s">
        <v>61</v>
      </c>
      <c r="H29" s="11">
        <f>IF(OR($C29="",G29=""),"",IFERROR(IF(AND(IFERROR(--LEFT(G29,FIND("-",G29)-1),"")=AW29,IFERROR(--MID(G29,FIND("-",G29)+1,99),"")=AX29),10,5*(SIGN((IFERROR(--LEFT(G29,FIND("-",G29)-1),""))-(IFERROR(--MID(G29,FIND("-",G29)+1,99),"")))=SIGN((AW29)-(AX29)))+2*(((IFERROR(--LEFT(G29,FIND("-",G29)-1),""))-(IFERROR(--MID(G29,FIND("-",G29)+1,99),"")))=((AW29)-(AX29)))+2*((IFERROR(--LEFT(G29,FIND("-",G29)-1),""))=(AW29))+2*((IFERROR(--MID(G29,FIND("-",G29)+1,99),""))=(AX29))),""))</f>
        <v>0</v>
      </c>
      <c r="I29" s="10" t="s">
        <v>48</v>
      </c>
      <c r="J29" s="11">
        <f>IF(OR($C29="",I29=""),"",IFERROR(IF(AND(IFERROR(--LEFT(I29,FIND("-",I29)-1),"")=AW29,IFERROR(--MID(I29,FIND("-",I29)+1,99),"")=AX29),10,5*(SIGN((IFERROR(--LEFT(I29,FIND("-",I29)-1),""))-(IFERROR(--MID(I29,FIND("-",I29)+1,99),"")))=SIGN((AW29)-(AX29)))+2*(((IFERROR(--LEFT(I29,FIND("-",I29)-1),""))-(IFERROR(--MID(I29,FIND("-",I29)+1,99),"")))=((AW29)-(AX29)))+2*((IFERROR(--LEFT(I29,FIND("-",I29)-1),""))=(AW29))+2*((IFERROR(--MID(I29,FIND("-",I29)+1,99),""))=(AX29))),""))</f>
        <v>0</v>
      </c>
      <c r="K29" s="10" t="s">
        <v>66</v>
      </c>
      <c r="L29" s="11">
        <f>IF(OR($C29="",K29=""),"",IFERROR(IF(AND(IFERROR(--LEFT(K29,FIND("-",K29)-1),"")=AW29,IFERROR(--MID(K29,FIND("-",K29)+1,99),"")=AX29),10,5*(SIGN((IFERROR(--LEFT(K29,FIND("-",K29)-1),""))-(IFERROR(--MID(K29,FIND("-",K29)+1,99),"")))=SIGN((AW29)-(AX29)))+2*(((IFERROR(--LEFT(K29,FIND("-",K29)-1),""))-(IFERROR(--MID(K29,FIND("-",K29)+1,99),"")))=((AW29)-(AX29)))+2*((IFERROR(--LEFT(K29,FIND("-",K29)-1),""))=(AW29))+2*((IFERROR(--MID(K29,FIND("-",K29)+1,99),""))=(AX29))),""))</f>
        <v>0</v>
      </c>
      <c r="M29" s="10" t="s">
        <v>48</v>
      </c>
      <c r="N29" s="11">
        <f>IF(OR($C29="",M29=""),"",IFERROR(IF(AND(IFERROR(--LEFT(M29,FIND("-",M29)-1),"")=AW29,IFERROR(--MID(M29,FIND("-",M29)+1,99),"")=AX29),10,5*(SIGN((IFERROR(--LEFT(M29,FIND("-",M29)-1),""))-(IFERROR(--MID(M29,FIND("-",M29)+1,99),"")))=SIGN((AW29)-(AX29)))+2*(((IFERROR(--LEFT(M29,FIND("-",M29)-1),""))-(IFERROR(--MID(M29,FIND("-",M29)+1,99),"")))=((AW29)-(AX29)))+2*((IFERROR(--LEFT(M29,FIND("-",M29)-1),""))=(AW29))+2*((IFERROR(--MID(M29,FIND("-",M29)+1,99),""))=(AX29))),""))</f>
        <v>0</v>
      </c>
      <c r="O29" s="10" t="s">
        <v>57</v>
      </c>
      <c r="P29" s="11">
        <f>IF(OR($C29="",O29=""),"",IFERROR(IF(AND(IFERROR(--LEFT(O29,FIND("-",O29)-1),"")=AW29,IFERROR(--MID(O29,FIND("-",O29)+1,99),"")=AX29),10,5*(SIGN((IFERROR(--LEFT(O29,FIND("-",O29)-1),""))-(IFERROR(--MID(O29,FIND("-",O29)+1,99),"")))=SIGN((AW29)-(AX29)))+2*(((IFERROR(--LEFT(O29,FIND("-",O29)-1),""))-(IFERROR(--MID(O29,FIND("-",O29)+1,99),"")))=((AW29)-(AX29)))+2*((IFERROR(--LEFT(O29,FIND("-",O29)-1),""))=(AW29))+2*((IFERROR(--MID(O29,FIND("-",O29)+1,99),""))=(AX29))),""))</f>
        <v>2</v>
      </c>
      <c r="Q29" s="10" t="s">
        <v>50</v>
      </c>
      <c r="R29" s="11">
        <f>IF(OR($C29="",Q29=""),"",IFERROR(IF(AND(IFERROR(--LEFT(Q29,FIND("-",Q29)-1),"")=AW29,IFERROR(--MID(Q29,FIND("-",Q29)+1,99),"")=AX29),10,5*(SIGN((IFERROR(--LEFT(Q29,FIND("-",Q29)-1),""))-(IFERROR(--MID(Q29,FIND("-",Q29)+1,99),"")))=SIGN((AW29)-(AX29)))+2*(((IFERROR(--LEFT(Q29,FIND("-",Q29)-1),""))-(IFERROR(--MID(Q29,FIND("-",Q29)+1,99),"")))=((AW29)-(AX29)))+2*((IFERROR(--LEFT(Q29,FIND("-",Q29)-1),""))=(AW29))+2*((IFERROR(--MID(Q29,FIND("-",Q29)+1,99),""))=(AX29))),""))</f>
        <v>7</v>
      </c>
      <c r="S29" s="10" t="s">
        <v>35</v>
      </c>
      <c r="T29" s="11">
        <f>IF(OR($C29="",S29=""),"",IFERROR(IF(AND(IFERROR(--LEFT(S29,FIND("-",S29)-1),"")=AW29,IFERROR(--MID(S29,FIND("-",S29)+1,99),"")=AX29),10,5*(SIGN((IFERROR(--LEFT(S29,FIND("-",S29)-1),""))-(IFERROR(--MID(S29,FIND("-",S29)+1,99),"")))=SIGN((AW29)-(AX29)))+2*(((IFERROR(--LEFT(S29,FIND("-",S29)-1),""))-(IFERROR(--MID(S29,FIND("-",S29)+1,99),"")))=((AW29)-(AX29)))+2*((IFERROR(--LEFT(S29,FIND("-",S29)-1),""))=(AW29))+2*((IFERROR(--MID(S29,FIND("-",S29)+1,99),""))=(AX29))),""))</f>
        <v>10</v>
      </c>
      <c r="U29" s="10" t="s">
        <v>48</v>
      </c>
      <c r="V29" s="11">
        <f>IF(OR($C29="",U29=""),"",IFERROR(IF(AND(IFERROR(--LEFT(U29,FIND("-",U29)-1),"")=AW29,IFERROR(--MID(U29,FIND("-",U29)+1,99),"")=AX29),10,5*(SIGN((IFERROR(--LEFT(U29,FIND("-",U29)-1),""))-(IFERROR(--MID(U29,FIND("-",U29)+1,99),"")))=SIGN((AW29)-(AX29)))+2*(((IFERROR(--LEFT(U29,FIND("-",U29)-1),""))-(IFERROR(--MID(U29,FIND("-",U29)+1,99),"")))=((AW29)-(AX29)))+2*((IFERROR(--LEFT(U29,FIND("-",U29)-1),""))=(AW29))+2*((IFERROR(--MID(U29,FIND("-",U29)+1,99),""))=(AX29))),""))</f>
        <v>0</v>
      </c>
      <c r="W29" s="10" t="s">
        <v>48</v>
      </c>
      <c r="X29" s="11">
        <f>IF(OR($C29="",W29=""),"",IFERROR(IF(AND(IFERROR(--LEFT(W29,FIND("-",W29)-1),"")=AW29,IFERROR(--MID(W29,FIND("-",W29)+1,99),"")=AX29),10,5*(SIGN((IFERROR(--LEFT(W29,FIND("-",W29)-1),""))-(IFERROR(--MID(W29,FIND("-",W29)+1,99),"")))=SIGN((AW29)-(AX29)))+2*(((IFERROR(--LEFT(W29,FIND("-",W29)-1),""))-(IFERROR(--MID(W29,FIND("-",W29)+1,99),"")))=((AW29)-(AX29)))+2*((IFERROR(--LEFT(W29,FIND("-",W29)-1),""))=(AW29))+2*((IFERROR(--MID(W29,FIND("-",W29)+1,99),""))=(AX29))),""))</f>
        <v>0</v>
      </c>
      <c r="Y29" s="10" t="s">
        <v>48</v>
      </c>
      <c r="Z29" s="11">
        <f>IF(OR($C29="",Y29=""),"",IFERROR(IF(AND(IFERROR(--LEFT(Y29,FIND("-",Y29)-1),"")=AW29,IFERROR(--MID(Y29,FIND("-",Y29)+1,99),"")=AX29),10,5*(SIGN((IFERROR(--LEFT(Y29,FIND("-",Y29)-1),""))-(IFERROR(--MID(Y29,FIND("-",Y29)+1,99),"")))=SIGN((AW29)-(AX29)))+2*(((IFERROR(--LEFT(Y29,FIND("-",Y29)-1),""))-(IFERROR(--MID(Y29,FIND("-",Y29)+1,99),"")))=((AW29)-(AX29)))+2*((IFERROR(--LEFT(Y29,FIND("-",Y29)-1),""))=(AW29))+2*((IFERROR(--MID(Y29,FIND("-",Y29)+1,99),""))=(AX29))),""))</f>
        <v>0</v>
      </c>
      <c r="AA29" s="10" t="s">
        <v>37</v>
      </c>
      <c r="AB29" s="11">
        <f>IF(OR($C29="",AA29=""),"",IFERROR(IF(AND(IFERROR(--LEFT(AA29,FIND("-",AA29)-1),"")=AW29,IFERROR(--MID(AA29,FIND("-",AA29)+1,99),"")=AX29),10,5*(SIGN((IFERROR(--LEFT(AA29,FIND("-",AA29)-1),""))-(IFERROR(--MID(AA29,FIND("-",AA29)+1,99),"")))=SIGN((AW29)-(AX29)))+2*(((IFERROR(--LEFT(AA29,FIND("-",AA29)-1),""))-(IFERROR(--MID(AA29,FIND("-",AA29)+1,99),"")))=((AW29)-(AX29)))+2*((IFERROR(--LEFT(AA29,FIND("-",AA29)-1),""))=(AW29))+2*((IFERROR(--MID(AA29,FIND("-",AA29)+1,99),""))=(AX29))),""))</f>
        <v>2</v>
      </c>
      <c r="AC29" s="10" t="s">
        <v>56</v>
      </c>
      <c r="AD29" s="11">
        <f>IF(OR($C29="",AC29=""),"",IFERROR(IF(AND(IFERROR(--LEFT(AC29,FIND("-",AC29)-1),"")=AW29,IFERROR(--MID(AC29,FIND("-",AC29)+1,99),"")=AX29),10,5*(SIGN((IFERROR(--LEFT(AC29,FIND("-",AC29)-1),""))-(IFERROR(--MID(AC29,FIND("-",AC29)+1,99),"")))=SIGN((AW29)-(AX29)))+2*(((IFERROR(--LEFT(AC29,FIND("-",AC29)-1),""))-(IFERROR(--MID(AC29,FIND("-",AC29)+1,99),"")))=((AW29)-(AX29)))+2*((IFERROR(--LEFT(AC29,FIND("-",AC29)-1),""))=(AW29))+2*((IFERROR(--MID(AC29,FIND("-",AC29)+1,99),""))=(AX29))),""))</f>
        <v>0</v>
      </c>
      <c r="AE29" s="10" t="s">
        <v>48</v>
      </c>
      <c r="AF29" s="11">
        <f>IF(OR($C29="",AE29=""),"",IFERROR(IF(AND(IFERROR(--LEFT(AE29,FIND("-",AE29)-1),"")=AW29,IFERROR(--MID(AE29,FIND("-",AE29)+1,99),"")=AX29),10,5*(SIGN((IFERROR(--LEFT(AE29,FIND("-",AE29)-1),""))-(IFERROR(--MID(AE29,FIND("-",AE29)+1,99),"")))=SIGN((AW29)-(AX29)))+2*(((IFERROR(--LEFT(AE29,FIND("-",AE29)-1),""))-(IFERROR(--MID(AE29,FIND("-",AE29)+1,99),"")))=((AW29)-(AX29)))+2*((IFERROR(--LEFT(AE29,FIND("-",AE29)-1),""))=(AW29))+2*((IFERROR(--MID(AE29,FIND("-",AE29)+1,99),""))=(AX29))),""))</f>
        <v>0</v>
      </c>
      <c r="AG29" s="10" t="s">
        <v>37</v>
      </c>
      <c r="AH29" s="11">
        <f>IF(OR($C29="",AG29=""),"",IFERROR(IF(AND(IFERROR(--LEFT(AG29,FIND("-",AG29)-1),"")=AW29,IFERROR(--MID(AG29,FIND("-",AG29)+1,99),"")=AX29),10,5*(SIGN((IFERROR(--LEFT(AG29,FIND("-",AG29)-1),""))-(IFERROR(--MID(AG29,FIND("-",AG29)+1,99),"")))=SIGN((AW29)-(AX29)))+2*(((IFERROR(--LEFT(AG29,FIND("-",AG29)-1),""))-(IFERROR(--MID(AG29,FIND("-",AG29)+1,99),"")))=((AW29)-(AX29)))+2*((IFERROR(--LEFT(AG29,FIND("-",AG29)-1),""))=(AW29))+2*((IFERROR(--MID(AG29,FIND("-",AG29)+1,99),""))=(AX29))),""))</f>
        <v>2</v>
      </c>
      <c r="AI29" s="10" t="s">
        <v>48</v>
      </c>
      <c r="AJ29" s="11">
        <f>IF(OR($C29="",AI29=""),"",IFERROR(IF(AND(IFERROR(--LEFT(AI29,FIND("-",AI29)-1),"")=AW29,IFERROR(--MID(AI29,FIND("-",AI29)+1,99),"")=AX29),10,5*(SIGN((IFERROR(--LEFT(AI29,FIND("-",AI29)-1),""))-(IFERROR(--MID(AI29,FIND("-",AI29)+1,99),"")))=SIGN((AW29)-(AX29)))+2*(((IFERROR(--LEFT(AI29,FIND("-",AI29)-1),""))-(IFERROR(--MID(AI29,FIND("-",AI29)+1,99),"")))=((AW29)-(AX29)))+2*((IFERROR(--LEFT(AI29,FIND("-",AI29)-1),""))=(AW29))+2*((IFERROR(--MID(AI29,FIND("-",AI29)+1,99),""))=(AX29))),""))</f>
        <v>0</v>
      </c>
      <c r="AK29" s="10" t="s">
        <v>48</v>
      </c>
      <c r="AL29" s="11">
        <f>IF(OR($C29="",AK29=""),"",IFERROR(IF(AND(IFERROR(--LEFT(AK29,FIND("-",AK29)-1),"")=AW29,IFERROR(--MID(AK29,FIND("-",AK29)+1,99),"")=AX29),10,5*(SIGN((IFERROR(--LEFT(AK29,FIND("-",AK29)-1),""))-(IFERROR(--MID(AK29,FIND("-",AK29)+1,99),"")))=SIGN((AW29)-(AX29)))+2*(((IFERROR(--LEFT(AK29,FIND("-",AK29)-1),""))-(IFERROR(--MID(AK29,FIND("-",AK29)+1,99),"")))=((AW29)-(AX29)))+2*((IFERROR(--LEFT(AK29,FIND("-",AK29)-1),""))=(AW29))+2*((IFERROR(--MID(AK29,FIND("-",AK29)+1,99),""))=(AX29))),""))</f>
        <v>0</v>
      </c>
      <c r="AM29" s="10" t="s">
        <v>45</v>
      </c>
      <c r="AN29" s="11">
        <f>IF(OR($C29="",AM29=""),"",IFERROR(IF(AND(IFERROR(--LEFT(AM29,FIND("-",AM29)-1),"")=AW29,IFERROR(--MID(AM29,FIND("-",AM29)+1,99),"")=AX29),10,5*(SIGN((IFERROR(--LEFT(AM29,FIND("-",AM29)-1),""))-(IFERROR(--MID(AM29,FIND("-",AM29)+1,99),"")))=SIGN((AW29)-(AX29)))+2*(((IFERROR(--LEFT(AM29,FIND("-",AM29)-1),""))-(IFERROR(--MID(AM29,FIND("-",AM29)+1,99),"")))=((AW29)-(AX29)))+2*((IFERROR(--LEFT(AM29,FIND("-",AM29)-1),""))=(AW29))+2*((IFERROR(--MID(AM29,FIND("-",AM29)+1,99),""))=(AX29))),""))</f>
        <v>2</v>
      </c>
      <c r="AO29" s="10" t="s">
        <v>56</v>
      </c>
      <c r="AP29" s="11">
        <f>IF(OR($C29="",AO29=""),"",IFERROR(IF(AND(IFERROR(--LEFT(AO29,FIND("-",AO29)-1),"")=AW29,IFERROR(--MID(AO29,FIND("-",AO29)+1,99),"")=AX29),10,5*(SIGN((IFERROR(--LEFT(AO29,FIND("-",AO29)-1),""))-(IFERROR(--MID(AO29,FIND("-",AO29)+1,99),"")))=SIGN((AW29)-(AX29)))+2*(((IFERROR(--LEFT(AO29,FIND("-",AO29)-1),""))-(IFERROR(--MID(AO29,FIND("-",AO29)+1,99),"")))=((AW29)-(AX29)))+2*((IFERROR(--LEFT(AO29,FIND("-",AO29)-1),""))=(AW29))+2*((IFERROR(--MID(AO29,FIND("-",AO29)+1,99),""))=(AX29))),""))</f>
        <v>0</v>
      </c>
      <c r="AQ29" s="10" t="s">
        <v>37</v>
      </c>
      <c r="AR29" s="11">
        <f>IF(OR($C29="",AQ29=""),"",IFERROR(IF(AND(IFERROR(--LEFT(AQ29,FIND("-",AQ29)-1),"")=AW29,IFERROR(--MID(AQ29,FIND("-",AQ29)+1,99),"")=AX29),10,5*(SIGN((IFERROR(--LEFT(AQ29,FIND("-",AQ29)-1),""))-(IFERROR(--MID(AQ29,FIND("-",AQ29)+1,99),"")))=SIGN((AW29)-(AX29)))+2*(((IFERROR(--LEFT(AQ29,FIND("-",AQ29)-1),""))-(IFERROR(--MID(AQ29,FIND("-",AQ29)+1,99),"")))=((AW29)-(AX29)))+2*((IFERROR(--LEFT(AQ29,FIND("-",AQ29)-1),""))=(AW29))+2*((IFERROR(--MID(AQ29,FIND("-",AQ29)+1,99),""))=(AX29))),""))</f>
        <v>2</v>
      </c>
      <c r="AS29" s="10" t="s">
        <v>57</v>
      </c>
      <c r="AT29" s="11">
        <f>IF(OR($C29="",AS29=""),"",IFERROR(IF(AND(IFERROR(--LEFT(AS29,FIND("-",AS29)-1),"")=AW29,IFERROR(--MID(AS29,FIND("-",AS29)+1,99),"")=AX29),10,5*(SIGN((IFERROR(--LEFT(AS29,FIND("-",AS29)-1),""))-(IFERROR(--MID(AS29,FIND("-",AS29)+1,99),"")))=SIGN((AW29)-(AX29)))+2*(((IFERROR(--LEFT(AS29,FIND("-",AS29)-1),""))-(IFERROR(--MID(AS29,FIND("-",AS29)+1,99),"")))=((AW29)-(AX29)))+2*((IFERROR(--LEFT(AS29,FIND("-",AS29)-1),""))=(AW29))+2*((IFERROR(--MID(AS29,FIND("-",AS29)+1,99),""))=(AX29))),""))</f>
        <v>2</v>
      </c>
      <c r="AU29" s="10" t="s">
        <v>44</v>
      </c>
      <c r="AV29" s="11">
        <f>IF(OR($C29="",AU29=""),"",IFERROR(IF(AND(IFERROR(--LEFT(AU29,FIND("-",AU29)-1),"")=AW29,IFERROR(--MID(AU29,FIND("-",AU29)+1,99),"")=AX29),10,5*(SIGN((IFERROR(--LEFT(AU29,FIND("-",AU29)-1),""))-(IFERROR(--MID(AU29,FIND("-",AU29)+1,99),"")))=SIGN((AW29)-(AX29)))+2*(((IFERROR(--LEFT(AU29,FIND("-",AU29)-1),""))-(IFERROR(--MID(AU29,FIND("-",AU29)+1,99),"")))=((AW29)-(AX29)))+2*((IFERROR(--LEFT(AU29,FIND("-",AU29)-1),""))=(AW29))+2*((IFERROR(--MID(AU29,FIND("-",AU29)+1,99),""))=(AX29))),""))</f>
        <v>0</v>
      </c>
      <c r="AW29" s="11">
        <f>IF($C29="","",IFERROR(--LEFT($C29,FIND("-",$C29)-1),""))</f>
        <v>1</v>
      </c>
      <c r="AX29" s="11">
        <f>IF($C29="","",IFERROR(--MID($C29,FIND("-",$C29)+1,99),""))</f>
        <v>1</v>
      </c>
    </row>
    <row r="30" spans="1:50" ht="18" customHeight="1" x14ac:dyDescent="0.3">
      <c r="A30" s="9">
        <v>1.125</v>
      </c>
      <c r="B30" s="18" t="s">
        <v>87</v>
      </c>
      <c r="C30" s="10" t="s">
        <v>49</v>
      </c>
      <c r="D30" s="1" t="s">
        <v>88</v>
      </c>
      <c r="E30" s="10" t="s">
        <v>39</v>
      </c>
      <c r="F30" s="11">
        <f>IF(OR($C30="",E30=""),"",IFERROR(IF(AND(IFERROR(--LEFT(E30,FIND("-",E30)-1),"")=AW30,IFERROR(--MID(E30,FIND("-",E30)+1,99),"")=AX30),10,5*(SIGN((IFERROR(--LEFT(E30,FIND("-",E30)-1),""))-(IFERROR(--MID(E30,FIND("-",E30)+1,99),"")))=SIGN((AW30)-(AX30)))+2*(((IFERROR(--LEFT(E30,FIND("-",E30)-1),""))-(IFERROR(--MID(E30,FIND("-",E30)+1,99),"")))=((AW30)-(AX30)))+2*((IFERROR(--LEFT(E30,FIND("-",E30)-1),""))=(AW30))+2*((IFERROR(--MID(E30,FIND("-",E30)+1,99),""))=(AX30))),""))</f>
        <v>0</v>
      </c>
      <c r="G30" s="10" t="s">
        <v>35</v>
      </c>
      <c r="H30" s="11">
        <f>IF(OR($C30="",G30=""),"",IFERROR(IF(AND(IFERROR(--LEFT(G30,FIND("-",G30)-1),"")=AW30,IFERROR(--MID(G30,FIND("-",G30)+1,99),"")=AX30),10,5*(SIGN((IFERROR(--LEFT(G30,FIND("-",G30)-1),""))-(IFERROR(--MID(G30,FIND("-",G30)+1,99),"")))=SIGN((AW30)-(AX30)))+2*(((IFERROR(--LEFT(G30,FIND("-",G30)-1),""))-(IFERROR(--MID(G30,FIND("-",G30)+1,99),"")))=((AW30)-(AX30)))+2*((IFERROR(--LEFT(G30,FIND("-",G30)-1),""))=(AW30))+2*((IFERROR(--MID(G30,FIND("-",G30)+1,99),""))=(AX30))),""))</f>
        <v>7</v>
      </c>
      <c r="I30" s="10" t="s">
        <v>36</v>
      </c>
      <c r="J30" s="11">
        <f>IF(OR($C30="",I30=""),"",IFERROR(IF(AND(IFERROR(--LEFT(I30,FIND("-",I30)-1),"")=AW30,IFERROR(--MID(I30,FIND("-",I30)+1,99),"")=AX30),10,5*(SIGN((IFERROR(--LEFT(I30,FIND("-",I30)-1),""))-(IFERROR(--MID(I30,FIND("-",I30)+1,99),"")))=SIGN((AW30)-(AX30)))+2*(((IFERROR(--LEFT(I30,FIND("-",I30)-1),""))-(IFERROR(--MID(I30,FIND("-",I30)+1,99),"")))=((AW30)-(AX30)))+2*((IFERROR(--LEFT(I30,FIND("-",I30)-1),""))=(AW30))+2*((IFERROR(--MID(I30,FIND("-",I30)+1,99),""))=(AX30))),""))</f>
        <v>2</v>
      </c>
      <c r="K30" s="10" t="s">
        <v>45</v>
      </c>
      <c r="L30" s="11">
        <f>IF(OR($C30="",K30=""),"",IFERROR(IF(AND(IFERROR(--LEFT(K30,FIND("-",K30)-1),"")=AW30,IFERROR(--MID(K30,FIND("-",K30)+1,99),"")=AX30),10,5*(SIGN((IFERROR(--LEFT(K30,FIND("-",K30)-1),""))-(IFERROR(--MID(K30,FIND("-",K30)+1,99),"")))=SIGN((AW30)-(AX30)))+2*(((IFERROR(--LEFT(K30,FIND("-",K30)-1),""))-(IFERROR(--MID(K30,FIND("-",K30)+1,99),"")))=((AW30)-(AX30)))+2*((IFERROR(--LEFT(K30,FIND("-",K30)-1),""))=(AW30))+2*((IFERROR(--MID(K30,FIND("-",K30)+1,99),""))=(AX30))),""))</f>
        <v>0</v>
      </c>
      <c r="M30" s="10" t="s">
        <v>49</v>
      </c>
      <c r="N30" s="11">
        <f>IF(OR($C30="",M30=""),"",IFERROR(IF(AND(IFERROR(--LEFT(M30,FIND("-",M30)-1),"")=AW30,IFERROR(--MID(M30,FIND("-",M30)+1,99),"")=AX30),10,5*(SIGN((IFERROR(--LEFT(M30,FIND("-",M30)-1),""))-(IFERROR(--MID(M30,FIND("-",M30)+1,99),"")))=SIGN((AW30)-(AX30)))+2*(((IFERROR(--LEFT(M30,FIND("-",M30)-1),""))-(IFERROR(--MID(M30,FIND("-",M30)+1,99),"")))=((AW30)-(AX30)))+2*((IFERROR(--LEFT(M30,FIND("-",M30)-1),""))=(AW30))+2*((IFERROR(--MID(M30,FIND("-",M30)+1,99),""))=(AX30))),""))</f>
        <v>10</v>
      </c>
      <c r="O30" s="10" t="s">
        <v>50</v>
      </c>
      <c r="P30" s="11">
        <f>IF(OR($C30="",O30=""),"",IFERROR(IF(AND(IFERROR(--LEFT(O30,FIND("-",O30)-1),"")=AW30,IFERROR(--MID(O30,FIND("-",O30)+1,99),"")=AX30),10,5*(SIGN((IFERROR(--LEFT(O30,FIND("-",O30)-1),""))-(IFERROR(--MID(O30,FIND("-",O30)+1,99),"")))=SIGN((AW30)-(AX30)))+2*(((IFERROR(--LEFT(O30,FIND("-",O30)-1),""))-(IFERROR(--MID(O30,FIND("-",O30)+1,99),"")))=((AW30)-(AX30)))+2*((IFERROR(--LEFT(O30,FIND("-",O30)-1),""))=(AW30))+2*((IFERROR(--MID(O30,FIND("-",O30)+1,99),""))=(AX30))),""))</f>
        <v>7</v>
      </c>
      <c r="Q30" s="10" t="s">
        <v>45</v>
      </c>
      <c r="R30" s="11">
        <f>IF(OR($C30="",Q30=""),"",IFERROR(IF(AND(IFERROR(--LEFT(Q30,FIND("-",Q30)-1),"")=AW30,IFERROR(--MID(Q30,FIND("-",Q30)+1,99),"")=AX30),10,5*(SIGN((IFERROR(--LEFT(Q30,FIND("-",Q30)-1),""))-(IFERROR(--MID(Q30,FIND("-",Q30)+1,99),"")))=SIGN((AW30)-(AX30)))+2*(((IFERROR(--LEFT(Q30,FIND("-",Q30)-1),""))-(IFERROR(--MID(Q30,FIND("-",Q30)+1,99),"")))=((AW30)-(AX30)))+2*((IFERROR(--LEFT(Q30,FIND("-",Q30)-1),""))=(AW30))+2*((IFERROR(--MID(Q30,FIND("-",Q30)+1,99),""))=(AX30))),""))</f>
        <v>0</v>
      </c>
      <c r="S30" s="10" t="s">
        <v>33</v>
      </c>
      <c r="T30" s="11">
        <f>IF(OR($C30="",S30=""),"",IFERROR(IF(AND(IFERROR(--LEFT(S30,FIND("-",S30)-1),"")=AW30,IFERROR(--MID(S30,FIND("-",S30)+1,99),"")=AX30),10,5*(SIGN((IFERROR(--LEFT(S30,FIND("-",S30)-1),""))-(IFERROR(--MID(S30,FIND("-",S30)+1,99),"")))=SIGN((AW30)-(AX30)))+2*(((IFERROR(--LEFT(S30,FIND("-",S30)-1),""))-(IFERROR(--MID(S30,FIND("-",S30)+1,99),"")))=((AW30)-(AX30)))+2*((IFERROR(--LEFT(S30,FIND("-",S30)-1),""))=(AW30))+2*((IFERROR(--MID(S30,FIND("-",S30)+1,99),""))=(AX30))),""))</f>
        <v>2</v>
      </c>
      <c r="U30" s="10" t="s">
        <v>39</v>
      </c>
      <c r="V30" s="11">
        <f>IF(OR($C30="",U30=""),"",IFERROR(IF(AND(IFERROR(--LEFT(U30,FIND("-",U30)-1),"")=AW30,IFERROR(--MID(U30,FIND("-",U30)+1,99),"")=AX30),10,5*(SIGN((IFERROR(--LEFT(U30,FIND("-",U30)-1),""))-(IFERROR(--MID(U30,FIND("-",U30)+1,99),"")))=SIGN((AW30)-(AX30)))+2*(((IFERROR(--LEFT(U30,FIND("-",U30)-1),""))-(IFERROR(--MID(U30,FIND("-",U30)+1,99),"")))=((AW30)-(AX30)))+2*((IFERROR(--LEFT(U30,FIND("-",U30)-1),""))=(AW30))+2*((IFERROR(--MID(U30,FIND("-",U30)+1,99),""))=(AX30))),""))</f>
        <v>0</v>
      </c>
      <c r="W30" s="10" t="s">
        <v>39</v>
      </c>
      <c r="X30" s="11">
        <f>IF(OR($C30="",W30=""),"",IFERROR(IF(AND(IFERROR(--LEFT(W30,FIND("-",W30)-1),"")=AW30,IFERROR(--MID(W30,FIND("-",W30)+1,99),"")=AX30),10,5*(SIGN((IFERROR(--LEFT(W30,FIND("-",W30)-1),""))-(IFERROR(--MID(W30,FIND("-",W30)+1,99),"")))=SIGN((AW30)-(AX30)))+2*(((IFERROR(--LEFT(W30,FIND("-",W30)-1),""))-(IFERROR(--MID(W30,FIND("-",W30)+1,99),"")))=((AW30)-(AX30)))+2*((IFERROR(--LEFT(W30,FIND("-",W30)-1),""))=(AW30))+2*((IFERROR(--MID(W30,FIND("-",W30)+1,99),""))=(AX30))),""))</f>
        <v>0</v>
      </c>
      <c r="Y30" s="10" t="s">
        <v>36</v>
      </c>
      <c r="Z30" s="11">
        <f>IF(OR($C30="",Y30=""),"",IFERROR(IF(AND(IFERROR(--LEFT(Y30,FIND("-",Y30)-1),"")=AW30,IFERROR(--MID(Y30,FIND("-",Y30)+1,99),"")=AX30),10,5*(SIGN((IFERROR(--LEFT(Y30,FIND("-",Y30)-1),""))-(IFERROR(--MID(Y30,FIND("-",Y30)+1,99),"")))=SIGN((AW30)-(AX30)))+2*(((IFERROR(--LEFT(Y30,FIND("-",Y30)-1),""))-(IFERROR(--MID(Y30,FIND("-",Y30)+1,99),"")))=((AW30)-(AX30)))+2*((IFERROR(--LEFT(Y30,FIND("-",Y30)-1),""))=(AW30))+2*((IFERROR(--MID(Y30,FIND("-",Y30)+1,99),""))=(AX30))),""))</f>
        <v>2</v>
      </c>
      <c r="AA30" s="10" t="s">
        <v>36</v>
      </c>
      <c r="AB30" s="11">
        <f>IF(OR($C30="",AA30=""),"",IFERROR(IF(AND(IFERROR(--LEFT(AA30,FIND("-",AA30)-1),"")=AW30,IFERROR(--MID(AA30,FIND("-",AA30)+1,99),"")=AX30),10,5*(SIGN((IFERROR(--LEFT(AA30,FIND("-",AA30)-1),""))-(IFERROR(--MID(AA30,FIND("-",AA30)+1,99),"")))=SIGN((AW30)-(AX30)))+2*(((IFERROR(--LEFT(AA30,FIND("-",AA30)-1),""))-(IFERROR(--MID(AA30,FIND("-",AA30)+1,99),"")))=((AW30)-(AX30)))+2*((IFERROR(--LEFT(AA30,FIND("-",AA30)-1),""))=(AW30))+2*((IFERROR(--MID(AA30,FIND("-",AA30)+1,99),""))=(AX30))),""))</f>
        <v>2</v>
      </c>
      <c r="AC30" s="10" t="s">
        <v>34</v>
      </c>
      <c r="AD30" s="11">
        <f>IF(OR($C30="",AC30=""),"",IFERROR(IF(AND(IFERROR(--LEFT(AC30,FIND("-",AC30)-1),"")=AW30,IFERROR(--MID(AC30,FIND("-",AC30)+1,99),"")=AX30),10,5*(SIGN((IFERROR(--LEFT(AC30,FIND("-",AC30)-1),""))-(IFERROR(--MID(AC30,FIND("-",AC30)+1,99),"")))=SIGN((AW30)-(AX30)))+2*(((IFERROR(--LEFT(AC30,FIND("-",AC30)-1),""))-(IFERROR(--MID(AC30,FIND("-",AC30)+1,99),"")))=((AW30)-(AX30)))+2*((IFERROR(--LEFT(AC30,FIND("-",AC30)-1),""))=(AW30))+2*((IFERROR(--MID(AC30,FIND("-",AC30)+1,99),""))=(AX30))),""))</f>
        <v>0</v>
      </c>
      <c r="AE30" s="10" t="s">
        <v>36</v>
      </c>
      <c r="AF30" s="11">
        <f>IF(OR($C30="",AE30=""),"",IFERROR(IF(AND(IFERROR(--LEFT(AE30,FIND("-",AE30)-1),"")=AW30,IFERROR(--MID(AE30,FIND("-",AE30)+1,99),"")=AX30),10,5*(SIGN((IFERROR(--LEFT(AE30,FIND("-",AE30)-1),""))-(IFERROR(--MID(AE30,FIND("-",AE30)+1,99),"")))=SIGN((AW30)-(AX30)))+2*(((IFERROR(--LEFT(AE30,FIND("-",AE30)-1),""))-(IFERROR(--MID(AE30,FIND("-",AE30)+1,99),"")))=((AW30)-(AX30)))+2*((IFERROR(--LEFT(AE30,FIND("-",AE30)-1),""))=(AW30))+2*((IFERROR(--MID(AE30,FIND("-",AE30)+1,99),""))=(AX30))),""))</f>
        <v>2</v>
      </c>
      <c r="AG30" s="10" t="s">
        <v>33</v>
      </c>
      <c r="AH30" s="11">
        <f>IF(OR($C30="",AG30=""),"",IFERROR(IF(AND(IFERROR(--LEFT(AG30,FIND("-",AG30)-1),"")=AW30,IFERROR(--MID(AG30,FIND("-",AG30)+1,99),"")=AX30),10,5*(SIGN((IFERROR(--LEFT(AG30,FIND("-",AG30)-1),""))-(IFERROR(--MID(AG30,FIND("-",AG30)+1,99),"")))=SIGN((AW30)-(AX30)))+2*(((IFERROR(--LEFT(AG30,FIND("-",AG30)-1),""))-(IFERROR(--MID(AG30,FIND("-",AG30)+1,99),"")))=((AW30)-(AX30)))+2*((IFERROR(--LEFT(AG30,FIND("-",AG30)-1),""))=(AW30))+2*((IFERROR(--MID(AG30,FIND("-",AG30)+1,99),""))=(AX30))),""))</f>
        <v>2</v>
      </c>
      <c r="AI30" s="10" t="s">
        <v>35</v>
      </c>
      <c r="AJ30" s="11">
        <f>IF(OR($C30="",AI30=""),"",IFERROR(IF(AND(IFERROR(--LEFT(AI30,FIND("-",AI30)-1),"")=AW30,IFERROR(--MID(AI30,FIND("-",AI30)+1,99),"")=AX30),10,5*(SIGN((IFERROR(--LEFT(AI30,FIND("-",AI30)-1),""))-(IFERROR(--MID(AI30,FIND("-",AI30)+1,99),"")))=SIGN((AW30)-(AX30)))+2*(((IFERROR(--LEFT(AI30,FIND("-",AI30)-1),""))-(IFERROR(--MID(AI30,FIND("-",AI30)+1,99),"")))=((AW30)-(AX30)))+2*((IFERROR(--LEFT(AI30,FIND("-",AI30)-1),""))=(AW30))+2*((IFERROR(--MID(AI30,FIND("-",AI30)+1,99),""))=(AX30))),""))</f>
        <v>7</v>
      </c>
      <c r="AK30" s="10" t="s">
        <v>36</v>
      </c>
      <c r="AL30" s="11">
        <f>IF(OR($C30="",AK30=""),"",IFERROR(IF(AND(IFERROR(--LEFT(AK30,FIND("-",AK30)-1),"")=AW30,IFERROR(--MID(AK30,FIND("-",AK30)+1,99),"")=AX30),10,5*(SIGN((IFERROR(--LEFT(AK30,FIND("-",AK30)-1),""))-(IFERROR(--MID(AK30,FIND("-",AK30)+1,99),"")))=SIGN((AW30)-(AX30)))+2*(((IFERROR(--LEFT(AK30,FIND("-",AK30)-1),""))-(IFERROR(--MID(AK30,FIND("-",AK30)+1,99),"")))=((AW30)-(AX30)))+2*((IFERROR(--LEFT(AK30,FIND("-",AK30)-1),""))=(AW30))+2*((IFERROR(--MID(AK30,FIND("-",AK30)+1,99),""))=(AX30))),""))</f>
        <v>2</v>
      </c>
      <c r="AM30" s="10" t="s">
        <v>33</v>
      </c>
      <c r="AN30" s="11">
        <f>IF(OR($C30="",AM30=""),"",IFERROR(IF(AND(IFERROR(--LEFT(AM30,FIND("-",AM30)-1),"")=AW30,IFERROR(--MID(AM30,FIND("-",AM30)+1,99),"")=AX30),10,5*(SIGN((IFERROR(--LEFT(AM30,FIND("-",AM30)-1),""))-(IFERROR(--MID(AM30,FIND("-",AM30)+1,99),"")))=SIGN((AW30)-(AX30)))+2*(((IFERROR(--LEFT(AM30,FIND("-",AM30)-1),""))-(IFERROR(--MID(AM30,FIND("-",AM30)+1,99),"")))=((AW30)-(AX30)))+2*((IFERROR(--LEFT(AM30,FIND("-",AM30)-1),""))=(AW30))+2*((IFERROR(--MID(AM30,FIND("-",AM30)+1,99),""))=(AX30))),""))</f>
        <v>2</v>
      </c>
      <c r="AO30" s="10" t="s">
        <v>36</v>
      </c>
      <c r="AP30" s="11">
        <f>IF(OR($C30="",AO30=""),"",IFERROR(IF(AND(IFERROR(--LEFT(AO30,FIND("-",AO30)-1),"")=AW30,IFERROR(--MID(AO30,FIND("-",AO30)+1,99),"")=AX30),10,5*(SIGN((IFERROR(--LEFT(AO30,FIND("-",AO30)-1),""))-(IFERROR(--MID(AO30,FIND("-",AO30)+1,99),"")))=SIGN((AW30)-(AX30)))+2*(((IFERROR(--LEFT(AO30,FIND("-",AO30)-1),""))-(IFERROR(--MID(AO30,FIND("-",AO30)+1,99),"")))=((AW30)-(AX30)))+2*((IFERROR(--LEFT(AO30,FIND("-",AO30)-1),""))=(AW30))+2*((IFERROR(--MID(AO30,FIND("-",AO30)+1,99),""))=(AX30))),""))</f>
        <v>2</v>
      </c>
      <c r="AQ30" s="10" t="s">
        <v>57</v>
      </c>
      <c r="AR30" s="11">
        <f>IF(OR($C30="",AQ30=""),"",IFERROR(IF(AND(IFERROR(--LEFT(AQ30,FIND("-",AQ30)-1),"")=AW30,IFERROR(--MID(AQ30,FIND("-",AQ30)+1,99),"")=AX30),10,5*(SIGN((IFERROR(--LEFT(AQ30,FIND("-",AQ30)-1),""))-(IFERROR(--MID(AQ30,FIND("-",AQ30)+1,99),"")))=SIGN((AW30)-(AX30)))+2*(((IFERROR(--LEFT(AQ30,FIND("-",AQ30)-1),""))-(IFERROR(--MID(AQ30,FIND("-",AQ30)+1,99),"")))=((AW30)-(AX30)))+2*((IFERROR(--LEFT(AQ30,FIND("-",AQ30)-1),""))=(AW30))+2*((IFERROR(--MID(AQ30,FIND("-",AQ30)+1,99),""))=(AX30))),""))</f>
        <v>0</v>
      </c>
      <c r="AS30" s="10" t="s">
        <v>35</v>
      </c>
      <c r="AT30" s="11">
        <f>IF(OR($C30="",AS30=""),"",IFERROR(IF(AND(IFERROR(--LEFT(AS30,FIND("-",AS30)-1),"")=AW30,IFERROR(--MID(AS30,FIND("-",AS30)+1,99),"")=AX30),10,5*(SIGN((IFERROR(--LEFT(AS30,FIND("-",AS30)-1),""))-(IFERROR(--MID(AS30,FIND("-",AS30)+1,99),"")))=SIGN((AW30)-(AX30)))+2*(((IFERROR(--LEFT(AS30,FIND("-",AS30)-1),""))-(IFERROR(--MID(AS30,FIND("-",AS30)+1,99),"")))=((AW30)-(AX30)))+2*((IFERROR(--LEFT(AS30,FIND("-",AS30)-1),""))=(AW30))+2*((IFERROR(--MID(AS30,FIND("-",AS30)+1,99),""))=(AX30))),""))</f>
        <v>7</v>
      </c>
      <c r="AU30" s="10" t="s">
        <v>39</v>
      </c>
      <c r="AV30" s="11">
        <f>IF(OR($C30="",AU30=""),"",IFERROR(IF(AND(IFERROR(--LEFT(AU30,FIND("-",AU30)-1),"")=AW30,IFERROR(--MID(AU30,FIND("-",AU30)+1,99),"")=AX30),10,5*(SIGN((IFERROR(--LEFT(AU30,FIND("-",AU30)-1),""))-(IFERROR(--MID(AU30,FIND("-",AU30)+1,99),"")))=SIGN((AW30)-(AX30)))+2*(((IFERROR(--LEFT(AU30,FIND("-",AU30)-1),""))-(IFERROR(--MID(AU30,FIND("-",AU30)+1,99),"")))=((AW30)-(AX30)))+2*((IFERROR(--LEFT(AU30,FIND("-",AU30)-1),""))=(AW30))+2*((IFERROR(--MID(AU30,FIND("-",AU30)+1,99),""))=(AX30))),""))</f>
        <v>0</v>
      </c>
      <c r="AW30" s="11">
        <f>IF($C30="","",IFERROR(--LEFT($C30,FIND("-",$C30)-1),""))</f>
        <v>2</v>
      </c>
      <c r="AX30" s="11">
        <f>IF($C30="","",IFERROR(--MID($C30,FIND("-",$C30)+1,99),""))</f>
        <v>2</v>
      </c>
    </row>
    <row r="31" spans="1:50" ht="18" customHeight="1" x14ac:dyDescent="0.3">
      <c r="A31" s="9">
        <v>1.875</v>
      </c>
      <c r="B31" s="18" t="s">
        <v>89</v>
      </c>
      <c r="C31" s="10" t="s">
        <v>34</v>
      </c>
      <c r="D31" s="1" t="s">
        <v>90</v>
      </c>
      <c r="E31" s="10" t="s">
        <v>33</v>
      </c>
      <c r="F31" s="11">
        <f>IF(OR($C31="",E31=""),"",IFERROR(IF(AND(IFERROR(--LEFT(E31,FIND("-",E31)-1),"")=AW31,IFERROR(--MID(E31,FIND("-",E31)+1,99),"")=AX31),10,5*(SIGN((IFERROR(--LEFT(E31,FIND("-",E31)-1),""))-(IFERROR(--MID(E31,FIND("-",E31)+1,99),"")))=SIGN((AW31)-(AX31)))+2*(((IFERROR(--LEFT(E31,FIND("-",E31)-1),""))-(IFERROR(--MID(E31,FIND("-",E31)+1,99),"")))=((AW31)-(AX31)))+2*((IFERROR(--LEFT(E31,FIND("-",E31)-1),""))=(AW31))+2*((IFERROR(--MID(E31,FIND("-",E31)+1,99),""))=(AX31))),""))</f>
        <v>7</v>
      </c>
      <c r="G31" s="10" t="s">
        <v>36</v>
      </c>
      <c r="H31" s="11">
        <f>IF(OR($C31="",G31=""),"",IFERROR(IF(AND(IFERROR(--LEFT(G31,FIND("-",G31)-1),"")=AW31,IFERROR(--MID(G31,FIND("-",G31)+1,99),"")=AX31),10,5*(SIGN((IFERROR(--LEFT(G31,FIND("-",G31)-1),""))-(IFERROR(--MID(G31,FIND("-",G31)+1,99),"")))=SIGN((AW31)-(AX31)))+2*(((IFERROR(--LEFT(G31,FIND("-",G31)-1),""))-(IFERROR(--MID(G31,FIND("-",G31)+1,99),"")))=((AW31)-(AX31)))+2*((IFERROR(--LEFT(G31,FIND("-",G31)-1),""))=(AW31))+2*((IFERROR(--MID(G31,FIND("-",G31)+1,99),""))=(AX31))),""))</f>
        <v>7</v>
      </c>
      <c r="I31" s="10" t="s">
        <v>36</v>
      </c>
      <c r="J31" s="11">
        <f>IF(OR($C31="",I31=""),"",IFERROR(IF(AND(IFERROR(--LEFT(I31,FIND("-",I31)-1),"")=AW31,IFERROR(--MID(I31,FIND("-",I31)+1,99),"")=AX31),10,5*(SIGN((IFERROR(--LEFT(I31,FIND("-",I31)-1),""))-(IFERROR(--MID(I31,FIND("-",I31)+1,99),"")))=SIGN((AW31)-(AX31)))+2*(((IFERROR(--LEFT(I31,FIND("-",I31)-1),""))-(IFERROR(--MID(I31,FIND("-",I31)+1,99),"")))=((AW31)-(AX31)))+2*((IFERROR(--LEFT(I31,FIND("-",I31)-1),""))=(AW31))+2*((IFERROR(--MID(I31,FIND("-",I31)+1,99),""))=(AX31))),""))</f>
        <v>7</v>
      </c>
      <c r="K31" s="10" t="s">
        <v>91</v>
      </c>
      <c r="L31" s="11">
        <f>IF(OR($C31="",K31=""),"",IFERROR(IF(AND(IFERROR(--LEFT(K31,FIND("-",K31)-1),"")=AW31,IFERROR(--MID(K31,FIND("-",K31)+1,99),"")=AX31),10,5*(SIGN((IFERROR(--LEFT(K31,FIND("-",K31)-1),""))-(IFERROR(--MID(K31,FIND("-",K31)+1,99),"")))=SIGN((AW31)-(AX31)))+2*(((IFERROR(--LEFT(K31,FIND("-",K31)-1),""))-(IFERROR(--MID(K31,FIND("-",K31)+1,99),"")))=((AW31)-(AX31)))+2*((IFERROR(--LEFT(K31,FIND("-",K31)-1),""))=(AW31))+2*((IFERROR(--MID(K31,FIND("-",K31)+1,99),""))=(AX31))),""))</f>
        <v>5</v>
      </c>
      <c r="M31" s="10" t="s">
        <v>61</v>
      </c>
      <c r="N31" s="11">
        <f>IF(OR($C31="",M31=""),"",IFERROR(IF(AND(IFERROR(--LEFT(M31,FIND("-",M31)-1),"")=AW31,IFERROR(--MID(M31,FIND("-",M31)+1,99),"")=AX31),10,5*(SIGN((IFERROR(--LEFT(M31,FIND("-",M31)-1),""))-(IFERROR(--MID(M31,FIND("-",M31)+1,99),"")))=SIGN((AW31)-(AX31)))+2*(((IFERROR(--LEFT(M31,FIND("-",M31)-1),""))-(IFERROR(--MID(M31,FIND("-",M31)+1,99),"")))=((AW31)-(AX31)))+2*((IFERROR(--LEFT(M31,FIND("-",M31)-1),""))=(AW31))+2*((IFERROR(--MID(M31,FIND("-",M31)+1,99),""))=(AX31))),""))</f>
        <v>7</v>
      </c>
      <c r="O31" s="10" t="s">
        <v>36</v>
      </c>
      <c r="P31" s="11">
        <f>IF(OR($C31="",O31=""),"",IFERROR(IF(AND(IFERROR(--LEFT(O31,FIND("-",O31)-1),"")=AW31,IFERROR(--MID(O31,FIND("-",O31)+1,99),"")=AX31),10,5*(SIGN((IFERROR(--LEFT(O31,FIND("-",O31)-1),""))-(IFERROR(--MID(O31,FIND("-",O31)+1,99),"")))=SIGN((AW31)-(AX31)))+2*(((IFERROR(--LEFT(O31,FIND("-",O31)-1),""))-(IFERROR(--MID(O31,FIND("-",O31)+1,99),"")))=((AW31)-(AX31)))+2*((IFERROR(--LEFT(O31,FIND("-",O31)-1),""))=(AW31))+2*((IFERROR(--MID(O31,FIND("-",O31)+1,99),""))=(AX31))),""))</f>
        <v>7</v>
      </c>
      <c r="Q31" s="10" t="s">
        <v>38</v>
      </c>
      <c r="R31" s="11">
        <f>IF(OR($C31="",Q31=""),"",IFERROR(IF(AND(IFERROR(--LEFT(Q31,FIND("-",Q31)-1),"")=AW31,IFERROR(--MID(Q31,FIND("-",Q31)+1,99),"")=AX31),10,5*(SIGN((IFERROR(--LEFT(Q31,FIND("-",Q31)-1),""))-(IFERROR(--MID(Q31,FIND("-",Q31)+1,99),"")))=SIGN((AW31)-(AX31)))+2*(((IFERROR(--LEFT(Q31,FIND("-",Q31)-1),""))-(IFERROR(--MID(Q31,FIND("-",Q31)+1,99),"")))=((AW31)-(AX31)))+2*((IFERROR(--LEFT(Q31,FIND("-",Q31)-1),""))=(AW31))+2*((IFERROR(--MID(Q31,FIND("-",Q31)+1,99),""))=(AX31))),""))</f>
        <v>7</v>
      </c>
      <c r="S31" s="10" t="s">
        <v>63</v>
      </c>
      <c r="T31" s="11">
        <f>IF(OR($C31="",S31=""),"",IFERROR(IF(AND(IFERROR(--LEFT(S31,FIND("-",S31)-1),"")=AW31,IFERROR(--MID(S31,FIND("-",S31)+1,99),"")=AX31),10,5*(SIGN((IFERROR(--LEFT(S31,FIND("-",S31)-1),""))-(IFERROR(--MID(S31,FIND("-",S31)+1,99),"")))=SIGN((AW31)-(AX31)))+2*(((IFERROR(--LEFT(S31,FIND("-",S31)-1),""))-(IFERROR(--MID(S31,FIND("-",S31)+1,99),"")))=((AW31)-(AX31)))+2*((IFERROR(--LEFT(S31,FIND("-",S31)-1),""))=(AW31))+2*((IFERROR(--MID(S31,FIND("-",S31)+1,99),""))=(AX31))),""))</f>
        <v>5</v>
      </c>
      <c r="U31" s="10" t="s">
        <v>33</v>
      </c>
      <c r="V31" s="11">
        <f>IF(OR($C31="",U31=""),"",IFERROR(IF(AND(IFERROR(--LEFT(U31,FIND("-",U31)-1),"")=AW31,IFERROR(--MID(U31,FIND("-",U31)+1,99),"")=AX31),10,5*(SIGN((IFERROR(--LEFT(U31,FIND("-",U31)-1),""))-(IFERROR(--MID(U31,FIND("-",U31)+1,99),"")))=SIGN((AW31)-(AX31)))+2*(((IFERROR(--LEFT(U31,FIND("-",U31)-1),""))-(IFERROR(--MID(U31,FIND("-",U31)+1,99),"")))=((AW31)-(AX31)))+2*((IFERROR(--LEFT(U31,FIND("-",U31)-1),""))=(AW31))+2*((IFERROR(--MID(U31,FIND("-",U31)+1,99),""))=(AX31))),""))</f>
        <v>7</v>
      </c>
      <c r="W31" s="10" t="s">
        <v>33</v>
      </c>
      <c r="X31" s="11">
        <f>IF(OR($C31="",W31=""),"",IFERROR(IF(AND(IFERROR(--LEFT(W31,FIND("-",W31)-1),"")=AW31,IFERROR(--MID(W31,FIND("-",W31)+1,99),"")=AX31),10,5*(SIGN((IFERROR(--LEFT(W31,FIND("-",W31)-1),""))-(IFERROR(--MID(W31,FIND("-",W31)+1,99),"")))=SIGN((AW31)-(AX31)))+2*(((IFERROR(--LEFT(W31,FIND("-",W31)-1),""))-(IFERROR(--MID(W31,FIND("-",W31)+1,99),"")))=((AW31)-(AX31)))+2*((IFERROR(--LEFT(W31,FIND("-",W31)-1),""))=(AW31))+2*((IFERROR(--MID(W31,FIND("-",W31)+1,99),""))=(AX31))),""))</f>
        <v>7</v>
      </c>
      <c r="Y31" s="10" t="s">
        <v>33</v>
      </c>
      <c r="Z31" s="11">
        <f>IF(OR($C31="",Y31=""),"",IFERROR(IF(AND(IFERROR(--LEFT(Y31,FIND("-",Y31)-1),"")=AW31,IFERROR(--MID(Y31,FIND("-",Y31)+1,99),"")=AX31),10,5*(SIGN((IFERROR(--LEFT(Y31,FIND("-",Y31)-1),""))-(IFERROR(--MID(Y31,FIND("-",Y31)+1,99),"")))=SIGN((AW31)-(AX31)))+2*(((IFERROR(--LEFT(Y31,FIND("-",Y31)-1),""))-(IFERROR(--MID(Y31,FIND("-",Y31)+1,99),"")))=((AW31)-(AX31)))+2*((IFERROR(--LEFT(Y31,FIND("-",Y31)-1),""))=(AW31))+2*((IFERROR(--MID(Y31,FIND("-",Y31)+1,99),""))=(AX31))),""))</f>
        <v>7</v>
      </c>
      <c r="AA31" s="10" t="s">
        <v>61</v>
      </c>
      <c r="AB31" s="11">
        <f>IF(OR($C31="",AA31=""),"",IFERROR(IF(AND(IFERROR(--LEFT(AA31,FIND("-",AA31)-1),"")=AW31,IFERROR(--MID(AA31,FIND("-",AA31)+1,99),"")=AX31),10,5*(SIGN((IFERROR(--LEFT(AA31,FIND("-",AA31)-1),""))-(IFERROR(--MID(AA31,FIND("-",AA31)+1,99),"")))=SIGN((AW31)-(AX31)))+2*(((IFERROR(--LEFT(AA31,FIND("-",AA31)-1),""))-(IFERROR(--MID(AA31,FIND("-",AA31)+1,99),"")))=((AW31)-(AX31)))+2*((IFERROR(--LEFT(AA31,FIND("-",AA31)-1),""))=(AW31))+2*((IFERROR(--MID(AA31,FIND("-",AA31)+1,99),""))=(AX31))),""))</f>
        <v>7</v>
      </c>
      <c r="AC31" s="10" t="s">
        <v>91</v>
      </c>
      <c r="AD31" s="11">
        <f>IF(OR($C31="",AC31=""),"",IFERROR(IF(AND(IFERROR(--LEFT(AC31,FIND("-",AC31)-1),"")=AW31,IFERROR(--MID(AC31,FIND("-",AC31)+1,99),"")=AX31),10,5*(SIGN((IFERROR(--LEFT(AC31,FIND("-",AC31)-1),""))-(IFERROR(--MID(AC31,FIND("-",AC31)+1,99),"")))=SIGN((AW31)-(AX31)))+2*(((IFERROR(--LEFT(AC31,FIND("-",AC31)-1),""))-(IFERROR(--MID(AC31,FIND("-",AC31)+1,99),"")))=((AW31)-(AX31)))+2*((IFERROR(--LEFT(AC31,FIND("-",AC31)-1),""))=(AW31))+2*((IFERROR(--MID(AC31,FIND("-",AC31)+1,99),""))=(AX31))),""))</f>
        <v>5</v>
      </c>
      <c r="AE31" s="10" t="s">
        <v>34</v>
      </c>
      <c r="AF31" s="11">
        <f>IF(OR($C31="",AE31=""),"",IFERROR(IF(AND(IFERROR(--LEFT(AE31,FIND("-",AE31)-1),"")=AW31,IFERROR(--MID(AE31,FIND("-",AE31)+1,99),"")=AX31),10,5*(SIGN((IFERROR(--LEFT(AE31,FIND("-",AE31)-1),""))-(IFERROR(--MID(AE31,FIND("-",AE31)+1,99),"")))=SIGN((AW31)-(AX31)))+2*(((IFERROR(--LEFT(AE31,FIND("-",AE31)-1),""))-(IFERROR(--MID(AE31,FIND("-",AE31)+1,99),"")))=((AW31)-(AX31)))+2*((IFERROR(--LEFT(AE31,FIND("-",AE31)-1),""))=(AW31))+2*((IFERROR(--MID(AE31,FIND("-",AE31)+1,99),""))=(AX31))),""))</f>
        <v>10</v>
      </c>
      <c r="AG31" s="10" t="s">
        <v>34</v>
      </c>
      <c r="AH31" s="11">
        <f>IF(OR($C31="",AG31=""),"",IFERROR(IF(AND(IFERROR(--LEFT(AG31,FIND("-",AG31)-1),"")=AW31,IFERROR(--MID(AG31,FIND("-",AG31)+1,99),"")=AX31),10,5*(SIGN((IFERROR(--LEFT(AG31,FIND("-",AG31)-1),""))-(IFERROR(--MID(AG31,FIND("-",AG31)+1,99),"")))=SIGN((AW31)-(AX31)))+2*(((IFERROR(--LEFT(AG31,FIND("-",AG31)-1),""))-(IFERROR(--MID(AG31,FIND("-",AG31)+1,99),"")))=((AW31)-(AX31)))+2*((IFERROR(--LEFT(AG31,FIND("-",AG31)-1),""))=(AW31))+2*((IFERROR(--MID(AG31,FIND("-",AG31)+1,99),""))=(AX31))),""))</f>
        <v>10</v>
      </c>
      <c r="AI31" s="10" t="s">
        <v>38</v>
      </c>
      <c r="AJ31" s="11">
        <f>IF(OR($C31="",AI31=""),"",IFERROR(IF(AND(IFERROR(--LEFT(AI31,FIND("-",AI31)-1),"")=AW31,IFERROR(--MID(AI31,FIND("-",AI31)+1,99),"")=AX31),10,5*(SIGN((IFERROR(--LEFT(AI31,FIND("-",AI31)-1),""))-(IFERROR(--MID(AI31,FIND("-",AI31)+1,99),"")))=SIGN((AW31)-(AX31)))+2*(((IFERROR(--LEFT(AI31,FIND("-",AI31)-1),""))-(IFERROR(--MID(AI31,FIND("-",AI31)+1,99),"")))=((AW31)-(AX31)))+2*((IFERROR(--LEFT(AI31,FIND("-",AI31)-1),""))=(AW31))+2*((IFERROR(--MID(AI31,FIND("-",AI31)+1,99),""))=(AX31))),""))</f>
        <v>7</v>
      </c>
      <c r="AK31" s="10" t="s">
        <v>34</v>
      </c>
      <c r="AL31" s="11">
        <f>IF(OR($C31="",AK31=""),"",IFERROR(IF(AND(IFERROR(--LEFT(AK31,FIND("-",AK31)-1),"")=AW31,IFERROR(--MID(AK31,FIND("-",AK31)+1,99),"")=AX31),10,5*(SIGN((IFERROR(--LEFT(AK31,FIND("-",AK31)-1),""))-(IFERROR(--MID(AK31,FIND("-",AK31)+1,99),"")))=SIGN((AW31)-(AX31)))+2*(((IFERROR(--LEFT(AK31,FIND("-",AK31)-1),""))-(IFERROR(--MID(AK31,FIND("-",AK31)+1,99),"")))=((AW31)-(AX31)))+2*((IFERROR(--LEFT(AK31,FIND("-",AK31)-1),""))=(AW31))+2*((IFERROR(--MID(AK31,FIND("-",AK31)+1,99),""))=(AX31))),""))</f>
        <v>10</v>
      </c>
      <c r="AM31" s="10" t="s">
        <v>61</v>
      </c>
      <c r="AN31" s="11">
        <f>IF(OR($C31="",AM31=""),"",IFERROR(IF(AND(IFERROR(--LEFT(AM31,FIND("-",AM31)-1),"")=AW31,IFERROR(--MID(AM31,FIND("-",AM31)+1,99),"")=AX31),10,5*(SIGN((IFERROR(--LEFT(AM31,FIND("-",AM31)-1),""))-(IFERROR(--MID(AM31,FIND("-",AM31)+1,99),"")))=SIGN((AW31)-(AX31)))+2*(((IFERROR(--LEFT(AM31,FIND("-",AM31)-1),""))-(IFERROR(--MID(AM31,FIND("-",AM31)+1,99),"")))=((AW31)-(AX31)))+2*((IFERROR(--LEFT(AM31,FIND("-",AM31)-1),""))=(AW31))+2*((IFERROR(--MID(AM31,FIND("-",AM31)+1,99),""))=(AX31))),""))</f>
        <v>7</v>
      </c>
      <c r="AO31" s="10" t="s">
        <v>34</v>
      </c>
      <c r="AP31" s="11">
        <f>IF(OR($C31="",AO31=""),"",IFERROR(IF(AND(IFERROR(--LEFT(AO31,FIND("-",AO31)-1),"")=AW31,IFERROR(--MID(AO31,FIND("-",AO31)+1,99),"")=AX31),10,5*(SIGN((IFERROR(--LEFT(AO31,FIND("-",AO31)-1),""))-(IFERROR(--MID(AO31,FIND("-",AO31)+1,99),"")))=SIGN((AW31)-(AX31)))+2*(((IFERROR(--LEFT(AO31,FIND("-",AO31)-1),""))-(IFERROR(--MID(AO31,FIND("-",AO31)+1,99),"")))=((AW31)-(AX31)))+2*((IFERROR(--LEFT(AO31,FIND("-",AO31)-1),""))=(AW31))+2*((IFERROR(--MID(AO31,FIND("-",AO31)+1,99),""))=(AX31))),""))</f>
        <v>10</v>
      </c>
      <c r="AQ31" s="10" t="s">
        <v>43</v>
      </c>
      <c r="AR31" s="11">
        <f>IF(OR($C31="",AQ31=""),"",IFERROR(IF(AND(IFERROR(--LEFT(AQ31,FIND("-",AQ31)-1),"")=AW31,IFERROR(--MID(AQ31,FIND("-",AQ31)+1,99),"")=AX31),10,5*(SIGN((IFERROR(--LEFT(AQ31,FIND("-",AQ31)-1),""))-(IFERROR(--MID(AQ31,FIND("-",AQ31)+1,99),"")))=SIGN((AW31)-(AX31)))+2*(((IFERROR(--LEFT(AQ31,FIND("-",AQ31)-1),""))-(IFERROR(--MID(AQ31,FIND("-",AQ31)+1,99),"")))=((AW31)-(AX31)))+2*((IFERROR(--LEFT(AQ31,FIND("-",AQ31)-1),""))=(AW31))+2*((IFERROR(--MID(AQ31,FIND("-",AQ31)+1,99),""))=(AX31))),""))</f>
        <v>7</v>
      </c>
      <c r="AS31" s="10" t="s">
        <v>36</v>
      </c>
      <c r="AT31" s="11">
        <f>IF(OR($C31="",AS31=""),"",IFERROR(IF(AND(IFERROR(--LEFT(AS31,FIND("-",AS31)-1),"")=AW31,IFERROR(--MID(AS31,FIND("-",AS31)+1,99),"")=AX31),10,5*(SIGN((IFERROR(--LEFT(AS31,FIND("-",AS31)-1),""))-(IFERROR(--MID(AS31,FIND("-",AS31)+1,99),"")))=SIGN((AW31)-(AX31)))+2*(((IFERROR(--LEFT(AS31,FIND("-",AS31)-1),""))-(IFERROR(--MID(AS31,FIND("-",AS31)+1,99),"")))=((AW31)-(AX31)))+2*((IFERROR(--LEFT(AS31,FIND("-",AS31)-1),""))=(AW31))+2*((IFERROR(--MID(AS31,FIND("-",AS31)+1,99),""))=(AX31))),""))</f>
        <v>7</v>
      </c>
      <c r="AU31" s="10" t="s">
        <v>33</v>
      </c>
      <c r="AV31" s="11">
        <f>IF(OR($C31="",AU31=""),"",IFERROR(IF(AND(IFERROR(--LEFT(AU31,FIND("-",AU31)-1),"")=AW31,IFERROR(--MID(AU31,FIND("-",AU31)+1,99),"")=AX31),10,5*(SIGN((IFERROR(--LEFT(AU31,FIND("-",AU31)-1),""))-(IFERROR(--MID(AU31,FIND("-",AU31)+1,99),"")))=SIGN((AW31)-(AX31)))+2*(((IFERROR(--LEFT(AU31,FIND("-",AU31)-1),""))-(IFERROR(--MID(AU31,FIND("-",AU31)+1,99),"")))=((AW31)-(AX31)))+2*((IFERROR(--LEFT(AU31,FIND("-",AU31)-1),""))=(AW31))+2*((IFERROR(--MID(AU31,FIND("-",AU31)+1,99),""))=(AX31))),""))</f>
        <v>7</v>
      </c>
      <c r="AW31" s="11">
        <f>IF($C31="","",IFERROR(--LEFT($C31,FIND("-",$C31)-1),""))</f>
        <v>3</v>
      </c>
      <c r="AX31" s="11">
        <f>IF($C31="","",IFERROR(--MID($C31,FIND("-",$C31)+1,99),""))</f>
        <v>1</v>
      </c>
    </row>
    <row r="32" spans="1:50" ht="18" customHeight="1" x14ac:dyDescent="0.3">
      <c r="A32" s="12"/>
      <c r="B32" s="18"/>
      <c r="C32" s="13"/>
      <c r="D32" s="1"/>
      <c r="E32" s="22"/>
      <c r="F32" s="12"/>
      <c r="G32" s="22"/>
      <c r="H32" s="12"/>
      <c r="I32" s="22"/>
      <c r="J32" s="12"/>
      <c r="K32" s="22"/>
      <c r="L32" s="12"/>
      <c r="M32" s="22"/>
      <c r="N32" s="12"/>
      <c r="O32" s="22"/>
      <c r="P32" s="12"/>
      <c r="Q32" s="22"/>
      <c r="R32" s="12"/>
      <c r="S32" s="22"/>
      <c r="T32" s="12"/>
      <c r="U32" s="13"/>
      <c r="V32" s="12"/>
      <c r="W32" s="22"/>
      <c r="X32" s="12"/>
      <c r="Y32" s="22"/>
      <c r="Z32" s="12"/>
      <c r="AA32" s="22"/>
      <c r="AB32" s="12"/>
      <c r="AC32" s="22"/>
      <c r="AD32" s="12"/>
      <c r="AE32" s="22"/>
      <c r="AF32" s="12"/>
      <c r="AG32" s="22"/>
      <c r="AH32" s="12"/>
      <c r="AI32" s="22"/>
      <c r="AJ32" s="12"/>
      <c r="AK32" s="22"/>
      <c r="AL32" s="12"/>
      <c r="AM32" s="22"/>
      <c r="AN32" s="12"/>
      <c r="AO32" s="22"/>
      <c r="AP32" s="12"/>
      <c r="AQ32" s="22"/>
      <c r="AR32" s="12" t="str">
        <f>IF(OR($C32="",AQ32=""),"",IFERROR(IF(AND(IFERROR(--LEFT(AQ32,FIND("-",AQ32)-1),"")=AW32,IFERROR(--MID(AQ32,FIND("-",AQ32)+1,99),"")=AX32),10,5*(SIGN((IFERROR(--LEFT(AQ32,FIND("-",AQ32)-1),""))-(IFERROR(--MID(AQ32,FIND("-",AQ32)+1,99),"")))=SIGN((AW32)-(AX32)))+2*(((IFERROR(--LEFT(AQ32,FIND("-",AQ32)-1),""))-(IFERROR(--MID(AQ32,FIND("-",AQ32)+1,99),"")))=((AW32)-(AX32)))+2*((IFERROR(--LEFT(AQ32,FIND("-",AQ32)-1),""))=(AW32))+2*((IFERROR(--MID(AQ32,FIND("-",AQ32)+1,99),""))=(AX32))),""))</f>
        <v/>
      </c>
      <c r="AS32" s="22"/>
      <c r="AT32" s="12" t="str">
        <f>IF(OR($C32="",AS32=""),"",IFERROR(IF(AND(IFERROR(--LEFT(AS32,FIND("-",AS32)-1),"")=AW32,IFERROR(--MID(AS32,FIND("-",AS32)+1,99),"")=AX32),10,5*(SIGN((IFERROR(--LEFT(AS32,FIND("-",AS32)-1),""))-(IFERROR(--MID(AS32,FIND("-",AS32)+1,99),"")))=SIGN((AW32)-(AX32)))+2*(((IFERROR(--LEFT(AS32,FIND("-",AS32)-1),""))-(IFERROR(--MID(AS32,FIND("-",AS32)+1,99),"")))=((AW32)-(AX32)))+2*((IFERROR(--LEFT(AS32,FIND("-",AS32)-1),""))=(AW32))+2*((IFERROR(--MID(AS32,FIND("-",AS32)+1,99),""))=(AX32))),""))</f>
        <v/>
      </c>
      <c r="AU32" s="22"/>
      <c r="AV32" s="12"/>
      <c r="AW32" s="12"/>
      <c r="AX32" s="12"/>
    </row>
    <row r="33" spans="1:50" ht="20.100000000000001" customHeight="1" x14ac:dyDescent="0.3">
      <c r="A33" s="36" t="s">
        <v>92</v>
      </c>
      <c r="B33" s="37"/>
      <c r="C33" s="38"/>
      <c r="D33" s="37"/>
      <c r="E33" s="38"/>
      <c r="F33" s="37"/>
      <c r="G33" s="38"/>
      <c r="H33" s="37"/>
      <c r="I33" s="38"/>
      <c r="J33" s="37"/>
      <c r="K33" s="38"/>
      <c r="L33" s="37"/>
      <c r="M33" s="38"/>
      <c r="N33" s="37"/>
      <c r="O33" s="38"/>
      <c r="P33" s="37"/>
      <c r="Q33" s="38"/>
      <c r="R33" s="37"/>
      <c r="S33" s="38"/>
      <c r="T33" s="37"/>
      <c r="U33" s="38"/>
      <c r="V33" s="37"/>
      <c r="W33" s="38"/>
      <c r="X33" s="37"/>
      <c r="Y33" s="38"/>
      <c r="Z33" s="37"/>
      <c r="AA33" s="38"/>
      <c r="AB33" s="37"/>
      <c r="AC33" s="38"/>
      <c r="AD33" s="37"/>
      <c r="AE33" s="38"/>
      <c r="AF33" s="37"/>
      <c r="AG33" s="38"/>
      <c r="AH33" s="37"/>
      <c r="AI33" s="38"/>
      <c r="AJ33" s="37"/>
      <c r="AK33" s="38"/>
      <c r="AL33" s="37"/>
      <c r="AM33" s="38"/>
      <c r="AN33" s="37"/>
      <c r="AO33" s="38"/>
      <c r="AP33" s="37"/>
      <c r="AQ33" s="37"/>
      <c r="AR33" s="37"/>
      <c r="AS33" s="37"/>
      <c r="AT33" s="37"/>
      <c r="AU33" s="38"/>
      <c r="AV33" s="39"/>
      <c r="AW33" s="8"/>
      <c r="AX33" s="8"/>
    </row>
    <row r="34" spans="1:50" ht="18" customHeight="1" x14ac:dyDescent="0.3">
      <c r="A34" s="9">
        <v>1</v>
      </c>
      <c r="B34" s="18" t="s">
        <v>93</v>
      </c>
      <c r="C34" s="10" t="s">
        <v>115</v>
      </c>
      <c r="D34" s="1" t="s">
        <v>94</v>
      </c>
      <c r="E34" s="10" t="s">
        <v>48</v>
      </c>
      <c r="F34" s="11">
        <f>IF(OR($C34="",E34=""),"",IFERROR(IF(AND(IFERROR(--LEFT(E34,FIND("-",E34)-1),"")=AW34,IFERROR(--MID(E34,FIND("-",E34)+1,99),"")=AX34),10,5*(SIGN((IFERROR(--LEFT(E34,FIND("-",E34)-1),""))-(IFERROR(--MID(E34,FIND("-",E34)+1,99),"")))=SIGN((AW34)-(AX34)))+2*(((IFERROR(--LEFT(E34,FIND("-",E34)-1),""))-(IFERROR(--MID(E34,FIND("-",E34)+1,99),"")))=((AW34)-(AX34)))+2*((IFERROR(--LEFT(E34,FIND("-",E34)-1),""))=(AW34))+2*((IFERROR(--MID(E34,FIND("-",E34)+1,99),""))=(AX34))),""))</f>
        <v>5</v>
      </c>
      <c r="G34" s="10" t="s">
        <v>57</v>
      </c>
      <c r="H34" s="11">
        <f>IF(OR($C34="",G34=""),"",IFERROR(IF(AND(IFERROR(--LEFT(G34,FIND("-",G34)-1),"")=AW34,IFERROR(--MID(G34,FIND("-",G34)+1,99),"")=AX34),10,5*(SIGN((IFERROR(--LEFT(G34,FIND("-",G34)-1),""))-(IFERROR(--MID(G34,FIND("-",G34)+1,99),"")))=SIGN((AW34)-(AX34)))+2*(((IFERROR(--LEFT(G34,FIND("-",G34)-1),""))-(IFERROR(--MID(G34,FIND("-",G34)+1,99),"")))=((AW34)-(AX34)))+2*((IFERROR(--LEFT(G34,FIND("-",G34)-1),""))=(AW34))+2*((IFERROR(--MID(G34,FIND("-",G34)+1,99),""))=(AX34))),""))</f>
        <v>7</v>
      </c>
      <c r="I34" s="10" t="s">
        <v>48</v>
      </c>
      <c r="J34" s="11">
        <f>IF(OR($C34="",I34=""),"",IFERROR(IF(AND(IFERROR(--LEFT(I34,FIND("-",I34)-1),"")=AW34,IFERROR(--MID(I34,FIND("-",I34)+1,99),"")=AX34),10,5*(SIGN((IFERROR(--LEFT(I34,FIND("-",I34)-1),""))-(IFERROR(--MID(I34,FIND("-",I34)+1,99),"")))=SIGN((AW34)-(AX34)))+2*(((IFERROR(--LEFT(I34,FIND("-",I34)-1),""))-(IFERROR(--MID(I34,FIND("-",I34)+1,99),"")))=((AW34)-(AX34)))+2*((IFERROR(--LEFT(I34,FIND("-",I34)-1),""))=(AW34))+2*((IFERROR(--MID(I34,FIND("-",I34)+1,99),""))=(AX34))),""))</f>
        <v>5</v>
      </c>
      <c r="K34" s="10" t="s">
        <v>48</v>
      </c>
      <c r="L34" s="11">
        <f>IF(OR($C34="",K34=""),"",IFERROR(IF(AND(IFERROR(--LEFT(K34,FIND("-",K34)-1),"")=AW34,IFERROR(--MID(K34,FIND("-",K34)+1,99),"")=AX34),10,5*(SIGN((IFERROR(--LEFT(K34,FIND("-",K34)-1),""))-(IFERROR(--MID(K34,FIND("-",K34)+1,99),"")))=SIGN((AW34)-(AX34)))+2*(((IFERROR(--LEFT(K34,FIND("-",K34)-1),""))-(IFERROR(--MID(K34,FIND("-",K34)+1,99),"")))=((AW34)-(AX34)))+2*((IFERROR(--LEFT(K34,FIND("-",K34)-1),""))=(AW34))+2*((IFERROR(--MID(K34,FIND("-",K34)+1,99),""))=(AX34))),""))</f>
        <v>5</v>
      </c>
      <c r="M34" s="10" t="s">
        <v>48</v>
      </c>
      <c r="N34" s="11">
        <f>IF(OR($C34="",M34=""),"",IFERROR(IF(AND(IFERROR(--LEFT(M34,FIND("-",M34)-1),"")=AW34,IFERROR(--MID(M34,FIND("-",M34)+1,99),"")=AX34),10,5*(SIGN((IFERROR(--LEFT(M34,FIND("-",M34)-1),""))-(IFERROR(--MID(M34,FIND("-",M34)+1,99),"")))=SIGN((AW34)-(AX34)))+2*(((IFERROR(--LEFT(M34,FIND("-",M34)-1),""))-(IFERROR(--MID(M34,FIND("-",M34)+1,99),"")))=((AW34)-(AX34)))+2*((IFERROR(--LEFT(M34,FIND("-",M34)-1),""))=(AW34))+2*((IFERROR(--MID(M34,FIND("-",M34)+1,99),""))=(AX34))),""))</f>
        <v>5</v>
      </c>
      <c r="O34" s="10" t="s">
        <v>56</v>
      </c>
      <c r="P34" s="11">
        <f>IF(OR($C34="",O34=""),"",IFERROR(IF(AND(IFERROR(--LEFT(O34,FIND("-",O34)-1),"")=AW34,IFERROR(--MID(O34,FIND("-",O34)+1,99),"")=AX34),10,5*(SIGN((IFERROR(--LEFT(O34,FIND("-",O34)-1),""))-(IFERROR(--MID(O34,FIND("-",O34)+1,99),"")))=SIGN((AW34)-(AX34)))+2*(((IFERROR(--LEFT(O34,FIND("-",O34)-1),""))-(IFERROR(--MID(O34,FIND("-",O34)+1,99),"")))=((AW34)-(AX34)))+2*((IFERROR(--LEFT(O34,FIND("-",O34)-1),""))=(AW34))+2*((IFERROR(--MID(O34,FIND("-",O34)+1,99),""))=(AX34))),""))</f>
        <v>7</v>
      </c>
      <c r="Q34" s="10" t="s">
        <v>57</v>
      </c>
      <c r="R34" s="11">
        <f>IF(OR($C34="",Q34=""),"",IFERROR(IF(AND(IFERROR(--LEFT(Q34,FIND("-",Q34)-1),"")=AW34,IFERROR(--MID(Q34,FIND("-",Q34)+1,99),"")=AX34),10,5*(SIGN((IFERROR(--LEFT(Q34,FIND("-",Q34)-1),""))-(IFERROR(--MID(Q34,FIND("-",Q34)+1,99),"")))=SIGN((AW34)-(AX34)))+2*(((IFERROR(--LEFT(Q34,FIND("-",Q34)-1),""))-(IFERROR(--MID(Q34,FIND("-",Q34)+1,99),"")))=((AW34)-(AX34)))+2*((IFERROR(--LEFT(Q34,FIND("-",Q34)-1),""))=(AW34))+2*((IFERROR(--MID(Q34,FIND("-",Q34)+1,99),""))=(AX34))),""))</f>
        <v>7</v>
      </c>
      <c r="S34" s="10" t="s">
        <v>37</v>
      </c>
      <c r="T34" s="11">
        <f>IF(OR($C34="",S34=""),"",IFERROR(IF(AND(IFERROR(--LEFT(S34,FIND("-",S34)-1),"")=AW34,IFERROR(--MID(S34,FIND("-",S34)+1,99),"")=AX34),10,5*(SIGN((IFERROR(--LEFT(S34,FIND("-",S34)-1),""))-(IFERROR(--MID(S34,FIND("-",S34)+1,99),"")))=SIGN((AW34)-(AX34)))+2*(((IFERROR(--LEFT(S34,FIND("-",S34)-1),""))-(IFERROR(--MID(S34,FIND("-",S34)+1,99),"")))=((AW34)-(AX34)))+2*((IFERROR(--LEFT(S34,FIND("-",S34)-1),""))=(AW34))+2*((IFERROR(--MID(S34,FIND("-",S34)+1,99),""))=(AX34))),""))</f>
        <v>7</v>
      </c>
      <c r="U34" s="10" t="s">
        <v>48</v>
      </c>
      <c r="V34" s="11">
        <f>IF(OR($C34="",U34=""),"",IFERROR(IF(AND(IFERROR(--LEFT(U34,FIND("-",U34)-1),"")=AW34,IFERROR(--MID(U34,FIND("-",U34)+1,99),"")=AX34),10,5*(SIGN((IFERROR(--LEFT(U34,FIND("-",U34)-1),""))-(IFERROR(--MID(U34,FIND("-",U34)+1,99),"")))=SIGN((AW34)-(AX34)))+2*(((IFERROR(--LEFT(U34,FIND("-",U34)-1),""))-(IFERROR(--MID(U34,FIND("-",U34)+1,99),"")))=((AW34)-(AX34)))+2*((IFERROR(--LEFT(U34,FIND("-",U34)-1),""))=(AW34))+2*((IFERROR(--MID(U34,FIND("-",U34)+1,99),""))=(AX34))),""))</f>
        <v>5</v>
      </c>
      <c r="W34" s="10" t="s">
        <v>48</v>
      </c>
      <c r="X34" s="11">
        <f>IF(OR($C34="",W34=""),"",IFERROR(IF(AND(IFERROR(--LEFT(W34,FIND("-",W34)-1),"")=AW34,IFERROR(--MID(W34,FIND("-",W34)+1,99),"")=AX34),10,5*(SIGN((IFERROR(--LEFT(W34,FIND("-",W34)-1),""))-(IFERROR(--MID(W34,FIND("-",W34)+1,99),"")))=SIGN((AW34)-(AX34)))+2*(((IFERROR(--LEFT(W34,FIND("-",W34)-1),""))-(IFERROR(--MID(W34,FIND("-",W34)+1,99),"")))=((AW34)-(AX34)))+2*((IFERROR(--LEFT(W34,FIND("-",W34)-1),""))=(AW34))+2*((IFERROR(--MID(W34,FIND("-",W34)+1,99),""))=(AX34))),""))</f>
        <v>5</v>
      </c>
      <c r="Y34" s="10" t="s">
        <v>48</v>
      </c>
      <c r="Z34" s="11">
        <f>IF(OR($C34="",Y34=""),"",IFERROR(IF(AND(IFERROR(--LEFT(Y34,FIND("-",Y34)-1),"")=AW34,IFERROR(--MID(Y34,FIND("-",Y34)+1,99),"")=AX34),10,5*(SIGN((IFERROR(--LEFT(Y34,FIND("-",Y34)-1),""))-(IFERROR(--MID(Y34,FIND("-",Y34)+1,99),"")))=SIGN((AW34)-(AX34)))+2*(((IFERROR(--LEFT(Y34,FIND("-",Y34)-1),""))-(IFERROR(--MID(Y34,FIND("-",Y34)+1,99),"")))=((AW34)-(AX34)))+2*((IFERROR(--LEFT(Y34,FIND("-",Y34)-1),""))=(AW34))+2*((IFERROR(--MID(Y34,FIND("-",Y34)+1,99),""))=(AX34))),""))</f>
        <v>5</v>
      </c>
      <c r="AA34" s="10" t="s">
        <v>48</v>
      </c>
      <c r="AB34" s="11">
        <f>IF(OR($C34="",AA34=""),"",IFERROR(IF(AND(IFERROR(--LEFT(AA34,FIND("-",AA34)-1),"")=AW34,IFERROR(--MID(AA34,FIND("-",AA34)+1,99),"")=AX34),10,5*(SIGN((IFERROR(--LEFT(AA34,FIND("-",AA34)-1),""))-(IFERROR(--MID(AA34,FIND("-",AA34)+1,99),"")))=SIGN((AW34)-(AX34)))+2*(((IFERROR(--LEFT(AA34,FIND("-",AA34)-1),""))-(IFERROR(--MID(AA34,FIND("-",AA34)+1,99),"")))=((AW34)-(AX34)))+2*((IFERROR(--LEFT(AA34,FIND("-",AA34)-1),""))=(AW34))+2*((IFERROR(--MID(AA34,FIND("-",AA34)+1,99),""))=(AX34))),""))</f>
        <v>5</v>
      </c>
      <c r="AC34" s="10" t="s">
        <v>37</v>
      </c>
      <c r="AD34" s="11">
        <f>IF(OR($C34="",AC34=""),"",IFERROR(IF(AND(IFERROR(--LEFT(AC34,FIND("-",AC34)-1),"")=AW34,IFERROR(--MID(AC34,FIND("-",AC34)+1,99),"")=AX34),10,5*(SIGN((IFERROR(--LEFT(AC34,FIND("-",AC34)-1),""))-(IFERROR(--MID(AC34,FIND("-",AC34)+1,99),"")))=SIGN((AW34)-(AX34)))+2*(((IFERROR(--LEFT(AC34,FIND("-",AC34)-1),""))-(IFERROR(--MID(AC34,FIND("-",AC34)+1,99),"")))=((AW34)-(AX34)))+2*((IFERROR(--LEFT(AC34,FIND("-",AC34)-1),""))=(AW34))+2*((IFERROR(--MID(AC34,FIND("-",AC34)+1,99),""))=(AX34))),""))</f>
        <v>7</v>
      </c>
      <c r="AE34" s="10" t="s">
        <v>45</v>
      </c>
      <c r="AF34" s="11">
        <f>IF(OR($C34="",AE34=""),"",IFERROR(IF(AND(IFERROR(--LEFT(AE34,FIND("-",AE34)-1),"")=AW34,IFERROR(--MID(AE34,FIND("-",AE34)+1,99),"")=AX34),10,5*(SIGN((IFERROR(--LEFT(AE34,FIND("-",AE34)-1),""))-(IFERROR(--MID(AE34,FIND("-",AE34)+1,99),"")))=SIGN((AW34)-(AX34)))+2*(((IFERROR(--LEFT(AE34,FIND("-",AE34)-1),""))-(IFERROR(--MID(AE34,FIND("-",AE34)+1,99),"")))=((AW34)-(AX34)))+2*((IFERROR(--LEFT(AE34,FIND("-",AE34)-1),""))=(AW34))+2*((IFERROR(--MID(AE34,FIND("-",AE34)+1,99),""))=(AX34))),""))</f>
        <v>5</v>
      </c>
      <c r="AG34" s="10" t="s">
        <v>37</v>
      </c>
      <c r="AH34" s="11">
        <f>IF(OR($C34="",AG34=""),"",IFERROR(IF(AND(IFERROR(--LEFT(AG34,FIND("-",AG34)-1),"")=AW34,IFERROR(--MID(AG34,FIND("-",AG34)+1,99),"")=AX34),10,5*(SIGN((IFERROR(--LEFT(AG34,FIND("-",AG34)-1),""))-(IFERROR(--MID(AG34,FIND("-",AG34)+1,99),"")))=SIGN((AW34)-(AX34)))+2*(((IFERROR(--LEFT(AG34,FIND("-",AG34)-1),""))-(IFERROR(--MID(AG34,FIND("-",AG34)+1,99),"")))=((AW34)-(AX34)))+2*((IFERROR(--LEFT(AG34,FIND("-",AG34)-1),""))=(AW34))+2*((IFERROR(--MID(AG34,FIND("-",AG34)+1,99),""))=(AX34))),""))</f>
        <v>7</v>
      </c>
      <c r="AI34" s="10" t="s">
        <v>48</v>
      </c>
      <c r="AJ34" s="11">
        <f>IF(OR($C34="",AI34=""),"",IFERROR(IF(AND(IFERROR(--LEFT(AI34,FIND("-",AI34)-1),"")=AW34,IFERROR(--MID(AI34,FIND("-",AI34)+1,99),"")=AX34),10,5*(SIGN((IFERROR(--LEFT(AI34,FIND("-",AI34)-1),""))-(IFERROR(--MID(AI34,FIND("-",AI34)+1,99),"")))=SIGN((AW34)-(AX34)))+2*(((IFERROR(--LEFT(AI34,FIND("-",AI34)-1),""))-(IFERROR(--MID(AI34,FIND("-",AI34)+1,99),"")))=((AW34)-(AX34)))+2*((IFERROR(--LEFT(AI34,FIND("-",AI34)-1),""))=(AW34))+2*((IFERROR(--MID(AI34,FIND("-",AI34)+1,99),""))=(AX34))),""))</f>
        <v>5</v>
      </c>
      <c r="AK34" s="10" t="s">
        <v>57</v>
      </c>
      <c r="AL34" s="11">
        <f>IF(OR($C34="",AK34=""),"",IFERROR(IF(AND(IFERROR(--LEFT(AK34,FIND("-",AK34)-1),"")=AW34,IFERROR(--MID(AK34,FIND("-",AK34)+1,99),"")=AX34),10,5*(SIGN((IFERROR(--LEFT(AK34,FIND("-",AK34)-1),""))-(IFERROR(--MID(AK34,FIND("-",AK34)+1,99),"")))=SIGN((AW34)-(AX34)))+2*(((IFERROR(--LEFT(AK34,FIND("-",AK34)-1),""))-(IFERROR(--MID(AK34,FIND("-",AK34)+1,99),"")))=((AW34)-(AX34)))+2*((IFERROR(--LEFT(AK34,FIND("-",AK34)-1),""))=(AW34))+2*((IFERROR(--MID(AK34,FIND("-",AK34)+1,99),""))=(AX34))),""))</f>
        <v>7</v>
      </c>
      <c r="AM34" s="10" t="s">
        <v>48</v>
      </c>
      <c r="AN34" s="11">
        <f>IF(OR($C34="",AM34=""),"",IFERROR(IF(AND(IFERROR(--LEFT(AM34,FIND("-",AM34)-1),"")=AW34,IFERROR(--MID(AM34,FIND("-",AM34)+1,99),"")=AX34),10,5*(SIGN((IFERROR(--LEFT(AM34,FIND("-",AM34)-1),""))-(IFERROR(--MID(AM34,FIND("-",AM34)+1,99),"")))=SIGN((AW34)-(AX34)))+2*(((IFERROR(--LEFT(AM34,FIND("-",AM34)-1),""))-(IFERROR(--MID(AM34,FIND("-",AM34)+1,99),"")))=((AW34)-(AX34)))+2*((IFERROR(--LEFT(AM34,FIND("-",AM34)-1),""))=(AW34))+2*((IFERROR(--MID(AM34,FIND("-",AM34)+1,99),""))=(AX34))),""))</f>
        <v>5</v>
      </c>
      <c r="AO34" s="10" t="s">
        <v>35</v>
      </c>
      <c r="AP34" s="11">
        <f>IF(OR($C34="",AO34=""),"",IFERROR(IF(AND(IFERROR(--LEFT(AO34,FIND("-",AO34)-1),"")=AW34,IFERROR(--MID(AO34,FIND("-",AO34)+1,99),"")=AX34),10,5*(SIGN((IFERROR(--LEFT(AO34,FIND("-",AO34)-1),""))-(IFERROR(--MID(AO34,FIND("-",AO34)+1,99),"")))=SIGN((AW34)-(AX34)))+2*(((IFERROR(--LEFT(AO34,FIND("-",AO34)-1),""))-(IFERROR(--MID(AO34,FIND("-",AO34)+1,99),"")))=((AW34)-(AX34)))+2*((IFERROR(--LEFT(AO34,FIND("-",AO34)-1),""))=(AW34))+2*((IFERROR(--MID(AO34,FIND("-",AO34)+1,99),""))=(AX34))),""))</f>
        <v>2</v>
      </c>
      <c r="AQ34" s="10" t="s">
        <v>35</v>
      </c>
      <c r="AR34" s="11">
        <f t="shared" ref="AR34:AR39" si="2">IF(OR($C34="",AQ34=""),"",IFERROR(IF(AND(IFERROR(--LEFT(AQ34,FIND("-",AQ34)-1),"")=AW34,IFERROR(--MID(AQ34,FIND("-",AQ34)+1,99),"")=AX34),10,5*(SIGN((IFERROR(--LEFT(AQ34,FIND("-",AQ34)-1),""))-(IFERROR(--MID(AQ34,FIND("-",AQ34)+1,99),"")))=SIGN((AW34)-(AX34)))+2*(((IFERROR(--LEFT(AQ34,FIND("-",AQ34)-1),""))-(IFERROR(--MID(AQ34,FIND("-",AQ34)+1,99),"")))=((AW34)-(AX34)))+2*((IFERROR(--LEFT(AQ34,FIND("-",AQ34)-1),""))=(AW34))+2*((IFERROR(--MID(AQ34,FIND("-",AQ34)+1,99),""))=(AX34))),""))</f>
        <v>2</v>
      </c>
      <c r="AS34" s="10" t="s">
        <v>57</v>
      </c>
      <c r="AT34" s="11">
        <f t="shared" ref="AT34:AT39" si="3">IF(OR($C34="",AS34=""),"",IFERROR(IF(AND(IFERROR(--LEFT(AS34,FIND("-",AS34)-1),"")=AW34,IFERROR(--MID(AS34,FIND("-",AS34)+1,99),"")=AX34),10,5*(SIGN((IFERROR(--LEFT(AS34,FIND("-",AS34)-1),""))-(IFERROR(--MID(AS34,FIND("-",AS34)+1,99),"")))=SIGN((AW34)-(AX34)))+2*(((IFERROR(--LEFT(AS34,FIND("-",AS34)-1),""))-(IFERROR(--MID(AS34,FIND("-",AS34)+1,99),"")))=((AW34)-(AX34)))+2*((IFERROR(--LEFT(AS34,FIND("-",AS34)-1),""))=(AW34))+2*((IFERROR(--MID(AS34,FIND("-",AS34)+1,99),""))=(AX34))),""))</f>
        <v>7</v>
      </c>
      <c r="AU34" s="10" t="s">
        <v>45</v>
      </c>
      <c r="AV34" s="11">
        <f>IF(OR($C34="",AU34=""),"",IFERROR(IF(AND(IFERROR(--LEFT(AU34,FIND("-",AU34)-1),"")=AW34,IFERROR(--MID(AU34,FIND("-",AU34)+1,99),"")=AX34),10,5*(SIGN((IFERROR(--LEFT(AU34,FIND("-",AU34)-1),""))-(IFERROR(--MID(AU34,FIND("-",AU34)+1,99),"")))=SIGN((AW34)-(AX34)))+2*(((IFERROR(--LEFT(AU34,FIND("-",AU34)-1),""))-(IFERROR(--MID(AU34,FIND("-",AU34)+1,99),"")))=((AW34)-(AX34)))+2*((IFERROR(--LEFT(AU34,FIND("-",AU34)-1),""))=(AW34))+2*((IFERROR(--MID(AU34,FIND("-",AU34)+1,99),""))=(AX34))),""))</f>
        <v>5</v>
      </c>
      <c r="AW34" s="11">
        <f>IF($C34="","",IFERROR(--LEFT($C34,FIND("-",$C34)-1),""))</f>
        <v>1</v>
      </c>
      <c r="AX34" s="11">
        <f>IF($C34="","",IFERROR(--MID($C34,FIND("-",$C34)+1,99),""))</f>
        <v>4</v>
      </c>
    </row>
    <row r="35" spans="1:50" ht="18" customHeight="1" x14ac:dyDescent="0.3">
      <c r="A35" s="9">
        <v>1.125</v>
      </c>
      <c r="B35" s="18" t="s">
        <v>95</v>
      </c>
      <c r="C35" s="10" t="s">
        <v>38</v>
      </c>
      <c r="D35" s="1" t="s">
        <v>96</v>
      </c>
      <c r="E35" s="10" t="s">
        <v>34</v>
      </c>
      <c r="F35" s="11">
        <f>IF(OR($C35="",E35=""),"",IFERROR(IF(AND(IFERROR(--LEFT(E35,FIND("-",E35)-1),"")=AW35,IFERROR(--MID(E35,FIND("-",E35)+1,99),"")=AX35),10,5*(SIGN((IFERROR(--LEFT(E35,FIND("-",E35)-1),""))-(IFERROR(--MID(E35,FIND("-",E35)+1,99),"")))=SIGN((AW35)-(AX35)))+2*(((IFERROR(--LEFT(E35,FIND("-",E35)-1),""))-(IFERROR(--MID(E35,FIND("-",E35)+1,99),"")))=((AW35)-(AX35)))+2*((IFERROR(--LEFT(E35,FIND("-",E35)-1),""))=(AW35))+2*((IFERROR(--MID(E35,FIND("-",E35)+1,99),""))=(AX35))),""))</f>
        <v>7</v>
      </c>
      <c r="G35" s="10" t="s">
        <v>33</v>
      </c>
      <c r="H35" s="11">
        <f>IF(OR($C35="",G35=""),"",IFERROR(IF(AND(IFERROR(--LEFT(G35,FIND("-",G35)-1),"")=AW35,IFERROR(--MID(G35,FIND("-",G35)+1,99),"")=AX35),10,5*(SIGN((IFERROR(--LEFT(G35,FIND("-",G35)-1),""))-(IFERROR(--MID(G35,FIND("-",G35)+1,99),"")))=SIGN((AW35)-(AX35)))+2*(((IFERROR(--LEFT(G35,FIND("-",G35)-1),""))-(IFERROR(--MID(G35,FIND("-",G35)+1,99),"")))=((AW35)-(AX35)))+2*((IFERROR(--LEFT(G35,FIND("-",G35)-1),""))=(AW35))+2*((IFERROR(--MID(G35,FIND("-",G35)+1,99),""))=(AX35))),""))</f>
        <v>5</v>
      </c>
      <c r="I35" s="10" t="s">
        <v>38</v>
      </c>
      <c r="J35" s="11">
        <f>IF(OR($C35="",I35=""),"",IFERROR(IF(AND(IFERROR(--LEFT(I35,FIND("-",I35)-1),"")=AW35,IFERROR(--MID(I35,FIND("-",I35)+1,99),"")=AX35),10,5*(SIGN((IFERROR(--LEFT(I35,FIND("-",I35)-1),""))-(IFERROR(--MID(I35,FIND("-",I35)+1,99),"")))=SIGN((AW35)-(AX35)))+2*(((IFERROR(--LEFT(I35,FIND("-",I35)-1),""))-(IFERROR(--MID(I35,FIND("-",I35)+1,99),"")))=((AW35)-(AX35)))+2*((IFERROR(--LEFT(I35,FIND("-",I35)-1),""))=(AW35))+2*((IFERROR(--MID(I35,FIND("-",I35)+1,99),""))=(AX35))),""))</f>
        <v>10</v>
      </c>
      <c r="K35" s="10" t="s">
        <v>33</v>
      </c>
      <c r="L35" s="11">
        <f>IF(OR($C35="",K35=""),"",IFERROR(IF(AND(IFERROR(--LEFT(K35,FIND("-",K35)-1),"")=AW35,IFERROR(--MID(K35,FIND("-",K35)+1,99),"")=AX35),10,5*(SIGN((IFERROR(--LEFT(K35,FIND("-",K35)-1),""))-(IFERROR(--MID(K35,FIND("-",K35)+1,99),"")))=SIGN((AW35)-(AX35)))+2*(((IFERROR(--LEFT(K35,FIND("-",K35)-1),""))-(IFERROR(--MID(K35,FIND("-",K35)+1,99),"")))=((AW35)-(AX35)))+2*((IFERROR(--LEFT(K35,FIND("-",K35)-1),""))=(AW35))+2*((IFERROR(--MID(K35,FIND("-",K35)+1,99),""))=(AX35))),""))</f>
        <v>5</v>
      </c>
      <c r="M35" s="10" t="s">
        <v>34</v>
      </c>
      <c r="N35" s="11">
        <f>IF(OR($C35="",M35=""),"",IFERROR(IF(AND(IFERROR(--LEFT(M35,FIND("-",M35)-1),"")=AW35,IFERROR(--MID(M35,FIND("-",M35)+1,99),"")=AX35),10,5*(SIGN((IFERROR(--LEFT(M35,FIND("-",M35)-1),""))-(IFERROR(--MID(M35,FIND("-",M35)+1,99),"")))=SIGN((AW35)-(AX35)))+2*(((IFERROR(--LEFT(M35,FIND("-",M35)-1),""))-(IFERROR(--MID(M35,FIND("-",M35)+1,99),"")))=((AW35)-(AX35)))+2*((IFERROR(--LEFT(M35,FIND("-",M35)-1),""))=(AW35))+2*((IFERROR(--MID(M35,FIND("-",M35)+1,99),""))=(AX35))),""))</f>
        <v>7</v>
      </c>
      <c r="O35" s="10" t="s">
        <v>38</v>
      </c>
      <c r="P35" s="11">
        <f>IF(OR($C35="",O35=""),"",IFERROR(IF(AND(IFERROR(--LEFT(O35,FIND("-",O35)-1),"")=AW35,IFERROR(--MID(O35,FIND("-",O35)+1,99),"")=AX35),10,5*(SIGN((IFERROR(--LEFT(O35,FIND("-",O35)-1),""))-(IFERROR(--MID(O35,FIND("-",O35)+1,99),"")))=SIGN((AW35)-(AX35)))+2*(((IFERROR(--LEFT(O35,FIND("-",O35)-1),""))-(IFERROR(--MID(O35,FIND("-",O35)+1,99),"")))=((AW35)-(AX35)))+2*((IFERROR(--LEFT(O35,FIND("-",O35)-1),""))=(AW35))+2*((IFERROR(--MID(O35,FIND("-",O35)+1,99),""))=(AX35))),""))</f>
        <v>10</v>
      </c>
      <c r="Q35" s="10" t="s">
        <v>33</v>
      </c>
      <c r="R35" s="11">
        <f>IF(OR($C35="",Q35=""),"",IFERROR(IF(AND(IFERROR(--LEFT(Q35,FIND("-",Q35)-1),"")=AW35,IFERROR(--MID(Q35,FIND("-",Q35)+1,99),"")=AX35),10,5*(SIGN((IFERROR(--LEFT(Q35,FIND("-",Q35)-1),""))-(IFERROR(--MID(Q35,FIND("-",Q35)+1,99),"")))=SIGN((AW35)-(AX35)))+2*(((IFERROR(--LEFT(Q35,FIND("-",Q35)-1),""))-(IFERROR(--MID(Q35,FIND("-",Q35)+1,99),"")))=((AW35)-(AX35)))+2*((IFERROR(--LEFT(Q35,FIND("-",Q35)-1),""))=(AW35))+2*((IFERROR(--MID(Q35,FIND("-",Q35)+1,99),""))=(AX35))),""))</f>
        <v>5</v>
      </c>
      <c r="S35" s="10" t="s">
        <v>43</v>
      </c>
      <c r="T35" s="11">
        <f>IF(OR($C35="",S35=""),"",IFERROR(IF(AND(IFERROR(--LEFT(S35,FIND("-",S35)-1),"")=AW35,IFERROR(--MID(S35,FIND("-",S35)+1,99),"")=AX35),10,5*(SIGN((IFERROR(--LEFT(S35,FIND("-",S35)-1),""))-(IFERROR(--MID(S35,FIND("-",S35)+1,99),"")))=SIGN((AW35)-(AX35)))+2*(((IFERROR(--LEFT(S35,FIND("-",S35)-1),""))-(IFERROR(--MID(S35,FIND("-",S35)+1,99),"")))=((AW35)-(AX35)))+2*((IFERROR(--LEFT(S35,FIND("-",S35)-1),""))=(AW35))+2*((IFERROR(--MID(S35,FIND("-",S35)+1,99),""))=(AX35))),""))</f>
        <v>7</v>
      </c>
      <c r="U35" s="10" t="s">
        <v>36</v>
      </c>
      <c r="V35" s="11">
        <f>IF(OR($C35="",U35=""),"",IFERROR(IF(AND(IFERROR(--LEFT(U35,FIND("-",U35)-1),"")=AW35,IFERROR(--MID(U35,FIND("-",U35)+1,99),"")=AX35),10,5*(SIGN((IFERROR(--LEFT(U35,FIND("-",U35)-1),""))-(IFERROR(--MID(U35,FIND("-",U35)+1,99),"")))=SIGN((AW35)-(AX35)))+2*(((IFERROR(--LEFT(U35,FIND("-",U35)-1),""))-(IFERROR(--MID(U35,FIND("-",U35)+1,99),"")))=((AW35)-(AX35)))+2*((IFERROR(--LEFT(U35,FIND("-",U35)-1),""))=(AW35))+2*((IFERROR(--MID(U35,FIND("-",U35)+1,99),""))=(AX35))),""))</f>
        <v>7</v>
      </c>
      <c r="W35" s="10" t="s">
        <v>36</v>
      </c>
      <c r="X35" s="11">
        <f>IF(OR($C35="",W35=""),"",IFERROR(IF(AND(IFERROR(--LEFT(W35,FIND("-",W35)-1),"")=AW35,IFERROR(--MID(W35,FIND("-",W35)+1,99),"")=AX35),10,5*(SIGN((IFERROR(--LEFT(W35,FIND("-",W35)-1),""))-(IFERROR(--MID(W35,FIND("-",W35)+1,99),"")))=SIGN((AW35)-(AX35)))+2*(((IFERROR(--LEFT(W35,FIND("-",W35)-1),""))-(IFERROR(--MID(W35,FIND("-",W35)+1,99),"")))=((AW35)-(AX35)))+2*((IFERROR(--LEFT(W35,FIND("-",W35)-1),""))=(AW35))+2*((IFERROR(--MID(W35,FIND("-",W35)+1,99),""))=(AX35))),""))</f>
        <v>7</v>
      </c>
      <c r="Y35" s="10" t="s">
        <v>36</v>
      </c>
      <c r="Z35" s="11">
        <f>IF(OR($C35="",Y35=""),"",IFERROR(IF(AND(IFERROR(--LEFT(Y35,FIND("-",Y35)-1),"")=AW35,IFERROR(--MID(Y35,FIND("-",Y35)+1,99),"")=AX35),10,5*(SIGN((IFERROR(--LEFT(Y35,FIND("-",Y35)-1),""))-(IFERROR(--MID(Y35,FIND("-",Y35)+1,99),"")))=SIGN((AW35)-(AX35)))+2*(((IFERROR(--LEFT(Y35,FIND("-",Y35)-1),""))-(IFERROR(--MID(Y35,FIND("-",Y35)+1,99),"")))=((AW35)-(AX35)))+2*((IFERROR(--LEFT(Y35,FIND("-",Y35)-1),""))=(AW35))+2*((IFERROR(--MID(Y35,FIND("-",Y35)+1,99),""))=(AX35))),""))</f>
        <v>7</v>
      </c>
      <c r="AA35" s="10" t="s">
        <v>34</v>
      </c>
      <c r="AB35" s="11">
        <f>IF(OR($C35="",AA35=""),"",IFERROR(IF(AND(IFERROR(--LEFT(AA35,FIND("-",AA35)-1),"")=AW35,IFERROR(--MID(AA35,FIND("-",AA35)+1,99),"")=AX35),10,5*(SIGN((IFERROR(--LEFT(AA35,FIND("-",AA35)-1),""))-(IFERROR(--MID(AA35,FIND("-",AA35)+1,99),"")))=SIGN((AW35)-(AX35)))+2*(((IFERROR(--LEFT(AA35,FIND("-",AA35)-1),""))-(IFERROR(--MID(AA35,FIND("-",AA35)+1,99),"")))=((AW35)-(AX35)))+2*((IFERROR(--LEFT(AA35,FIND("-",AA35)-1),""))=(AW35))+2*((IFERROR(--MID(AA35,FIND("-",AA35)+1,99),""))=(AX35))),""))</f>
        <v>7</v>
      </c>
      <c r="AC35" s="10" t="s">
        <v>34</v>
      </c>
      <c r="AD35" s="11">
        <f>IF(OR($C35="",AC35=""),"",IFERROR(IF(AND(IFERROR(--LEFT(AC35,FIND("-",AC35)-1),"")=AW35,IFERROR(--MID(AC35,FIND("-",AC35)+1,99),"")=AX35),10,5*(SIGN((IFERROR(--LEFT(AC35,FIND("-",AC35)-1),""))-(IFERROR(--MID(AC35,FIND("-",AC35)+1,99),"")))=SIGN((AW35)-(AX35)))+2*(((IFERROR(--LEFT(AC35,FIND("-",AC35)-1),""))-(IFERROR(--MID(AC35,FIND("-",AC35)+1,99),"")))=((AW35)-(AX35)))+2*((IFERROR(--LEFT(AC35,FIND("-",AC35)-1),""))=(AW35))+2*((IFERROR(--MID(AC35,FIND("-",AC35)+1,99),""))=(AX35))),""))</f>
        <v>7</v>
      </c>
      <c r="AE35" s="10" t="s">
        <v>38</v>
      </c>
      <c r="AF35" s="11">
        <f>IF(OR($C35="",AE35=""),"",IFERROR(IF(AND(IFERROR(--LEFT(AE35,FIND("-",AE35)-1),"")=AW35,IFERROR(--MID(AE35,FIND("-",AE35)+1,99),"")=AX35),10,5*(SIGN((IFERROR(--LEFT(AE35,FIND("-",AE35)-1),""))-(IFERROR(--MID(AE35,FIND("-",AE35)+1,99),"")))=SIGN((AW35)-(AX35)))+2*(((IFERROR(--LEFT(AE35,FIND("-",AE35)-1),""))-(IFERROR(--MID(AE35,FIND("-",AE35)+1,99),"")))=((AW35)-(AX35)))+2*((IFERROR(--LEFT(AE35,FIND("-",AE35)-1),""))=(AW35))+2*((IFERROR(--MID(AE35,FIND("-",AE35)+1,99),""))=(AX35))),""))</f>
        <v>10</v>
      </c>
      <c r="AG35" s="10" t="s">
        <v>34</v>
      </c>
      <c r="AH35" s="11">
        <f>IF(OR($C35="",AG35=""),"",IFERROR(IF(AND(IFERROR(--LEFT(AG35,FIND("-",AG35)-1),"")=AW35,IFERROR(--MID(AG35,FIND("-",AG35)+1,99),"")=AX35),10,5*(SIGN((IFERROR(--LEFT(AG35,FIND("-",AG35)-1),""))-(IFERROR(--MID(AG35,FIND("-",AG35)+1,99),"")))=SIGN((AW35)-(AX35)))+2*(((IFERROR(--LEFT(AG35,FIND("-",AG35)-1),""))-(IFERROR(--MID(AG35,FIND("-",AG35)+1,99),"")))=((AW35)-(AX35)))+2*((IFERROR(--LEFT(AG35,FIND("-",AG35)-1),""))=(AW35))+2*((IFERROR(--MID(AG35,FIND("-",AG35)+1,99),""))=(AX35))),""))</f>
        <v>7</v>
      </c>
      <c r="AI35" s="10" t="s">
        <v>33</v>
      </c>
      <c r="AJ35" s="11">
        <f>IF(OR($C35="",AI35=""),"",IFERROR(IF(AND(IFERROR(--LEFT(AI35,FIND("-",AI35)-1),"")=AW35,IFERROR(--MID(AI35,FIND("-",AI35)+1,99),"")=AX35),10,5*(SIGN((IFERROR(--LEFT(AI35,FIND("-",AI35)-1),""))-(IFERROR(--MID(AI35,FIND("-",AI35)+1,99),"")))=SIGN((AW35)-(AX35)))+2*(((IFERROR(--LEFT(AI35,FIND("-",AI35)-1),""))-(IFERROR(--MID(AI35,FIND("-",AI35)+1,99),"")))=((AW35)-(AX35)))+2*((IFERROR(--LEFT(AI35,FIND("-",AI35)-1),""))=(AW35))+2*((IFERROR(--MID(AI35,FIND("-",AI35)+1,99),""))=(AX35))),""))</f>
        <v>5</v>
      </c>
      <c r="AK35" s="10" t="s">
        <v>36</v>
      </c>
      <c r="AL35" s="11">
        <f>IF(OR($C35="",AK35=""),"",IFERROR(IF(AND(IFERROR(--LEFT(AK35,FIND("-",AK35)-1),"")=AW35,IFERROR(--MID(AK35,FIND("-",AK35)+1,99),"")=AX35),10,5*(SIGN((IFERROR(--LEFT(AK35,FIND("-",AK35)-1),""))-(IFERROR(--MID(AK35,FIND("-",AK35)+1,99),"")))=SIGN((AW35)-(AX35)))+2*(((IFERROR(--LEFT(AK35,FIND("-",AK35)-1),""))-(IFERROR(--MID(AK35,FIND("-",AK35)+1,99),"")))=((AW35)-(AX35)))+2*((IFERROR(--LEFT(AK35,FIND("-",AK35)-1),""))=(AW35))+2*((IFERROR(--MID(AK35,FIND("-",AK35)+1,99),""))=(AX35))),""))</f>
        <v>7</v>
      </c>
      <c r="AM35" s="10" t="s">
        <v>39</v>
      </c>
      <c r="AN35" s="11">
        <f>IF(OR($C35="",AM35=""),"",IFERROR(IF(AND(IFERROR(--LEFT(AM35,FIND("-",AM35)-1),"")=AW35,IFERROR(--MID(AM35,FIND("-",AM35)+1,99),"")=AX35),10,5*(SIGN((IFERROR(--LEFT(AM35,FIND("-",AM35)-1),""))-(IFERROR(--MID(AM35,FIND("-",AM35)+1,99),"")))=SIGN((AW35)-(AX35)))+2*(((IFERROR(--LEFT(AM35,FIND("-",AM35)-1),""))-(IFERROR(--MID(AM35,FIND("-",AM35)+1,99),"")))=((AW35)-(AX35)))+2*((IFERROR(--LEFT(AM35,FIND("-",AM35)-1),""))=(AW35))+2*((IFERROR(--MID(AM35,FIND("-",AM35)+1,99),""))=(AX35))),""))</f>
        <v>7</v>
      </c>
      <c r="AO35" s="10" t="s">
        <v>33</v>
      </c>
      <c r="AP35" s="11">
        <f>IF(OR($C35="",AO35=""),"",IFERROR(IF(AND(IFERROR(--LEFT(AO35,FIND("-",AO35)-1),"")=AW35,IFERROR(--MID(AO35,FIND("-",AO35)+1,99),"")=AX35),10,5*(SIGN((IFERROR(--LEFT(AO35,FIND("-",AO35)-1),""))-(IFERROR(--MID(AO35,FIND("-",AO35)+1,99),"")))=SIGN((AW35)-(AX35)))+2*(((IFERROR(--LEFT(AO35,FIND("-",AO35)-1),""))-(IFERROR(--MID(AO35,FIND("-",AO35)+1,99),"")))=((AW35)-(AX35)))+2*((IFERROR(--LEFT(AO35,FIND("-",AO35)-1),""))=(AW35))+2*((IFERROR(--MID(AO35,FIND("-",AO35)+1,99),""))=(AX35))),""))</f>
        <v>5</v>
      </c>
      <c r="AQ35" s="10" t="s">
        <v>33</v>
      </c>
      <c r="AR35" s="11">
        <f t="shared" si="2"/>
        <v>5</v>
      </c>
      <c r="AS35" s="10" t="s">
        <v>39</v>
      </c>
      <c r="AT35" s="11">
        <f t="shared" si="3"/>
        <v>7</v>
      </c>
      <c r="AU35" s="10" t="s">
        <v>36</v>
      </c>
      <c r="AV35" s="11">
        <f>IF(OR($C35="",AU35=""),"",IFERROR(IF(AND(IFERROR(--LEFT(AU35,FIND("-",AU35)-1),"")=AW35,IFERROR(--MID(AU35,FIND("-",AU35)+1,99),"")=AX35),10,5*(SIGN((IFERROR(--LEFT(AU35,FIND("-",AU35)-1),""))-(IFERROR(--MID(AU35,FIND("-",AU35)+1,99),"")))=SIGN((AW35)-(AX35)))+2*(((IFERROR(--LEFT(AU35,FIND("-",AU35)-1),""))-(IFERROR(--MID(AU35,FIND("-",AU35)+1,99),"")))=((AW35)-(AX35)))+2*((IFERROR(--LEFT(AU35,FIND("-",AU35)-1),""))=(AW35))+2*((IFERROR(--MID(AU35,FIND("-",AU35)+1,99),""))=(AX35))),""))</f>
        <v>7</v>
      </c>
      <c r="AW35" s="11">
        <f>IF($C35="","",IFERROR(--LEFT($C35,FIND("-",$C35)-1),""))</f>
        <v>3</v>
      </c>
      <c r="AX35" s="11">
        <f>IF($C35="","",IFERROR(--MID($C35,FIND("-",$C35)+1,99),""))</f>
        <v>0</v>
      </c>
    </row>
    <row r="36" spans="1:50" ht="18" customHeight="1" x14ac:dyDescent="0.3">
      <c r="A36" s="9">
        <v>1.25</v>
      </c>
      <c r="B36" s="18" t="s">
        <v>97</v>
      </c>
      <c r="C36" s="10" t="s">
        <v>34</v>
      </c>
      <c r="D36" s="1" t="s">
        <v>98</v>
      </c>
      <c r="E36" s="10" t="s">
        <v>36</v>
      </c>
      <c r="F36" s="11">
        <f>IF(OR($C36="",E36=""),"",IFERROR(IF(AND(IFERROR(--LEFT(E36,FIND("-",E36)-1),"")=AW36,IFERROR(--MID(E36,FIND("-",E36)+1,99),"")=AX36),10,5*(SIGN((IFERROR(--LEFT(E36,FIND("-",E36)-1),""))-(IFERROR(--MID(E36,FIND("-",E36)+1,99),"")))=SIGN((AW36)-(AX36)))+2*(((IFERROR(--LEFT(E36,FIND("-",E36)-1),""))-(IFERROR(--MID(E36,FIND("-",E36)+1,99),"")))=((AW36)-(AX36)))+2*((IFERROR(--LEFT(E36,FIND("-",E36)-1),""))=(AW36))+2*((IFERROR(--MID(E36,FIND("-",E36)+1,99),""))=(AX36))),""))</f>
        <v>7</v>
      </c>
      <c r="G36" s="10" t="s">
        <v>33</v>
      </c>
      <c r="H36" s="11">
        <f>IF(OR($C36="",G36=""),"",IFERROR(IF(AND(IFERROR(--LEFT(G36,FIND("-",G36)-1),"")=AW36,IFERROR(--MID(G36,FIND("-",G36)+1,99),"")=AX36),10,5*(SIGN((IFERROR(--LEFT(G36,FIND("-",G36)-1),""))-(IFERROR(--MID(G36,FIND("-",G36)+1,99),"")))=SIGN((AW36)-(AX36)))+2*(((IFERROR(--LEFT(G36,FIND("-",G36)-1),""))-(IFERROR(--MID(G36,FIND("-",G36)+1,99),"")))=((AW36)-(AX36)))+2*((IFERROR(--LEFT(G36,FIND("-",G36)-1),""))=(AW36))+2*((IFERROR(--MID(G36,FIND("-",G36)+1,99),""))=(AX36))),""))</f>
        <v>7</v>
      </c>
      <c r="I36" s="10" t="s">
        <v>37</v>
      </c>
      <c r="J36" s="11">
        <f>IF(OR($C36="",I36=""),"",IFERROR(IF(AND(IFERROR(--LEFT(I36,FIND("-",I36)-1),"")=AW36,IFERROR(--MID(I36,FIND("-",I36)+1,99),"")=AX36),10,5*(SIGN((IFERROR(--LEFT(I36,FIND("-",I36)-1),""))-(IFERROR(--MID(I36,FIND("-",I36)+1,99),"")))=SIGN((AW36)-(AX36)))+2*(((IFERROR(--LEFT(I36,FIND("-",I36)-1),""))-(IFERROR(--MID(I36,FIND("-",I36)+1,99),"")))=((AW36)-(AX36)))+2*((IFERROR(--LEFT(I36,FIND("-",I36)-1),""))=(AW36))+2*((IFERROR(--MID(I36,FIND("-",I36)+1,99),""))=(AX36))),""))</f>
        <v>0</v>
      </c>
      <c r="K36" s="10" t="s">
        <v>35</v>
      </c>
      <c r="L36" s="11">
        <f>IF(OR($C36="",K36=""),"",IFERROR(IF(AND(IFERROR(--LEFT(K36,FIND("-",K36)-1),"")=AW36,IFERROR(--MID(K36,FIND("-",K36)+1,99),"")=AX36),10,5*(SIGN((IFERROR(--LEFT(K36,FIND("-",K36)-1),""))-(IFERROR(--MID(K36,FIND("-",K36)+1,99),"")))=SIGN((AW36)-(AX36)))+2*(((IFERROR(--LEFT(K36,FIND("-",K36)-1),""))-(IFERROR(--MID(K36,FIND("-",K36)+1,99),"")))=((AW36)-(AX36)))+2*((IFERROR(--LEFT(K36,FIND("-",K36)-1),""))=(AW36))+2*((IFERROR(--MID(K36,FIND("-",K36)+1,99),""))=(AX36))),""))</f>
        <v>2</v>
      </c>
      <c r="M36" s="10" t="s">
        <v>35</v>
      </c>
      <c r="N36" s="11">
        <f>IF(OR($C36="",M36=""),"",IFERROR(IF(AND(IFERROR(--LEFT(M36,FIND("-",M36)-1),"")=AW36,IFERROR(--MID(M36,FIND("-",M36)+1,99),"")=AX36),10,5*(SIGN((IFERROR(--LEFT(M36,FIND("-",M36)-1),""))-(IFERROR(--MID(M36,FIND("-",M36)+1,99),"")))=SIGN((AW36)-(AX36)))+2*(((IFERROR(--LEFT(M36,FIND("-",M36)-1),""))-(IFERROR(--MID(M36,FIND("-",M36)+1,99),"")))=((AW36)-(AX36)))+2*((IFERROR(--LEFT(M36,FIND("-",M36)-1),""))=(AW36))+2*((IFERROR(--MID(M36,FIND("-",M36)+1,99),""))=(AX36))),""))</f>
        <v>2</v>
      </c>
      <c r="O36" s="10" t="s">
        <v>36</v>
      </c>
      <c r="P36" s="11">
        <f>IF(OR($C36="",O36=""),"",IFERROR(IF(AND(IFERROR(--LEFT(O36,FIND("-",O36)-1),"")=AW36,IFERROR(--MID(O36,FIND("-",O36)+1,99),"")=AX36),10,5*(SIGN((IFERROR(--LEFT(O36,FIND("-",O36)-1),""))-(IFERROR(--MID(O36,FIND("-",O36)+1,99),"")))=SIGN((AW36)-(AX36)))+2*(((IFERROR(--LEFT(O36,FIND("-",O36)-1),""))-(IFERROR(--MID(O36,FIND("-",O36)+1,99),"")))=((AW36)-(AX36)))+2*((IFERROR(--LEFT(O36,FIND("-",O36)-1),""))=(AW36))+2*((IFERROR(--MID(O36,FIND("-",O36)+1,99),""))=(AX36))),""))</f>
        <v>7</v>
      </c>
      <c r="Q36" s="10" t="s">
        <v>36</v>
      </c>
      <c r="R36" s="11">
        <f>IF(OR($C36="",Q36=""),"",IFERROR(IF(AND(IFERROR(--LEFT(Q36,FIND("-",Q36)-1),"")=AW36,IFERROR(--MID(Q36,FIND("-",Q36)+1,99),"")=AX36),10,5*(SIGN((IFERROR(--LEFT(Q36,FIND("-",Q36)-1),""))-(IFERROR(--MID(Q36,FIND("-",Q36)+1,99),"")))=SIGN((AW36)-(AX36)))+2*(((IFERROR(--LEFT(Q36,FIND("-",Q36)-1),""))-(IFERROR(--MID(Q36,FIND("-",Q36)+1,99),"")))=((AW36)-(AX36)))+2*((IFERROR(--LEFT(Q36,FIND("-",Q36)-1),""))=(AW36))+2*((IFERROR(--MID(Q36,FIND("-",Q36)+1,99),""))=(AX36))),""))</f>
        <v>7</v>
      </c>
      <c r="S36" s="10" t="s">
        <v>49</v>
      </c>
      <c r="T36" s="11">
        <f>IF(OR($C36="",S36=""),"",IFERROR(IF(AND(IFERROR(--LEFT(S36,FIND("-",S36)-1),"")=AW36,IFERROR(--MID(S36,FIND("-",S36)+1,99),"")=AX36),10,5*(SIGN((IFERROR(--LEFT(S36,FIND("-",S36)-1),""))-(IFERROR(--MID(S36,FIND("-",S36)+1,99),"")))=SIGN((AW36)-(AX36)))+2*(((IFERROR(--LEFT(S36,FIND("-",S36)-1),""))-(IFERROR(--MID(S36,FIND("-",S36)+1,99),"")))=((AW36)-(AX36)))+2*((IFERROR(--LEFT(S36,FIND("-",S36)-1),""))=(AW36))+2*((IFERROR(--MID(S36,FIND("-",S36)+1,99),""))=(AX36))),""))</f>
        <v>0</v>
      </c>
      <c r="U36" s="10" t="s">
        <v>36</v>
      </c>
      <c r="V36" s="11">
        <f>IF(OR($C36="",U36=""),"",IFERROR(IF(AND(IFERROR(--LEFT(U36,FIND("-",U36)-1),"")=AW36,IFERROR(--MID(U36,FIND("-",U36)+1,99),"")=AX36),10,5*(SIGN((IFERROR(--LEFT(U36,FIND("-",U36)-1),""))-(IFERROR(--MID(U36,FIND("-",U36)+1,99),"")))=SIGN((AW36)-(AX36)))+2*(((IFERROR(--LEFT(U36,FIND("-",U36)-1),""))-(IFERROR(--MID(U36,FIND("-",U36)+1,99),"")))=((AW36)-(AX36)))+2*((IFERROR(--LEFT(U36,FIND("-",U36)-1),""))=(AW36))+2*((IFERROR(--MID(U36,FIND("-",U36)+1,99),""))=(AX36))),""))</f>
        <v>7</v>
      </c>
      <c r="W36" s="10" t="s">
        <v>36</v>
      </c>
      <c r="X36" s="11">
        <f>IF(OR($C36="",W36=""),"",IFERROR(IF(AND(IFERROR(--LEFT(W36,FIND("-",W36)-1),"")=AW36,IFERROR(--MID(W36,FIND("-",W36)+1,99),"")=AX36),10,5*(SIGN((IFERROR(--LEFT(W36,FIND("-",W36)-1),""))-(IFERROR(--MID(W36,FIND("-",W36)+1,99),"")))=SIGN((AW36)-(AX36)))+2*(((IFERROR(--LEFT(W36,FIND("-",W36)-1),""))-(IFERROR(--MID(W36,FIND("-",W36)+1,99),"")))=((AW36)-(AX36)))+2*((IFERROR(--LEFT(W36,FIND("-",W36)-1),""))=(AW36))+2*((IFERROR(--MID(W36,FIND("-",W36)+1,99),""))=(AX36))),""))</f>
        <v>7</v>
      </c>
      <c r="Y36" s="10" t="s">
        <v>36</v>
      </c>
      <c r="Z36" s="11">
        <f>IF(OR($C36="",Y36=""),"",IFERROR(IF(AND(IFERROR(--LEFT(Y36,FIND("-",Y36)-1),"")=AW36,IFERROR(--MID(Y36,FIND("-",Y36)+1,99),"")=AX36),10,5*(SIGN((IFERROR(--LEFT(Y36,FIND("-",Y36)-1),""))-(IFERROR(--MID(Y36,FIND("-",Y36)+1,99),"")))=SIGN((AW36)-(AX36)))+2*(((IFERROR(--LEFT(Y36,FIND("-",Y36)-1),""))-(IFERROR(--MID(Y36,FIND("-",Y36)+1,99),"")))=((AW36)-(AX36)))+2*((IFERROR(--LEFT(Y36,FIND("-",Y36)-1),""))=(AW36))+2*((IFERROR(--MID(Y36,FIND("-",Y36)+1,99),""))=(AX36))),""))</f>
        <v>7</v>
      </c>
      <c r="AA36" s="10" t="s">
        <v>36</v>
      </c>
      <c r="AB36" s="11">
        <f>IF(OR($C36="",AA36=""),"",IFERROR(IF(AND(IFERROR(--LEFT(AA36,FIND("-",AA36)-1),"")=AW36,IFERROR(--MID(AA36,FIND("-",AA36)+1,99),"")=AX36),10,5*(SIGN((IFERROR(--LEFT(AA36,FIND("-",AA36)-1),""))-(IFERROR(--MID(AA36,FIND("-",AA36)+1,99),"")))=SIGN((AW36)-(AX36)))+2*(((IFERROR(--LEFT(AA36,FIND("-",AA36)-1),""))-(IFERROR(--MID(AA36,FIND("-",AA36)+1,99),"")))=((AW36)-(AX36)))+2*((IFERROR(--LEFT(AA36,FIND("-",AA36)-1),""))=(AW36))+2*((IFERROR(--MID(AA36,FIND("-",AA36)+1,99),""))=(AX36))),""))</f>
        <v>7</v>
      </c>
      <c r="AC36" s="10" t="s">
        <v>61</v>
      </c>
      <c r="AD36" s="11">
        <f>IF(OR($C36="",AC36=""),"",IFERROR(IF(AND(IFERROR(--LEFT(AC36,FIND("-",AC36)-1),"")=AW36,IFERROR(--MID(AC36,FIND("-",AC36)+1,99),"")=AX36),10,5*(SIGN((IFERROR(--LEFT(AC36,FIND("-",AC36)-1),""))-(IFERROR(--MID(AC36,FIND("-",AC36)+1,99),"")))=SIGN((AW36)-(AX36)))+2*(((IFERROR(--LEFT(AC36,FIND("-",AC36)-1),""))-(IFERROR(--MID(AC36,FIND("-",AC36)+1,99),"")))=((AW36)-(AX36)))+2*((IFERROR(--LEFT(AC36,FIND("-",AC36)-1),""))=(AW36))+2*((IFERROR(--MID(AC36,FIND("-",AC36)+1,99),""))=(AX36))),""))</f>
        <v>7</v>
      </c>
      <c r="AE36" s="10" t="s">
        <v>36</v>
      </c>
      <c r="AF36" s="11">
        <f>IF(OR($C36="",AE36=""),"",IFERROR(IF(AND(IFERROR(--LEFT(AE36,FIND("-",AE36)-1),"")=AW36,IFERROR(--MID(AE36,FIND("-",AE36)+1,99),"")=AX36),10,5*(SIGN((IFERROR(--LEFT(AE36,FIND("-",AE36)-1),""))-(IFERROR(--MID(AE36,FIND("-",AE36)+1,99),"")))=SIGN((AW36)-(AX36)))+2*(((IFERROR(--LEFT(AE36,FIND("-",AE36)-1),""))-(IFERROR(--MID(AE36,FIND("-",AE36)+1,99),"")))=((AW36)-(AX36)))+2*((IFERROR(--LEFT(AE36,FIND("-",AE36)-1),""))=(AW36))+2*((IFERROR(--MID(AE36,FIND("-",AE36)+1,99),""))=(AX36))),""))</f>
        <v>7</v>
      </c>
      <c r="AG36" s="10" t="s">
        <v>39</v>
      </c>
      <c r="AH36" s="11">
        <f>IF(OR($C36="",AG36=""),"",IFERROR(IF(AND(IFERROR(--LEFT(AG36,FIND("-",AG36)-1),"")=AW36,IFERROR(--MID(AG36,FIND("-",AG36)+1,99),"")=AX36),10,5*(SIGN((IFERROR(--LEFT(AG36,FIND("-",AG36)-1),""))-(IFERROR(--MID(AG36,FIND("-",AG36)+1,99),"")))=SIGN((AW36)-(AX36)))+2*(((IFERROR(--LEFT(AG36,FIND("-",AG36)-1),""))-(IFERROR(--MID(AG36,FIND("-",AG36)+1,99),"")))=((AW36)-(AX36)))+2*((IFERROR(--LEFT(AG36,FIND("-",AG36)-1),""))=(AW36))+2*((IFERROR(--MID(AG36,FIND("-",AG36)+1,99),""))=(AX36))),""))</f>
        <v>5</v>
      </c>
      <c r="AI36" s="10" t="s">
        <v>38</v>
      </c>
      <c r="AJ36" s="11">
        <f>IF(OR($C36="",AI36=""),"",IFERROR(IF(AND(IFERROR(--LEFT(AI36,FIND("-",AI36)-1),"")=AW36,IFERROR(--MID(AI36,FIND("-",AI36)+1,99),"")=AX36),10,5*(SIGN((IFERROR(--LEFT(AI36,FIND("-",AI36)-1),""))-(IFERROR(--MID(AI36,FIND("-",AI36)+1,99),"")))=SIGN((AW36)-(AX36)))+2*(((IFERROR(--LEFT(AI36,FIND("-",AI36)-1),""))-(IFERROR(--MID(AI36,FIND("-",AI36)+1,99),"")))=((AW36)-(AX36)))+2*((IFERROR(--LEFT(AI36,FIND("-",AI36)-1),""))=(AW36))+2*((IFERROR(--MID(AI36,FIND("-",AI36)+1,99),""))=(AX36))),""))</f>
        <v>7</v>
      </c>
      <c r="AK36" s="10" t="s">
        <v>36</v>
      </c>
      <c r="AL36" s="11">
        <f>IF(OR($C36="",AK36=""),"",IFERROR(IF(AND(IFERROR(--LEFT(AK36,FIND("-",AK36)-1),"")=AW36,IFERROR(--MID(AK36,FIND("-",AK36)+1,99),"")=AX36),10,5*(SIGN((IFERROR(--LEFT(AK36,FIND("-",AK36)-1),""))-(IFERROR(--MID(AK36,FIND("-",AK36)+1,99),"")))=SIGN((AW36)-(AX36)))+2*(((IFERROR(--LEFT(AK36,FIND("-",AK36)-1),""))-(IFERROR(--MID(AK36,FIND("-",AK36)+1,99),"")))=((AW36)-(AX36)))+2*((IFERROR(--LEFT(AK36,FIND("-",AK36)-1),""))=(AW36))+2*((IFERROR(--MID(AK36,FIND("-",AK36)+1,99),""))=(AX36))),""))</f>
        <v>7</v>
      </c>
      <c r="AM36" s="10" t="s">
        <v>35</v>
      </c>
      <c r="AN36" s="11">
        <f>IF(OR($C36="",AM36=""),"",IFERROR(IF(AND(IFERROR(--LEFT(AM36,FIND("-",AM36)-1),"")=AW36,IFERROR(--MID(AM36,FIND("-",AM36)+1,99),"")=AX36),10,5*(SIGN((IFERROR(--LEFT(AM36,FIND("-",AM36)-1),""))-(IFERROR(--MID(AM36,FIND("-",AM36)+1,99),"")))=SIGN((AW36)-(AX36)))+2*(((IFERROR(--LEFT(AM36,FIND("-",AM36)-1),""))-(IFERROR(--MID(AM36,FIND("-",AM36)+1,99),"")))=((AW36)-(AX36)))+2*((IFERROR(--LEFT(AM36,FIND("-",AM36)-1),""))=(AW36))+2*((IFERROR(--MID(AM36,FIND("-",AM36)+1,99),""))=(AX36))),""))</f>
        <v>2</v>
      </c>
      <c r="AO36" s="10" t="s">
        <v>36</v>
      </c>
      <c r="AP36" s="11">
        <f>IF(OR($C36="",AO36=""),"",IFERROR(IF(AND(IFERROR(--LEFT(AO36,FIND("-",AO36)-1),"")=AW36,IFERROR(--MID(AO36,FIND("-",AO36)+1,99),"")=AX36),10,5*(SIGN((IFERROR(--LEFT(AO36,FIND("-",AO36)-1),""))-(IFERROR(--MID(AO36,FIND("-",AO36)+1,99),"")))=SIGN((AW36)-(AX36)))+2*(((IFERROR(--LEFT(AO36,FIND("-",AO36)-1),""))-(IFERROR(--MID(AO36,FIND("-",AO36)+1,99),"")))=((AW36)-(AX36)))+2*((IFERROR(--LEFT(AO36,FIND("-",AO36)-1),""))=(AW36))+2*((IFERROR(--MID(AO36,FIND("-",AO36)+1,99),""))=(AX36))),""))</f>
        <v>7</v>
      </c>
      <c r="AQ36" s="10" t="s">
        <v>37</v>
      </c>
      <c r="AR36" s="11">
        <f t="shared" si="2"/>
        <v>0</v>
      </c>
      <c r="AS36" s="10" t="s">
        <v>39</v>
      </c>
      <c r="AT36" s="11">
        <f t="shared" si="3"/>
        <v>5</v>
      </c>
      <c r="AU36" s="10" t="s">
        <v>38</v>
      </c>
      <c r="AV36" s="11">
        <f>IF(OR($C36="",AU36=""),"",IFERROR(IF(AND(IFERROR(--LEFT(AU36,FIND("-",AU36)-1),"")=AW36,IFERROR(--MID(AU36,FIND("-",AU36)+1,99),"")=AX36),10,5*(SIGN((IFERROR(--LEFT(AU36,FIND("-",AU36)-1),""))-(IFERROR(--MID(AU36,FIND("-",AU36)+1,99),"")))=SIGN((AW36)-(AX36)))+2*(((IFERROR(--LEFT(AU36,FIND("-",AU36)-1),""))-(IFERROR(--MID(AU36,FIND("-",AU36)+1,99),"")))=((AW36)-(AX36)))+2*((IFERROR(--LEFT(AU36,FIND("-",AU36)-1),""))=(AW36))+2*((IFERROR(--MID(AU36,FIND("-",AU36)+1,99),""))=(AX36))),""))</f>
        <v>7</v>
      </c>
      <c r="AW36" s="11">
        <f>IF($C36="","",IFERROR(--LEFT($C36,FIND("-",$C36)-1),""))</f>
        <v>3</v>
      </c>
      <c r="AX36" s="11">
        <f>IF($C36="","",IFERROR(--MID($C36,FIND("-",$C36)+1,99),""))</f>
        <v>1</v>
      </c>
    </row>
    <row r="37" spans="1:50" ht="18" customHeight="1" x14ac:dyDescent="0.3">
      <c r="A37" s="9">
        <v>1.791666666666667</v>
      </c>
      <c r="B37" s="18" t="s">
        <v>99</v>
      </c>
      <c r="C37" s="10" t="s">
        <v>35</v>
      </c>
      <c r="D37" s="1" t="s">
        <v>100</v>
      </c>
      <c r="E37" s="10" t="s">
        <v>38</v>
      </c>
      <c r="F37" s="11">
        <f>IF(OR($C37="",E37=""),"",IFERROR(IF(AND(IFERROR(--LEFT(E37,FIND("-",E37)-1),"")=AW37,IFERROR(--MID(E37,FIND("-",E37)+1,99),"")=AX37),10,5*(SIGN((IFERROR(--LEFT(E37,FIND("-",E37)-1),""))-(IFERROR(--MID(E37,FIND("-",E37)+1,99),"")))=SIGN((AW37)-(AX37)))+2*(((IFERROR(--LEFT(E37,FIND("-",E37)-1),""))-(IFERROR(--MID(E37,FIND("-",E37)+1,99),"")))=((AW37)-(AX37)))+2*((IFERROR(--LEFT(E37,FIND("-",E37)-1),""))=(AW37))+2*((IFERROR(--MID(E37,FIND("-",E37)+1,99),""))=(AX37))),""))</f>
        <v>0</v>
      </c>
      <c r="G37" s="10" t="s">
        <v>62</v>
      </c>
      <c r="H37" s="11">
        <f>IF(OR($C37="",G37=""),"",IFERROR(IF(AND(IFERROR(--LEFT(G37,FIND("-",G37)-1),"")=AW37,IFERROR(--MID(G37,FIND("-",G37)+1,99),"")=AX37),10,5*(SIGN((IFERROR(--LEFT(G37,FIND("-",G37)-1),""))-(IFERROR(--MID(G37,FIND("-",G37)+1,99),"")))=SIGN((AW37)-(AX37)))+2*(((IFERROR(--LEFT(G37,FIND("-",G37)-1),""))-(IFERROR(--MID(G37,FIND("-",G37)+1,99),"")))=((AW37)-(AX37)))+2*((IFERROR(--LEFT(G37,FIND("-",G37)-1),""))=(AW37))+2*((IFERROR(--MID(G37,FIND("-",G37)+1,99),""))=(AX37))),""))</f>
        <v>0</v>
      </c>
      <c r="I37" s="10" t="s">
        <v>38</v>
      </c>
      <c r="J37" s="11">
        <f>IF(OR($C37="",I37=""),"",IFERROR(IF(AND(IFERROR(--LEFT(I37,FIND("-",I37)-1),"")=AW37,IFERROR(--MID(I37,FIND("-",I37)+1,99),"")=AX37),10,5*(SIGN((IFERROR(--LEFT(I37,FIND("-",I37)-1),""))-(IFERROR(--MID(I37,FIND("-",I37)+1,99),"")))=SIGN((AW37)-(AX37)))+2*(((IFERROR(--LEFT(I37,FIND("-",I37)-1),""))-(IFERROR(--MID(I37,FIND("-",I37)+1,99),"")))=((AW37)-(AX37)))+2*((IFERROR(--LEFT(I37,FIND("-",I37)-1),""))=(AW37))+2*((IFERROR(--MID(I37,FIND("-",I37)+1,99),""))=(AX37))),""))</f>
        <v>0</v>
      </c>
      <c r="K37" s="10" t="s">
        <v>34</v>
      </c>
      <c r="L37" s="11">
        <f>IF(OR($C37="",K37=""),"",IFERROR(IF(AND(IFERROR(--LEFT(K37,FIND("-",K37)-1),"")=AW37,IFERROR(--MID(K37,FIND("-",K37)+1,99),"")=AX37),10,5*(SIGN((IFERROR(--LEFT(K37,FIND("-",K37)-1),""))-(IFERROR(--MID(K37,FIND("-",K37)+1,99),"")))=SIGN((AW37)-(AX37)))+2*(((IFERROR(--LEFT(K37,FIND("-",K37)-1),""))-(IFERROR(--MID(K37,FIND("-",K37)+1,99),"")))=((AW37)-(AX37)))+2*((IFERROR(--LEFT(K37,FIND("-",K37)-1),""))=(AW37))+2*((IFERROR(--MID(K37,FIND("-",K37)+1,99),""))=(AX37))),""))</f>
        <v>2</v>
      </c>
      <c r="M37" s="10" t="s">
        <v>38</v>
      </c>
      <c r="N37" s="11">
        <f>IF(OR($C37="",M37=""),"",IFERROR(IF(AND(IFERROR(--LEFT(M37,FIND("-",M37)-1),"")=AW37,IFERROR(--MID(M37,FIND("-",M37)+1,99),"")=AX37),10,5*(SIGN((IFERROR(--LEFT(M37,FIND("-",M37)-1),""))-(IFERROR(--MID(M37,FIND("-",M37)+1,99),"")))=SIGN((AW37)-(AX37)))+2*(((IFERROR(--LEFT(M37,FIND("-",M37)-1),""))-(IFERROR(--MID(M37,FIND("-",M37)+1,99),"")))=((AW37)-(AX37)))+2*((IFERROR(--LEFT(M37,FIND("-",M37)-1),""))=(AW37))+2*((IFERROR(--MID(M37,FIND("-",M37)+1,99),""))=(AX37))),""))</f>
        <v>0</v>
      </c>
      <c r="O37" s="10" t="s">
        <v>63</v>
      </c>
      <c r="P37" s="11">
        <f>IF(OR($C37="",O37=""),"",IFERROR(IF(AND(IFERROR(--LEFT(O37,FIND("-",O37)-1),"")=AW37,IFERROR(--MID(O37,FIND("-",O37)+1,99),"")=AX37),10,5*(SIGN((IFERROR(--LEFT(O37,FIND("-",O37)-1),""))-(IFERROR(--MID(O37,FIND("-",O37)+1,99),"")))=SIGN((AW37)-(AX37)))+2*(((IFERROR(--LEFT(O37,FIND("-",O37)-1),""))-(IFERROR(--MID(O37,FIND("-",O37)+1,99),"")))=((AW37)-(AX37)))+2*((IFERROR(--LEFT(O37,FIND("-",O37)-1),""))=(AW37))+2*((IFERROR(--MID(O37,FIND("-",O37)+1,99),""))=(AX37))),""))</f>
        <v>0</v>
      </c>
      <c r="Q37" s="10" t="s">
        <v>38</v>
      </c>
      <c r="R37" s="11">
        <f>IF(OR($C37="",Q37=""),"",IFERROR(IF(AND(IFERROR(--LEFT(Q37,FIND("-",Q37)-1),"")=AW37,IFERROR(--MID(Q37,FIND("-",Q37)+1,99),"")=AX37),10,5*(SIGN((IFERROR(--LEFT(Q37,FIND("-",Q37)-1),""))-(IFERROR(--MID(Q37,FIND("-",Q37)+1,99),"")))=SIGN((AW37)-(AX37)))+2*(((IFERROR(--LEFT(Q37,FIND("-",Q37)-1),""))-(IFERROR(--MID(Q37,FIND("-",Q37)+1,99),"")))=((AW37)-(AX37)))+2*((IFERROR(--LEFT(Q37,FIND("-",Q37)-1),""))=(AW37))+2*((IFERROR(--MID(Q37,FIND("-",Q37)+1,99),""))=(AX37))),""))</f>
        <v>0</v>
      </c>
      <c r="S37" s="10" t="s">
        <v>43</v>
      </c>
      <c r="T37" s="11">
        <f>IF(OR($C37="",S37=""),"",IFERROR(IF(AND(IFERROR(--LEFT(S37,FIND("-",S37)-1),"")=AW37,IFERROR(--MID(S37,FIND("-",S37)+1,99),"")=AX37),10,5*(SIGN((IFERROR(--LEFT(S37,FIND("-",S37)-1),""))-(IFERROR(--MID(S37,FIND("-",S37)+1,99),"")))=SIGN((AW37)-(AX37)))+2*(((IFERROR(--LEFT(S37,FIND("-",S37)-1),""))-(IFERROR(--MID(S37,FIND("-",S37)+1,99),"")))=((AW37)-(AX37)))+2*((IFERROR(--LEFT(S37,FIND("-",S37)-1),""))=(AW37))+2*((IFERROR(--MID(S37,FIND("-",S37)+1,99),""))=(AX37))),""))</f>
        <v>2</v>
      </c>
      <c r="U37" s="10" t="s">
        <v>36</v>
      </c>
      <c r="V37" s="11">
        <f>IF(OR($C37="",U37=""),"",IFERROR(IF(AND(IFERROR(--LEFT(U37,FIND("-",U37)-1),"")=AW37,IFERROR(--MID(U37,FIND("-",U37)+1,99),"")=AX37),10,5*(SIGN((IFERROR(--LEFT(U37,FIND("-",U37)-1),""))-(IFERROR(--MID(U37,FIND("-",U37)+1,99),"")))=SIGN((AW37)-(AX37)))+2*(((IFERROR(--LEFT(U37,FIND("-",U37)-1),""))-(IFERROR(--MID(U37,FIND("-",U37)+1,99),"")))=((AW37)-(AX37)))+2*((IFERROR(--LEFT(U37,FIND("-",U37)-1),""))=(AW37))+2*((IFERROR(--MID(U37,FIND("-",U37)+1,99),""))=(AX37))),""))</f>
        <v>0</v>
      </c>
      <c r="W37" s="10" t="s">
        <v>36</v>
      </c>
      <c r="X37" s="11">
        <f>IF(OR($C37="",W37=""),"",IFERROR(IF(AND(IFERROR(--LEFT(W37,FIND("-",W37)-1),"")=AW37,IFERROR(--MID(W37,FIND("-",W37)+1,99),"")=AX37),10,5*(SIGN((IFERROR(--LEFT(W37,FIND("-",W37)-1),""))-(IFERROR(--MID(W37,FIND("-",W37)+1,99),"")))=SIGN((AW37)-(AX37)))+2*(((IFERROR(--LEFT(W37,FIND("-",W37)-1),""))-(IFERROR(--MID(W37,FIND("-",W37)+1,99),"")))=((AW37)-(AX37)))+2*((IFERROR(--LEFT(W37,FIND("-",W37)-1),""))=(AW37))+2*((IFERROR(--MID(W37,FIND("-",W37)+1,99),""))=(AX37))),""))</f>
        <v>0</v>
      </c>
      <c r="Y37" s="10" t="s">
        <v>36</v>
      </c>
      <c r="Z37" s="11">
        <f>IF(OR($C37="",Y37=""),"",IFERROR(IF(AND(IFERROR(--LEFT(Y37,FIND("-",Y37)-1),"")=AW37,IFERROR(--MID(Y37,FIND("-",Y37)+1,99),"")=AX37),10,5*(SIGN((IFERROR(--LEFT(Y37,FIND("-",Y37)-1),""))-(IFERROR(--MID(Y37,FIND("-",Y37)+1,99),"")))=SIGN((AW37)-(AX37)))+2*(((IFERROR(--LEFT(Y37,FIND("-",Y37)-1),""))-(IFERROR(--MID(Y37,FIND("-",Y37)+1,99),"")))=((AW37)-(AX37)))+2*((IFERROR(--LEFT(Y37,FIND("-",Y37)-1),""))=(AW37))+2*((IFERROR(--MID(Y37,FIND("-",Y37)+1,99),""))=(AX37))),""))</f>
        <v>0</v>
      </c>
      <c r="AA37" s="10" t="s">
        <v>72</v>
      </c>
      <c r="AB37" s="11">
        <f>IF(OR($C37="",AA37=""),"",IFERROR(IF(AND(IFERROR(--LEFT(AA37,FIND("-",AA37)-1),"")=AW37,IFERROR(--MID(AA37,FIND("-",AA37)+1,99),"")=AX37),10,5*(SIGN((IFERROR(--LEFT(AA37,FIND("-",AA37)-1),""))-(IFERROR(--MID(AA37,FIND("-",AA37)+1,99),"")))=SIGN((AW37)-(AX37)))+2*(((IFERROR(--LEFT(AA37,FIND("-",AA37)-1),""))-(IFERROR(--MID(AA37,FIND("-",AA37)+1,99),"")))=((AW37)-(AX37)))+2*((IFERROR(--LEFT(AA37,FIND("-",AA37)-1),""))=(AW37))+2*((IFERROR(--MID(AA37,FIND("-",AA37)+1,99),""))=(AX37))),""))</f>
        <v>0</v>
      </c>
      <c r="AC37" s="10" t="s">
        <v>36</v>
      </c>
      <c r="AD37" s="11">
        <f>IF(OR($C37="",AC37=""),"",IFERROR(IF(AND(IFERROR(--LEFT(AC37,FIND("-",AC37)-1),"")=AW37,IFERROR(--MID(AC37,FIND("-",AC37)+1,99),"")=AX37),10,5*(SIGN((IFERROR(--LEFT(AC37,FIND("-",AC37)-1),""))-(IFERROR(--MID(AC37,FIND("-",AC37)+1,99),"")))=SIGN((AW37)-(AX37)))+2*(((IFERROR(--LEFT(AC37,FIND("-",AC37)-1),""))-(IFERROR(--MID(AC37,FIND("-",AC37)+1,99),"")))=((AW37)-(AX37)))+2*((IFERROR(--LEFT(AC37,FIND("-",AC37)-1),""))=(AW37))+2*((IFERROR(--MID(AC37,FIND("-",AC37)+1,99),""))=(AX37))),""))</f>
        <v>0</v>
      </c>
      <c r="AE37" s="10" t="s">
        <v>34</v>
      </c>
      <c r="AF37" s="11">
        <f>IF(OR($C37="",AE37=""),"",IFERROR(IF(AND(IFERROR(--LEFT(AE37,FIND("-",AE37)-1),"")=AW37,IFERROR(--MID(AE37,FIND("-",AE37)+1,99),"")=AX37),10,5*(SIGN((IFERROR(--LEFT(AE37,FIND("-",AE37)-1),""))-(IFERROR(--MID(AE37,FIND("-",AE37)+1,99),"")))=SIGN((AW37)-(AX37)))+2*(((IFERROR(--LEFT(AE37,FIND("-",AE37)-1),""))-(IFERROR(--MID(AE37,FIND("-",AE37)+1,99),"")))=((AW37)-(AX37)))+2*((IFERROR(--LEFT(AE37,FIND("-",AE37)-1),""))=(AW37))+2*((IFERROR(--MID(AE37,FIND("-",AE37)+1,99),""))=(AX37))),""))</f>
        <v>2</v>
      </c>
      <c r="AG37" s="10" t="s">
        <v>34</v>
      </c>
      <c r="AH37" s="11">
        <f>IF(OR($C37="",AG37=""),"",IFERROR(IF(AND(IFERROR(--LEFT(AG37,FIND("-",AG37)-1),"")=AW37,IFERROR(--MID(AG37,FIND("-",AG37)+1,99),"")=AX37),10,5*(SIGN((IFERROR(--LEFT(AG37,FIND("-",AG37)-1),""))-(IFERROR(--MID(AG37,FIND("-",AG37)+1,99),"")))=SIGN((AW37)-(AX37)))+2*(((IFERROR(--LEFT(AG37,FIND("-",AG37)-1),""))-(IFERROR(--MID(AG37,FIND("-",AG37)+1,99),"")))=((AW37)-(AX37)))+2*((IFERROR(--LEFT(AG37,FIND("-",AG37)-1),""))=(AW37))+2*((IFERROR(--MID(AG37,FIND("-",AG37)+1,99),""))=(AX37))),""))</f>
        <v>2</v>
      </c>
      <c r="AI37" s="10" t="s">
        <v>36</v>
      </c>
      <c r="AJ37" s="11">
        <f>IF(OR($C37="",AI37=""),"",IFERROR(IF(AND(IFERROR(--LEFT(AI37,FIND("-",AI37)-1),"")=AW37,IFERROR(--MID(AI37,FIND("-",AI37)+1,99),"")=AX37),10,5*(SIGN((IFERROR(--LEFT(AI37,FIND("-",AI37)-1),""))-(IFERROR(--MID(AI37,FIND("-",AI37)+1,99),"")))=SIGN((AW37)-(AX37)))+2*(((IFERROR(--LEFT(AI37,FIND("-",AI37)-1),""))-(IFERROR(--MID(AI37,FIND("-",AI37)+1,99),"")))=((AW37)-(AX37)))+2*((IFERROR(--LEFT(AI37,FIND("-",AI37)-1),""))=(AW37))+2*((IFERROR(--MID(AI37,FIND("-",AI37)+1,99),""))=(AX37))),""))</f>
        <v>0</v>
      </c>
      <c r="AK37" s="10" t="s">
        <v>34</v>
      </c>
      <c r="AL37" s="11">
        <f>IF(OR($C37="",AK37=""),"",IFERROR(IF(AND(IFERROR(--LEFT(AK37,FIND("-",AK37)-1),"")=AW37,IFERROR(--MID(AK37,FIND("-",AK37)+1,99),"")=AX37),10,5*(SIGN((IFERROR(--LEFT(AK37,FIND("-",AK37)-1),""))-(IFERROR(--MID(AK37,FIND("-",AK37)+1,99),"")))=SIGN((AW37)-(AX37)))+2*(((IFERROR(--LEFT(AK37,FIND("-",AK37)-1),""))-(IFERROR(--MID(AK37,FIND("-",AK37)+1,99),"")))=((AW37)-(AX37)))+2*((IFERROR(--LEFT(AK37,FIND("-",AK37)-1),""))=(AW37))+2*((IFERROR(--MID(AK37,FIND("-",AK37)+1,99),""))=(AX37))),""))</f>
        <v>2</v>
      </c>
      <c r="AM37" s="10" t="s">
        <v>36</v>
      </c>
      <c r="AN37" s="11">
        <f>IF(OR($C37="",AM37=""),"",IFERROR(IF(AND(IFERROR(--LEFT(AM37,FIND("-",AM37)-1),"")=AW37,IFERROR(--MID(AM37,FIND("-",AM37)+1,99),"")=AX37),10,5*(SIGN((IFERROR(--LEFT(AM37,FIND("-",AM37)-1),""))-(IFERROR(--MID(AM37,FIND("-",AM37)+1,99),"")))=SIGN((AW37)-(AX37)))+2*(((IFERROR(--LEFT(AM37,FIND("-",AM37)-1),""))-(IFERROR(--MID(AM37,FIND("-",AM37)+1,99),"")))=((AW37)-(AX37)))+2*((IFERROR(--LEFT(AM37,FIND("-",AM37)-1),""))=(AW37))+2*((IFERROR(--MID(AM37,FIND("-",AM37)+1,99),""))=(AX37))),""))</f>
        <v>0</v>
      </c>
      <c r="AO37" s="10" t="s">
        <v>38</v>
      </c>
      <c r="AP37" s="11">
        <f>IF(OR($C37="",AO37=""),"",IFERROR(IF(AND(IFERROR(--LEFT(AO37,FIND("-",AO37)-1),"")=AW37,IFERROR(--MID(AO37,FIND("-",AO37)+1,99),"")=AX37),10,5*(SIGN((IFERROR(--LEFT(AO37,FIND("-",AO37)-1),""))-(IFERROR(--MID(AO37,FIND("-",AO37)+1,99),"")))=SIGN((AW37)-(AX37)))+2*(((IFERROR(--LEFT(AO37,FIND("-",AO37)-1),""))-(IFERROR(--MID(AO37,FIND("-",AO37)+1,99),"")))=((AW37)-(AX37)))+2*((IFERROR(--LEFT(AO37,FIND("-",AO37)-1),""))=(AW37))+2*((IFERROR(--MID(AO37,FIND("-",AO37)+1,99),""))=(AX37))),""))</f>
        <v>0</v>
      </c>
      <c r="AQ37" s="10" t="s">
        <v>39</v>
      </c>
      <c r="AR37" s="11">
        <f t="shared" si="2"/>
        <v>2</v>
      </c>
      <c r="AS37" s="10" t="s">
        <v>39</v>
      </c>
      <c r="AT37" s="11">
        <f t="shared" si="3"/>
        <v>2</v>
      </c>
      <c r="AU37" s="10" t="s">
        <v>43</v>
      </c>
      <c r="AV37" s="11">
        <f>IF(OR($C37="",AU37=""),"",IFERROR(IF(AND(IFERROR(--LEFT(AU37,FIND("-",AU37)-1),"")=AW37,IFERROR(--MID(AU37,FIND("-",AU37)+1,99),"")=AX37),10,5*(SIGN((IFERROR(--LEFT(AU37,FIND("-",AU37)-1),""))-(IFERROR(--MID(AU37,FIND("-",AU37)+1,99),"")))=SIGN((AW37)-(AX37)))+2*(((IFERROR(--LEFT(AU37,FIND("-",AU37)-1),""))-(IFERROR(--MID(AU37,FIND("-",AU37)+1,99),"")))=((AW37)-(AX37)))+2*((IFERROR(--LEFT(AU37,FIND("-",AU37)-1),""))=(AW37))+2*((IFERROR(--MID(AU37,FIND("-",AU37)+1,99),""))=(AX37))),""))</f>
        <v>2</v>
      </c>
      <c r="AW37" s="11">
        <f>IF($C37="","",IFERROR(--LEFT($C37,FIND("-",$C37)-1),""))</f>
        <v>1</v>
      </c>
      <c r="AX37" s="11">
        <f>IF($C37="","",IFERROR(--MID($C37,FIND("-",$C37)+1,99),""))</f>
        <v>1</v>
      </c>
    </row>
    <row r="38" spans="1:50" ht="18" customHeight="1" x14ac:dyDescent="0.3">
      <c r="A38" s="9">
        <v>1.916666666666667</v>
      </c>
      <c r="B38" s="18" t="s">
        <v>101</v>
      </c>
      <c r="C38" s="10" t="s">
        <v>62</v>
      </c>
      <c r="D38" s="1" t="s">
        <v>102</v>
      </c>
      <c r="E38" s="10" t="s">
        <v>35</v>
      </c>
      <c r="F38" s="11">
        <f>IF(OR($C38="",E38=""),"",IFERROR(IF(AND(IFERROR(--LEFT(E38,FIND("-",E38)-1),"")=AW38,IFERROR(--MID(E38,FIND("-",E38)+1,99),"")=AX38),10,5*(SIGN((IFERROR(--LEFT(E38,FIND("-",E38)-1),""))-(IFERROR(--MID(E38,FIND("-",E38)+1,99),"")))=SIGN((AW38)-(AX38)))+2*(((IFERROR(--LEFT(E38,FIND("-",E38)-1),""))-(IFERROR(--MID(E38,FIND("-",E38)+1,99),"")))=((AW38)-(AX38)))+2*((IFERROR(--LEFT(E38,FIND("-",E38)-1),""))=(AW38))+2*((IFERROR(--MID(E38,FIND("-",E38)+1,99),""))=(AX38))),""))</f>
        <v>0</v>
      </c>
      <c r="G38" s="10" t="s">
        <v>49</v>
      </c>
      <c r="H38" s="11">
        <f>IF(OR($C38="",G38=""),"",IFERROR(IF(AND(IFERROR(--LEFT(G38,FIND("-",G38)-1),"")=AW38,IFERROR(--MID(G38,FIND("-",G38)+1,99),"")=AX38),10,5*(SIGN((IFERROR(--LEFT(G38,FIND("-",G38)-1),""))-(IFERROR(--MID(G38,FIND("-",G38)+1,99),"")))=SIGN((AW38)-(AX38)))+2*(((IFERROR(--LEFT(G38,FIND("-",G38)-1),""))-(IFERROR(--MID(G38,FIND("-",G38)+1,99),"")))=((AW38)-(AX38)))+2*((IFERROR(--LEFT(G38,FIND("-",G38)-1),""))=(AW38))+2*((IFERROR(--MID(G38,FIND("-",G38)+1,99),""))=(AX38))),""))</f>
        <v>2</v>
      </c>
      <c r="I38" s="10" t="s">
        <v>33</v>
      </c>
      <c r="J38" s="11">
        <f>IF(OR($C38="",I38=""),"",IFERROR(IF(AND(IFERROR(--LEFT(I38,FIND("-",I38)-1),"")=AW38,IFERROR(--MID(I38,FIND("-",I38)+1,99),"")=AX38),10,5*(SIGN((IFERROR(--LEFT(I38,FIND("-",I38)-1),""))-(IFERROR(--MID(I38,FIND("-",I38)+1,99),"")))=SIGN((AW38)-(AX38)))+2*(((IFERROR(--LEFT(I38,FIND("-",I38)-1),""))-(IFERROR(--MID(I38,FIND("-",I38)+1,99),"")))=((AW38)-(AX38)))+2*((IFERROR(--LEFT(I38,FIND("-",I38)-1),""))=(AW38))+2*((IFERROR(--MID(I38,FIND("-",I38)+1,99),""))=(AX38))),""))</f>
        <v>5</v>
      </c>
      <c r="K38" s="10" t="s">
        <v>61</v>
      </c>
      <c r="L38" s="11">
        <f>IF(OR($C38="",K38=""),"",IFERROR(IF(AND(IFERROR(--LEFT(K38,FIND("-",K38)-1),"")=AW38,IFERROR(--MID(K38,FIND("-",K38)+1,99),"")=AX38),10,5*(SIGN((IFERROR(--LEFT(K38,FIND("-",K38)-1),""))-(IFERROR(--MID(K38,FIND("-",K38)+1,99),"")))=SIGN((AW38)-(AX38)))+2*(((IFERROR(--LEFT(K38,FIND("-",K38)-1),""))-(IFERROR(--MID(K38,FIND("-",K38)+1,99),"")))=((AW38)-(AX38)))+2*((IFERROR(--LEFT(K38,FIND("-",K38)-1),""))=(AW38))+2*((IFERROR(--MID(K38,FIND("-",K38)+1,99),""))=(AX38))),""))</f>
        <v>7</v>
      </c>
      <c r="M38" s="10" t="s">
        <v>49</v>
      </c>
      <c r="N38" s="11">
        <f>IF(OR($C38="",M38=""),"",IFERROR(IF(AND(IFERROR(--LEFT(M38,FIND("-",M38)-1),"")=AW38,IFERROR(--MID(M38,FIND("-",M38)+1,99),"")=AX38),10,5*(SIGN((IFERROR(--LEFT(M38,FIND("-",M38)-1),""))-(IFERROR(--MID(M38,FIND("-",M38)+1,99),"")))=SIGN((AW38)-(AX38)))+2*(((IFERROR(--LEFT(M38,FIND("-",M38)-1),""))-(IFERROR(--MID(M38,FIND("-",M38)+1,99),"")))=((AW38)-(AX38)))+2*((IFERROR(--LEFT(M38,FIND("-",M38)-1),""))=(AW38))+2*((IFERROR(--MID(M38,FIND("-",M38)+1,99),""))=(AX38))),""))</f>
        <v>2</v>
      </c>
      <c r="O38" s="10" t="s">
        <v>33</v>
      </c>
      <c r="P38" s="11">
        <f>IF(OR($C38="",O38=""),"",IFERROR(IF(AND(IFERROR(--LEFT(O38,FIND("-",O38)-1),"")=AW38,IFERROR(--MID(O38,FIND("-",O38)+1,99),"")=AX38),10,5*(SIGN((IFERROR(--LEFT(O38,FIND("-",O38)-1),""))-(IFERROR(--MID(O38,FIND("-",O38)+1,99),"")))=SIGN((AW38)-(AX38)))+2*(((IFERROR(--LEFT(O38,FIND("-",O38)-1),""))-(IFERROR(--MID(O38,FIND("-",O38)+1,99),"")))=((AW38)-(AX38)))+2*((IFERROR(--LEFT(O38,FIND("-",O38)-1),""))=(AW38))+2*((IFERROR(--MID(O38,FIND("-",O38)+1,99),""))=(AX38))),""))</f>
        <v>5</v>
      </c>
      <c r="Q38" s="10" t="s">
        <v>49</v>
      </c>
      <c r="R38" s="11">
        <f>IF(OR($C38="",Q38=""),"",IFERROR(IF(AND(IFERROR(--LEFT(Q38,FIND("-",Q38)-1),"")=AW38,IFERROR(--MID(Q38,FIND("-",Q38)+1,99),"")=AX38),10,5*(SIGN((IFERROR(--LEFT(Q38,FIND("-",Q38)-1),""))-(IFERROR(--MID(Q38,FIND("-",Q38)+1,99),"")))=SIGN((AW38)-(AX38)))+2*(((IFERROR(--LEFT(Q38,FIND("-",Q38)-1),""))-(IFERROR(--MID(Q38,FIND("-",Q38)+1,99),"")))=((AW38)-(AX38)))+2*((IFERROR(--LEFT(Q38,FIND("-",Q38)-1),""))=(AW38))+2*((IFERROR(--MID(Q38,FIND("-",Q38)+1,99),""))=(AX38))),""))</f>
        <v>2</v>
      </c>
      <c r="S38" s="10" t="s">
        <v>63</v>
      </c>
      <c r="T38" s="11">
        <f>IF(OR($C38="",S38=""),"",IFERROR(IF(AND(IFERROR(--LEFT(S38,FIND("-",S38)-1),"")=AW38,IFERROR(--MID(S38,FIND("-",S38)+1,99),"")=AX38),10,5*(SIGN((IFERROR(--LEFT(S38,FIND("-",S38)-1),""))-(IFERROR(--MID(S38,FIND("-",S38)+1,99),"")))=SIGN((AW38)-(AX38)))+2*(((IFERROR(--LEFT(S38,FIND("-",S38)-1),""))-(IFERROR(--MID(S38,FIND("-",S38)+1,99),"")))=((AW38)-(AX38)))+2*((IFERROR(--LEFT(S38,FIND("-",S38)-1),""))=(AW38))+2*((IFERROR(--MID(S38,FIND("-",S38)+1,99),""))=(AX38))),""))</f>
        <v>7</v>
      </c>
      <c r="U38" s="10" t="s">
        <v>35</v>
      </c>
      <c r="V38" s="11">
        <f>IF(OR($C38="",U38=""),"",IFERROR(IF(AND(IFERROR(--LEFT(U38,FIND("-",U38)-1),"")=AW38,IFERROR(--MID(U38,FIND("-",U38)+1,99),"")=AX38),10,5*(SIGN((IFERROR(--LEFT(U38,FIND("-",U38)-1),""))-(IFERROR(--MID(U38,FIND("-",U38)+1,99),"")))=SIGN((AW38)-(AX38)))+2*(((IFERROR(--LEFT(U38,FIND("-",U38)-1),""))-(IFERROR(--MID(U38,FIND("-",U38)+1,99),"")))=((AW38)-(AX38)))+2*((IFERROR(--LEFT(U38,FIND("-",U38)-1),""))=(AW38))+2*((IFERROR(--MID(U38,FIND("-",U38)+1,99),""))=(AX38))),""))</f>
        <v>0</v>
      </c>
      <c r="W38" s="10" t="s">
        <v>35</v>
      </c>
      <c r="X38" s="11">
        <f>IF(OR($C38="",W38=""),"",IFERROR(IF(AND(IFERROR(--LEFT(W38,FIND("-",W38)-1),"")=AW38,IFERROR(--MID(W38,FIND("-",W38)+1,99),"")=AX38),10,5*(SIGN((IFERROR(--LEFT(W38,FIND("-",W38)-1),""))-(IFERROR(--MID(W38,FIND("-",W38)+1,99),"")))=SIGN((AW38)-(AX38)))+2*(((IFERROR(--LEFT(W38,FIND("-",W38)-1),""))-(IFERROR(--MID(W38,FIND("-",W38)+1,99),"")))=((AW38)-(AX38)))+2*((IFERROR(--LEFT(W38,FIND("-",W38)-1),""))=(AW38))+2*((IFERROR(--MID(W38,FIND("-",W38)+1,99),""))=(AX38))),""))</f>
        <v>0</v>
      </c>
      <c r="Y38" s="10" t="s">
        <v>35</v>
      </c>
      <c r="Z38" s="11">
        <f>IF(OR($C38="",Y38=""),"",IFERROR(IF(AND(IFERROR(--LEFT(Y38,FIND("-",Y38)-1),"")=AW38,IFERROR(--MID(Y38,FIND("-",Y38)+1,99),"")=AX38),10,5*(SIGN((IFERROR(--LEFT(Y38,FIND("-",Y38)-1),""))-(IFERROR(--MID(Y38,FIND("-",Y38)+1,99),"")))=SIGN((AW38)-(AX38)))+2*(((IFERROR(--LEFT(Y38,FIND("-",Y38)-1),""))-(IFERROR(--MID(Y38,FIND("-",Y38)+1,99),"")))=((AW38)-(AX38)))+2*((IFERROR(--LEFT(Y38,FIND("-",Y38)-1),""))=(AW38))+2*((IFERROR(--MID(Y38,FIND("-",Y38)+1,99),""))=(AX38))),""))</f>
        <v>0</v>
      </c>
      <c r="AA38" s="10" t="s">
        <v>34</v>
      </c>
      <c r="AB38" s="11">
        <f>IF(OR($C38="",AA38=""),"",IFERROR(IF(AND(IFERROR(--LEFT(AA38,FIND("-",AA38)-1),"")=AW38,IFERROR(--MID(AA38,FIND("-",AA38)+1,99),"")=AX38),10,5*(SIGN((IFERROR(--LEFT(AA38,FIND("-",AA38)-1),""))-(IFERROR(--MID(AA38,FIND("-",AA38)+1,99),"")))=SIGN((AW38)-(AX38)))+2*(((IFERROR(--LEFT(AA38,FIND("-",AA38)-1),""))-(IFERROR(--MID(AA38,FIND("-",AA38)+1,99),"")))=((AW38)-(AX38)))+2*((IFERROR(--LEFT(AA38,FIND("-",AA38)-1),""))=(AW38))+2*((IFERROR(--MID(AA38,FIND("-",AA38)+1,99),""))=(AX38))),""))</f>
        <v>7</v>
      </c>
      <c r="AC38" s="10" t="s">
        <v>38</v>
      </c>
      <c r="AD38" s="11">
        <f>IF(OR($C38="",AC38=""),"",IFERROR(IF(AND(IFERROR(--LEFT(AC38,FIND("-",AC38)-1),"")=AW38,IFERROR(--MID(AC38,FIND("-",AC38)+1,99),"")=AX38),10,5*(SIGN((IFERROR(--LEFT(AC38,FIND("-",AC38)-1),""))-(IFERROR(--MID(AC38,FIND("-",AC38)+1,99),"")))=SIGN((AW38)-(AX38)))+2*(((IFERROR(--LEFT(AC38,FIND("-",AC38)-1),""))-(IFERROR(--MID(AC38,FIND("-",AC38)+1,99),"")))=((AW38)-(AX38)))+2*((IFERROR(--LEFT(AC38,FIND("-",AC38)-1),""))=(AW38))+2*((IFERROR(--MID(AC38,FIND("-",AC38)+1,99),""))=(AX38))),""))</f>
        <v>5</v>
      </c>
      <c r="AE38" s="10" t="s">
        <v>33</v>
      </c>
      <c r="AF38" s="11">
        <f>IF(OR($C38="",AE38=""),"",IFERROR(IF(AND(IFERROR(--LEFT(AE38,FIND("-",AE38)-1),"")=AW38,IFERROR(--MID(AE38,FIND("-",AE38)+1,99),"")=AX38),10,5*(SIGN((IFERROR(--LEFT(AE38,FIND("-",AE38)-1),""))-(IFERROR(--MID(AE38,FIND("-",AE38)+1,99),"")))=SIGN((AW38)-(AX38)))+2*(((IFERROR(--LEFT(AE38,FIND("-",AE38)-1),""))-(IFERROR(--MID(AE38,FIND("-",AE38)+1,99),"")))=((AW38)-(AX38)))+2*((IFERROR(--LEFT(AE38,FIND("-",AE38)-1),""))=(AW38))+2*((IFERROR(--MID(AE38,FIND("-",AE38)+1,99),""))=(AX38))),""))</f>
        <v>5</v>
      </c>
      <c r="AG38" s="10" t="s">
        <v>33</v>
      </c>
      <c r="AH38" s="11">
        <f>IF(OR($C38="",AG38=""),"",IFERROR(IF(AND(IFERROR(--LEFT(AG38,FIND("-",AG38)-1),"")=AW38,IFERROR(--MID(AG38,FIND("-",AG38)+1,99),"")=AX38),10,5*(SIGN((IFERROR(--LEFT(AG38,FIND("-",AG38)-1),""))-(IFERROR(--MID(AG38,FIND("-",AG38)+1,99),"")))=SIGN((AW38)-(AX38)))+2*(((IFERROR(--LEFT(AG38,FIND("-",AG38)-1),""))-(IFERROR(--MID(AG38,FIND("-",AG38)+1,99),"")))=((AW38)-(AX38)))+2*((IFERROR(--LEFT(AG38,FIND("-",AG38)-1),""))=(AW38))+2*((IFERROR(--MID(AG38,FIND("-",AG38)+1,99),""))=(AX38))),""))</f>
        <v>5</v>
      </c>
      <c r="AI38" s="10" t="s">
        <v>33</v>
      </c>
      <c r="AJ38" s="11">
        <f>IF(OR($C38="",AI38=""),"",IFERROR(IF(AND(IFERROR(--LEFT(AI38,FIND("-",AI38)-1),"")=AW38,IFERROR(--MID(AI38,FIND("-",AI38)+1,99),"")=AX38),10,5*(SIGN((IFERROR(--LEFT(AI38,FIND("-",AI38)-1),""))-(IFERROR(--MID(AI38,FIND("-",AI38)+1,99),"")))=SIGN((AW38)-(AX38)))+2*(((IFERROR(--LEFT(AI38,FIND("-",AI38)-1),""))-(IFERROR(--MID(AI38,FIND("-",AI38)+1,99),"")))=((AW38)-(AX38)))+2*((IFERROR(--LEFT(AI38,FIND("-",AI38)-1),""))=(AW38))+2*((IFERROR(--MID(AI38,FIND("-",AI38)+1,99),""))=(AX38))),""))</f>
        <v>5</v>
      </c>
      <c r="AK38" s="10" t="s">
        <v>33</v>
      </c>
      <c r="AL38" s="11">
        <f>IF(OR($C38="",AK38=""),"",IFERROR(IF(AND(IFERROR(--LEFT(AK38,FIND("-",AK38)-1),"")=AW38,IFERROR(--MID(AK38,FIND("-",AK38)+1,99),"")=AX38),10,5*(SIGN((IFERROR(--LEFT(AK38,FIND("-",AK38)-1),""))-(IFERROR(--MID(AK38,FIND("-",AK38)+1,99),"")))=SIGN((AW38)-(AX38)))+2*(((IFERROR(--LEFT(AK38,FIND("-",AK38)-1),""))-(IFERROR(--MID(AK38,FIND("-",AK38)+1,99),"")))=((AW38)-(AX38)))+2*((IFERROR(--LEFT(AK38,FIND("-",AK38)-1),""))=(AW38))+2*((IFERROR(--MID(AK38,FIND("-",AK38)+1,99),""))=(AX38))),""))</f>
        <v>5</v>
      </c>
      <c r="AM38" s="10" t="s">
        <v>33</v>
      </c>
      <c r="AN38" s="11">
        <f>IF(OR($C38="",AM38=""),"",IFERROR(IF(AND(IFERROR(--LEFT(AM38,FIND("-",AM38)-1),"")=AW38,IFERROR(--MID(AM38,FIND("-",AM38)+1,99),"")=AX38),10,5*(SIGN((IFERROR(--LEFT(AM38,FIND("-",AM38)-1),""))-(IFERROR(--MID(AM38,FIND("-",AM38)+1,99),"")))=SIGN((AW38)-(AX38)))+2*(((IFERROR(--LEFT(AM38,FIND("-",AM38)-1),""))-(IFERROR(--MID(AM38,FIND("-",AM38)+1,99),"")))=((AW38)-(AX38)))+2*((IFERROR(--LEFT(AM38,FIND("-",AM38)-1),""))=(AW38))+2*((IFERROR(--MID(AM38,FIND("-",AM38)+1,99),""))=(AX38))),""))</f>
        <v>5</v>
      </c>
      <c r="AO38" s="10" t="s">
        <v>49</v>
      </c>
      <c r="AP38" s="11">
        <f>IF(OR($C38="",AO38=""),"",IFERROR(IF(AND(IFERROR(--LEFT(AO38,FIND("-",AO38)-1),"")=AW38,IFERROR(--MID(AO38,FIND("-",AO38)+1,99),"")=AX38),10,5*(SIGN((IFERROR(--LEFT(AO38,FIND("-",AO38)-1),""))-(IFERROR(--MID(AO38,FIND("-",AO38)+1,99),"")))=SIGN((AW38)-(AX38)))+2*(((IFERROR(--LEFT(AO38,FIND("-",AO38)-1),""))-(IFERROR(--MID(AO38,FIND("-",AO38)+1,99),"")))=((AW38)-(AX38)))+2*((IFERROR(--LEFT(AO38,FIND("-",AO38)-1),""))=(AW38))+2*((IFERROR(--MID(AO38,FIND("-",AO38)+1,99),""))=(AX38))),""))</f>
        <v>2</v>
      </c>
      <c r="AQ38" s="10" t="s">
        <v>61</v>
      </c>
      <c r="AR38" s="11">
        <f t="shared" si="2"/>
        <v>7</v>
      </c>
      <c r="AS38" s="10" t="s">
        <v>39</v>
      </c>
      <c r="AT38" s="11">
        <f t="shared" si="3"/>
        <v>5</v>
      </c>
      <c r="AU38" s="10" t="s">
        <v>49</v>
      </c>
      <c r="AV38" s="11">
        <f>IF(OR($C38="",AU38=""),"",IFERROR(IF(AND(IFERROR(--LEFT(AU38,FIND("-",AU38)-1),"")=AW38,IFERROR(--MID(AU38,FIND("-",AU38)+1,99),"")=AX38),10,5*(SIGN((IFERROR(--LEFT(AU38,FIND("-",AU38)-1),""))-(IFERROR(--MID(AU38,FIND("-",AU38)+1,99),"")))=SIGN((AW38)-(AX38)))+2*(((IFERROR(--LEFT(AU38,FIND("-",AU38)-1),""))-(IFERROR(--MID(AU38,FIND("-",AU38)+1,99),"")))=((AW38)-(AX38)))+2*((IFERROR(--LEFT(AU38,FIND("-",AU38)-1),""))=(AW38))+2*((IFERROR(--MID(AU38,FIND("-",AU38)+1,99),""))=(AX38))),""))</f>
        <v>2</v>
      </c>
      <c r="AW38" s="11">
        <f>IF($C38="","",IFERROR(--LEFT($C38,FIND("-",$C38)-1),""))</f>
        <v>4</v>
      </c>
      <c r="AX38" s="11">
        <f>IF($C38="","",IFERROR(--MID($C38,FIND("-",$C38)+1,99),""))</f>
        <v>2</v>
      </c>
    </row>
    <row r="39" spans="1:50" ht="18" customHeight="1" x14ac:dyDescent="0.3">
      <c r="A39" s="12"/>
      <c r="B39" s="18"/>
      <c r="C39" s="13"/>
      <c r="D39" s="1"/>
      <c r="E39" s="22"/>
      <c r="F39" s="12"/>
      <c r="G39" s="22"/>
      <c r="H39" s="12"/>
      <c r="I39" s="22"/>
      <c r="J39" s="12"/>
      <c r="K39" s="22"/>
      <c r="L39" s="12"/>
      <c r="M39" s="22"/>
      <c r="N39" s="12"/>
      <c r="O39" s="22"/>
      <c r="P39" s="12"/>
      <c r="Q39" s="22"/>
      <c r="R39" s="12"/>
      <c r="S39" s="22"/>
      <c r="T39" s="12"/>
      <c r="U39" s="13"/>
      <c r="V39" s="12"/>
      <c r="W39" s="22"/>
      <c r="X39" s="12"/>
      <c r="Y39" s="22"/>
      <c r="Z39" s="12"/>
      <c r="AA39" s="22"/>
      <c r="AB39" s="12"/>
      <c r="AC39" s="22"/>
      <c r="AD39" s="12"/>
      <c r="AE39" s="22"/>
      <c r="AF39" s="12"/>
      <c r="AG39" s="22"/>
      <c r="AH39" s="12"/>
      <c r="AI39" s="22"/>
      <c r="AJ39" s="12"/>
      <c r="AK39" s="22"/>
      <c r="AL39" s="12"/>
      <c r="AM39" s="22"/>
      <c r="AN39" s="12"/>
      <c r="AO39" s="22"/>
      <c r="AP39" s="12"/>
      <c r="AQ39" s="22"/>
      <c r="AR39" s="12" t="str">
        <f t="shared" si="2"/>
        <v/>
      </c>
      <c r="AS39" s="22"/>
      <c r="AT39" s="12" t="str">
        <f t="shared" si="3"/>
        <v/>
      </c>
      <c r="AU39" s="22"/>
      <c r="AV39" s="12"/>
      <c r="AW39" s="12"/>
      <c r="AX39" s="12"/>
    </row>
    <row r="40" spans="1:50" ht="20.100000000000001" customHeight="1" x14ac:dyDescent="0.3">
      <c r="A40" s="36" t="s">
        <v>103</v>
      </c>
      <c r="B40" s="37"/>
      <c r="C40" s="38"/>
      <c r="D40" s="37"/>
      <c r="E40" s="38"/>
      <c r="F40" s="37"/>
      <c r="G40" s="38"/>
      <c r="H40" s="37"/>
      <c r="I40" s="38"/>
      <c r="J40" s="37"/>
      <c r="K40" s="38"/>
      <c r="L40" s="37"/>
      <c r="M40" s="38"/>
      <c r="N40" s="37"/>
      <c r="O40" s="38"/>
      <c r="P40" s="37"/>
      <c r="Q40" s="38"/>
      <c r="R40" s="37"/>
      <c r="S40" s="38"/>
      <c r="T40" s="37"/>
      <c r="U40" s="38"/>
      <c r="V40" s="37"/>
      <c r="W40" s="38"/>
      <c r="X40" s="37"/>
      <c r="Y40" s="38"/>
      <c r="Z40" s="37"/>
      <c r="AA40" s="38"/>
      <c r="AB40" s="37"/>
      <c r="AC40" s="38"/>
      <c r="AD40" s="37"/>
      <c r="AE40" s="38"/>
      <c r="AF40" s="37"/>
      <c r="AG40" s="38"/>
      <c r="AH40" s="37"/>
      <c r="AI40" s="38"/>
      <c r="AJ40" s="37"/>
      <c r="AK40" s="38"/>
      <c r="AL40" s="37"/>
      <c r="AM40" s="38"/>
      <c r="AN40" s="37"/>
      <c r="AO40" s="38"/>
      <c r="AP40" s="37"/>
      <c r="AQ40" s="37"/>
      <c r="AR40" s="37"/>
      <c r="AS40" s="37"/>
      <c r="AT40" s="37"/>
      <c r="AU40" s="38"/>
      <c r="AV40" s="39"/>
      <c r="AW40" s="8"/>
      <c r="AX40" s="8"/>
    </row>
    <row r="41" spans="1:50" ht="18" customHeight="1" x14ac:dyDescent="0.3">
      <c r="A41" s="9">
        <v>1.041666666666667</v>
      </c>
      <c r="B41" s="18" t="s">
        <v>104</v>
      </c>
      <c r="C41" s="10" t="s">
        <v>39</v>
      </c>
      <c r="D41" s="1" t="s">
        <v>105</v>
      </c>
      <c r="E41" s="10" t="s">
        <v>36</v>
      </c>
      <c r="F41" s="11">
        <f>IF(OR($C41="",E41=""),"",IFERROR(IF(AND(IFERROR(--LEFT(E41,FIND("-",E41)-1),"")=AW41,IFERROR(--MID(E41,FIND("-",E41)+1,99),"")=AX41),10,5*(SIGN((IFERROR(--LEFT(E41,FIND("-",E41)-1),""))-(IFERROR(--MID(E41,FIND("-",E41)+1,99),"")))=SIGN((AW41)-(AX41)))+2*(((IFERROR(--LEFT(E41,FIND("-",E41)-1),""))-(IFERROR(--MID(E41,FIND("-",E41)+1,99),"")))=((AW41)-(AX41)))+2*((IFERROR(--LEFT(E41,FIND("-",E41)-1),""))=(AW41))+2*((IFERROR(--MID(E41,FIND("-",E41)+1,99),""))=(AX41))),""))</f>
        <v>7</v>
      </c>
      <c r="G41" s="10" t="s">
        <v>106</v>
      </c>
      <c r="H41" s="11">
        <f>IF(OR($C41="",G41=""),"",IFERROR(IF(AND(IFERROR(--LEFT(G41,FIND("-",G41)-1),"")=AW41,IFERROR(--MID(G41,FIND("-",G41)+1,99),"")=AX41),10,5*(SIGN((IFERROR(--LEFT(G41,FIND("-",G41)-1),""))-(IFERROR(--MID(G41,FIND("-",G41)+1,99),"")))=SIGN((AW41)-(AX41)))+2*(((IFERROR(--LEFT(G41,FIND("-",G41)-1),""))-(IFERROR(--MID(G41,FIND("-",G41)+1,99),"")))=((AW41)-(AX41)))+2*((IFERROR(--LEFT(G41,FIND("-",G41)-1),""))=(AW41))+2*((IFERROR(--MID(G41,FIND("-",G41)+1,99),""))=(AX41))),""))</f>
        <v>7</v>
      </c>
      <c r="I41" s="10" t="s">
        <v>39</v>
      </c>
      <c r="J41" s="11">
        <f>IF(OR($C41="",I41=""),"",IFERROR(IF(AND(IFERROR(--LEFT(I41,FIND("-",I41)-1),"")=AW41,IFERROR(--MID(I41,FIND("-",I41)+1,99),"")=AX41),10,5*(SIGN((IFERROR(--LEFT(I41,FIND("-",I41)-1),""))-(IFERROR(--MID(I41,FIND("-",I41)+1,99),"")))=SIGN((AW41)-(AX41)))+2*(((IFERROR(--LEFT(I41,FIND("-",I41)-1),""))-(IFERROR(--MID(I41,FIND("-",I41)+1,99),"")))=((AW41)-(AX41)))+2*((IFERROR(--LEFT(I41,FIND("-",I41)-1),""))=(AW41))+2*((IFERROR(--MID(I41,FIND("-",I41)+1,99),""))=(AX41))),""))</f>
        <v>10</v>
      </c>
      <c r="K41" s="10" t="s">
        <v>49</v>
      </c>
      <c r="L41" s="11">
        <f>IF(OR($C41="",K41=""),"",IFERROR(IF(AND(IFERROR(--LEFT(K41,FIND("-",K41)-1),"")=AW41,IFERROR(--MID(K41,FIND("-",K41)+1,99),"")=AX41),10,5*(SIGN((IFERROR(--LEFT(K41,FIND("-",K41)-1),""))-(IFERROR(--MID(K41,FIND("-",K41)+1,99),"")))=SIGN((AW41)-(AX41)))+2*(((IFERROR(--LEFT(K41,FIND("-",K41)-1),""))-(IFERROR(--MID(K41,FIND("-",K41)+1,99),"")))=((AW41)-(AX41)))+2*((IFERROR(--LEFT(K41,FIND("-",K41)-1),""))=(AW41))+2*((IFERROR(--MID(K41,FIND("-",K41)+1,99),""))=(AX41))),""))</f>
        <v>0</v>
      </c>
      <c r="M41" s="10" t="s">
        <v>36</v>
      </c>
      <c r="N41" s="11">
        <f>IF(OR($C41="",M41=""),"",IFERROR(IF(AND(IFERROR(--LEFT(M41,FIND("-",M41)-1),"")=AW41,IFERROR(--MID(M41,FIND("-",M41)+1,99),"")=AX41),10,5*(SIGN((IFERROR(--LEFT(M41,FIND("-",M41)-1),""))-(IFERROR(--MID(M41,FIND("-",M41)+1,99),"")))=SIGN((AW41)-(AX41)))+2*(((IFERROR(--LEFT(M41,FIND("-",M41)-1),""))-(IFERROR(--MID(M41,FIND("-",M41)+1,99),"")))=((AW41)-(AX41)))+2*((IFERROR(--LEFT(M41,FIND("-",M41)-1),""))=(AW41))+2*((IFERROR(--MID(M41,FIND("-",M41)+1,99),""))=(AX41))),""))</f>
        <v>7</v>
      </c>
      <c r="O41" s="10" t="s">
        <v>38</v>
      </c>
      <c r="P41" s="11">
        <f>IF(OR($C41="",O41=""),"",IFERROR(IF(AND(IFERROR(--LEFT(O41,FIND("-",O41)-1),"")=AW41,IFERROR(--MID(O41,FIND("-",O41)+1,99),"")=AX41),10,5*(SIGN((IFERROR(--LEFT(O41,FIND("-",O41)-1),""))-(IFERROR(--MID(O41,FIND("-",O41)+1,99),"")))=SIGN((AW41)-(AX41)))+2*(((IFERROR(--LEFT(O41,FIND("-",O41)-1),""))-(IFERROR(--MID(O41,FIND("-",O41)+1,99),"")))=((AW41)-(AX41)))+2*((IFERROR(--LEFT(O41,FIND("-",O41)-1),""))=(AW41))+2*((IFERROR(--MID(O41,FIND("-",O41)+1,99),""))=(AX41))),""))</f>
        <v>7</v>
      </c>
      <c r="Q41" s="10" t="s">
        <v>35</v>
      </c>
      <c r="R41" s="11">
        <f>IF(OR($C41="",Q41=""),"",IFERROR(IF(AND(IFERROR(--LEFT(Q41,FIND("-",Q41)-1),"")=AW41,IFERROR(--MID(Q41,FIND("-",Q41)+1,99),"")=AX41),10,5*(SIGN((IFERROR(--LEFT(Q41,FIND("-",Q41)-1),""))-(IFERROR(--MID(Q41,FIND("-",Q41)+1,99),"")))=SIGN((AW41)-(AX41)))+2*(((IFERROR(--LEFT(Q41,FIND("-",Q41)-1),""))-(IFERROR(--MID(Q41,FIND("-",Q41)+1,99),"")))=((AW41)-(AX41)))+2*((IFERROR(--LEFT(Q41,FIND("-",Q41)-1),""))=(AW41))+2*((IFERROR(--MID(Q41,FIND("-",Q41)+1,99),""))=(AX41))),""))</f>
        <v>2</v>
      </c>
      <c r="S41" s="10" t="s">
        <v>49</v>
      </c>
      <c r="T41" s="11">
        <f>IF(OR($C41="",S41=""),"",IFERROR(IF(AND(IFERROR(--LEFT(S41,FIND("-",S41)-1),"")=AW41,IFERROR(--MID(S41,FIND("-",S41)+1,99),"")=AX41),10,5*(SIGN((IFERROR(--LEFT(S41,FIND("-",S41)-1),""))-(IFERROR(--MID(S41,FIND("-",S41)+1,99),"")))=SIGN((AW41)-(AX41)))+2*(((IFERROR(--LEFT(S41,FIND("-",S41)-1),""))-(IFERROR(--MID(S41,FIND("-",S41)+1,99),"")))=((AW41)-(AX41)))+2*((IFERROR(--LEFT(S41,FIND("-",S41)-1),""))=(AW41))+2*((IFERROR(--MID(S41,FIND("-",S41)+1,99),""))=(AX41))),""))</f>
        <v>0</v>
      </c>
      <c r="U41" s="10" t="s">
        <v>33</v>
      </c>
      <c r="V41" s="11">
        <f>IF(OR($C41="",U41=""),"",IFERROR(IF(AND(IFERROR(--LEFT(U41,FIND("-",U41)-1),"")=AW41,IFERROR(--MID(U41,FIND("-",U41)+1,99),"")=AX41),10,5*(SIGN((IFERROR(--LEFT(U41,FIND("-",U41)-1),""))-(IFERROR(--MID(U41,FIND("-",U41)+1,99),"")))=SIGN((AW41)-(AX41)))+2*(((IFERROR(--LEFT(U41,FIND("-",U41)-1),""))-(IFERROR(--MID(U41,FIND("-",U41)+1,99),"")))=((AW41)-(AX41)))+2*((IFERROR(--LEFT(U41,FIND("-",U41)-1),""))=(AW41))+2*((IFERROR(--MID(U41,FIND("-",U41)+1,99),""))=(AX41))),""))</f>
        <v>7</v>
      </c>
      <c r="W41" s="10" t="s">
        <v>36</v>
      </c>
      <c r="X41" s="11">
        <f>IF(OR($C41="",W41=""),"",IFERROR(IF(AND(IFERROR(--LEFT(W41,FIND("-",W41)-1),"")=AW41,IFERROR(--MID(W41,FIND("-",W41)+1,99),"")=AX41),10,5*(SIGN((IFERROR(--LEFT(W41,FIND("-",W41)-1),""))-(IFERROR(--MID(W41,FIND("-",W41)+1,99),"")))=SIGN((AW41)-(AX41)))+2*(((IFERROR(--LEFT(W41,FIND("-",W41)-1),""))-(IFERROR(--MID(W41,FIND("-",W41)+1,99),"")))=((AW41)-(AX41)))+2*((IFERROR(--LEFT(W41,FIND("-",W41)-1),""))=(AW41))+2*((IFERROR(--MID(W41,FIND("-",W41)+1,99),""))=(AX41))),""))</f>
        <v>7</v>
      </c>
      <c r="Y41" s="10" t="s">
        <v>36</v>
      </c>
      <c r="Z41" s="11">
        <f>IF(OR($C41="",Y41=""),"",IFERROR(IF(AND(IFERROR(--LEFT(Y41,FIND("-",Y41)-1),"")=AW41,IFERROR(--MID(Y41,FIND("-",Y41)+1,99),"")=AX41),10,5*(SIGN((IFERROR(--LEFT(Y41,FIND("-",Y41)-1),""))-(IFERROR(--MID(Y41,FIND("-",Y41)+1,99),"")))=SIGN((AW41)-(AX41)))+2*(((IFERROR(--LEFT(Y41,FIND("-",Y41)-1),""))-(IFERROR(--MID(Y41,FIND("-",Y41)+1,99),"")))=((AW41)-(AX41)))+2*((IFERROR(--LEFT(Y41,FIND("-",Y41)-1),""))=(AW41))+2*((IFERROR(--MID(Y41,FIND("-",Y41)+1,99),""))=(AX41))),""))</f>
        <v>7</v>
      </c>
      <c r="AA41" s="10" t="s">
        <v>39</v>
      </c>
      <c r="AB41" s="11">
        <f>IF(OR($C41="",AA41=""),"",IFERROR(IF(AND(IFERROR(--LEFT(AA41,FIND("-",AA41)-1),"")=AW41,IFERROR(--MID(AA41,FIND("-",AA41)+1,99),"")=AX41),10,5*(SIGN((IFERROR(--LEFT(AA41,FIND("-",AA41)-1),""))-(IFERROR(--MID(AA41,FIND("-",AA41)+1,99),"")))=SIGN((AW41)-(AX41)))+2*(((IFERROR(--LEFT(AA41,FIND("-",AA41)-1),""))-(IFERROR(--MID(AA41,FIND("-",AA41)+1,99),"")))=((AW41)-(AX41)))+2*((IFERROR(--LEFT(AA41,FIND("-",AA41)-1),""))=(AW41))+2*((IFERROR(--MID(AA41,FIND("-",AA41)+1,99),""))=(AX41))),""))</f>
        <v>10</v>
      </c>
      <c r="AC41" s="10" t="s">
        <v>49</v>
      </c>
      <c r="AD41" s="11">
        <f>IF(OR($C41="",AC41=""),"",IFERROR(IF(AND(IFERROR(--LEFT(AC41,FIND("-",AC41)-1),"")=AW41,IFERROR(--MID(AC41,FIND("-",AC41)+1,99),"")=AX41),10,5*(SIGN((IFERROR(--LEFT(AC41,FIND("-",AC41)-1),""))-(IFERROR(--MID(AC41,FIND("-",AC41)+1,99),"")))=SIGN((AW41)-(AX41)))+2*(((IFERROR(--LEFT(AC41,FIND("-",AC41)-1),""))-(IFERROR(--MID(AC41,FIND("-",AC41)+1,99),"")))=((AW41)-(AX41)))+2*((IFERROR(--LEFT(AC41,FIND("-",AC41)-1),""))=(AW41))+2*((IFERROR(--MID(AC41,FIND("-",AC41)+1,99),""))=(AX41))),""))</f>
        <v>0</v>
      </c>
      <c r="AE41" s="10" t="s">
        <v>33</v>
      </c>
      <c r="AF41" s="11">
        <f>IF(OR($C41="",AE41=""),"",IFERROR(IF(AND(IFERROR(--LEFT(AE41,FIND("-",AE41)-1),"")=AW41,IFERROR(--MID(AE41,FIND("-",AE41)+1,99),"")=AX41),10,5*(SIGN((IFERROR(--LEFT(AE41,FIND("-",AE41)-1),""))-(IFERROR(--MID(AE41,FIND("-",AE41)+1,99),"")))=SIGN((AW41)-(AX41)))+2*(((IFERROR(--LEFT(AE41,FIND("-",AE41)-1),""))-(IFERROR(--MID(AE41,FIND("-",AE41)+1,99),"")))=((AW41)-(AX41)))+2*((IFERROR(--LEFT(AE41,FIND("-",AE41)-1),""))=(AW41))+2*((IFERROR(--MID(AE41,FIND("-",AE41)+1,99),""))=(AX41))),""))</f>
        <v>7</v>
      </c>
      <c r="AG41" s="10" t="s">
        <v>45</v>
      </c>
      <c r="AH41" s="11">
        <f>IF(OR($C41="",AG41=""),"",IFERROR(IF(AND(IFERROR(--LEFT(AG41,FIND("-",AG41)-1),"")=AW41,IFERROR(--MID(AG41,FIND("-",AG41)+1,99),"")=AX41),10,5*(SIGN((IFERROR(--LEFT(AG41,FIND("-",AG41)-1),""))-(IFERROR(--MID(AG41,FIND("-",AG41)+1,99),"")))=SIGN((AW41)-(AX41)))+2*(((IFERROR(--LEFT(AG41,FIND("-",AG41)-1),""))-(IFERROR(--MID(AG41,FIND("-",AG41)+1,99),"")))=((AW41)-(AX41)))+2*((IFERROR(--LEFT(AG41,FIND("-",AG41)-1),""))=(AW41))+2*((IFERROR(--MID(AG41,FIND("-",AG41)+1,99),""))=(AX41))),""))</f>
        <v>0</v>
      </c>
      <c r="AI41" s="10" t="s">
        <v>39</v>
      </c>
      <c r="AJ41" s="11">
        <f>IF(OR($C41="",AI41=""),"",IFERROR(IF(AND(IFERROR(--LEFT(AI41,FIND("-",AI41)-1),"")=AW41,IFERROR(--MID(AI41,FIND("-",AI41)+1,99),"")=AX41),10,5*(SIGN((IFERROR(--LEFT(AI41,FIND("-",AI41)-1),""))-(IFERROR(--MID(AI41,FIND("-",AI41)+1,99),"")))=SIGN((AW41)-(AX41)))+2*(((IFERROR(--LEFT(AI41,FIND("-",AI41)-1),""))-(IFERROR(--MID(AI41,FIND("-",AI41)+1,99),"")))=((AW41)-(AX41)))+2*((IFERROR(--LEFT(AI41,FIND("-",AI41)-1),""))=(AW41))+2*((IFERROR(--MID(AI41,FIND("-",AI41)+1,99),""))=(AX41))),""))</f>
        <v>10</v>
      </c>
      <c r="AK41" s="10" t="s">
        <v>36</v>
      </c>
      <c r="AL41" s="11">
        <f>IF(OR($C41="",AK41=""),"",IFERROR(IF(AND(IFERROR(--LEFT(AK41,FIND("-",AK41)-1),"")=AW41,IFERROR(--MID(AK41,FIND("-",AK41)+1,99),"")=AX41),10,5*(SIGN((IFERROR(--LEFT(AK41,FIND("-",AK41)-1),""))-(IFERROR(--MID(AK41,FIND("-",AK41)+1,99),"")))=SIGN((AW41)-(AX41)))+2*(((IFERROR(--LEFT(AK41,FIND("-",AK41)-1),""))-(IFERROR(--MID(AK41,FIND("-",AK41)+1,99),"")))=((AW41)-(AX41)))+2*((IFERROR(--LEFT(AK41,FIND("-",AK41)-1),""))=(AW41))+2*((IFERROR(--MID(AK41,FIND("-",AK41)+1,99),""))=(AX41))),""))</f>
        <v>7</v>
      </c>
      <c r="AM41" s="10" t="s">
        <v>36</v>
      </c>
      <c r="AN41" s="11">
        <f>IF(OR($C41="",AM41=""),"",IFERROR(IF(AND(IFERROR(--LEFT(AM41,FIND("-",AM41)-1),"")=AW41,IFERROR(--MID(AM41,FIND("-",AM41)+1,99),"")=AX41),10,5*(SIGN((IFERROR(--LEFT(AM41,FIND("-",AM41)-1),""))-(IFERROR(--MID(AM41,FIND("-",AM41)+1,99),"")))=SIGN((AW41)-(AX41)))+2*(((IFERROR(--LEFT(AM41,FIND("-",AM41)-1),""))-(IFERROR(--MID(AM41,FIND("-",AM41)+1,99),"")))=((AW41)-(AX41)))+2*((IFERROR(--LEFT(AM41,FIND("-",AM41)-1),""))=(AW41))+2*((IFERROR(--MID(AM41,FIND("-",AM41)+1,99),""))=(AX41))),""))</f>
        <v>7</v>
      </c>
      <c r="AO41" s="10" t="s">
        <v>39</v>
      </c>
      <c r="AP41" s="11">
        <f>IF(OR($C41="",AO41=""),"",IFERROR(IF(AND(IFERROR(--LEFT(AO41,FIND("-",AO41)-1),"")=AW41,IFERROR(--MID(AO41,FIND("-",AO41)+1,99),"")=AX41),10,5*(SIGN((IFERROR(--LEFT(AO41,FIND("-",AO41)-1),""))-(IFERROR(--MID(AO41,FIND("-",AO41)+1,99),"")))=SIGN((AW41)-(AX41)))+2*(((IFERROR(--LEFT(AO41,FIND("-",AO41)-1),""))-(IFERROR(--MID(AO41,FIND("-",AO41)+1,99),"")))=((AW41)-(AX41)))+2*((IFERROR(--LEFT(AO41,FIND("-",AO41)-1),""))=(AW41))+2*((IFERROR(--MID(AO41,FIND("-",AO41)+1,99),""))=(AX41))),""))</f>
        <v>10</v>
      </c>
      <c r="AQ41" s="10" t="s">
        <v>37</v>
      </c>
      <c r="AR41" s="11">
        <f>IF(OR($C41="",AQ41=""),"",IFERROR(IF(AND(IFERROR(--LEFT(AQ41,FIND("-",AQ41)-1),"")=AW41,IFERROR(--MID(AQ41,FIND("-",AQ41)+1,99),"")=AX41),10,5*(SIGN((IFERROR(--LEFT(AQ41,FIND("-",AQ41)-1),""))-(IFERROR(--MID(AQ41,FIND("-",AQ41)+1,99),"")))=SIGN((AW41)-(AX41)))+2*(((IFERROR(--LEFT(AQ41,FIND("-",AQ41)-1),""))-(IFERROR(--MID(AQ41,FIND("-",AQ41)+1,99),"")))=((AW41)-(AX41)))+2*((IFERROR(--LEFT(AQ41,FIND("-",AQ41)-1),""))=(AW41))+2*((IFERROR(--MID(AQ41,FIND("-",AQ41)+1,99),""))=(AX41))),""))</f>
        <v>2</v>
      </c>
      <c r="AS41" s="10" t="s">
        <v>49</v>
      </c>
      <c r="AT41" s="11">
        <f>IF(OR($C41="",AS41=""),"",IFERROR(IF(AND(IFERROR(--LEFT(AS41,FIND("-",AS41)-1),"")=AW41,IFERROR(--MID(AS41,FIND("-",AS41)+1,99),"")=AX41),10,5*(SIGN((IFERROR(--LEFT(AS41,FIND("-",AS41)-1),""))-(IFERROR(--MID(AS41,FIND("-",AS41)+1,99),"")))=SIGN((AW41)-(AX41)))+2*(((IFERROR(--LEFT(AS41,FIND("-",AS41)-1),""))-(IFERROR(--MID(AS41,FIND("-",AS41)+1,99),"")))=((AW41)-(AX41)))+2*((IFERROR(--LEFT(AS41,FIND("-",AS41)-1),""))=(AW41))+2*((IFERROR(--MID(AS41,FIND("-",AS41)+1,99),""))=(AX41))),""))</f>
        <v>0</v>
      </c>
      <c r="AU41" s="10" t="s">
        <v>39</v>
      </c>
      <c r="AV41" s="11">
        <f>IF(OR($C41="",AU41=""),"",IFERROR(IF(AND(IFERROR(--LEFT(AU41,FIND("-",AU41)-1),"")=AW41,IFERROR(--MID(AU41,FIND("-",AU41)+1,99),"")=AX41),10,5*(SIGN((IFERROR(--LEFT(AU41,FIND("-",AU41)-1),""))-(IFERROR(--MID(AU41,FIND("-",AU41)+1,99),"")))=SIGN((AW41)-(AX41)))+2*(((IFERROR(--LEFT(AU41,FIND("-",AU41)-1),""))-(IFERROR(--MID(AU41,FIND("-",AU41)+1,99),"")))=((AW41)-(AX41)))+2*((IFERROR(--LEFT(AU41,FIND("-",AU41)-1),""))=(AW41))+2*((IFERROR(--MID(AU41,FIND("-",AU41)+1,99),""))=(AX41))),""))</f>
        <v>10</v>
      </c>
      <c r="AW41" s="11">
        <f>IF($C41="","",IFERROR(--LEFT($C41,FIND("-",$C41)-1),""))</f>
        <v>1</v>
      </c>
      <c r="AX41" s="11">
        <f>IF($C41="","",IFERROR(--MID($C41,FIND("-",$C41)+1,99),""))</f>
        <v>0</v>
      </c>
    </row>
    <row r="42" spans="1:50" ht="18" customHeight="1" x14ac:dyDescent="0.3">
      <c r="A42" s="9">
        <v>1.166666666666667</v>
      </c>
      <c r="B42" s="18" t="s">
        <v>107</v>
      </c>
      <c r="C42" s="10" t="s">
        <v>57</v>
      </c>
      <c r="D42" s="1" t="s">
        <v>108</v>
      </c>
      <c r="E42" s="10" t="s">
        <v>37</v>
      </c>
      <c r="F42" s="11">
        <f>IF(OR($C42="",E42=""),"",IFERROR(IF(AND(IFERROR(--LEFT(E42,FIND("-",E42)-1),"")=AW42,IFERROR(--MID(E42,FIND("-",E42)+1,99),"")=AX42),10,5*(SIGN((IFERROR(--LEFT(E42,FIND("-",E42)-1),""))-(IFERROR(--MID(E42,FIND("-",E42)+1,99),"")))=SIGN((AW42)-(AX42)))+2*(((IFERROR(--LEFT(E42,FIND("-",E42)-1),""))-(IFERROR(--MID(E42,FIND("-",E42)+1,99),"")))=((AW42)-(AX42)))+2*((IFERROR(--LEFT(E42,FIND("-",E42)-1),""))=(AW42))+2*((IFERROR(--MID(E42,FIND("-",E42)+1,99),""))=(AX42))),""))</f>
        <v>7</v>
      </c>
      <c r="G42" s="10" t="s">
        <v>37</v>
      </c>
      <c r="H42" s="11">
        <f>IF(OR($C42="",G42=""),"",IFERROR(IF(AND(IFERROR(--LEFT(G42,FIND("-",G42)-1),"")=AW42,IFERROR(--MID(G42,FIND("-",G42)+1,99),"")=AX42),10,5*(SIGN((IFERROR(--LEFT(G42,FIND("-",G42)-1),""))-(IFERROR(--MID(G42,FIND("-",G42)+1,99),"")))=SIGN((AW42)-(AX42)))+2*(((IFERROR(--LEFT(G42,FIND("-",G42)-1),""))-(IFERROR(--MID(G42,FIND("-",G42)+1,99),"")))=((AW42)-(AX42)))+2*((IFERROR(--LEFT(G42,FIND("-",G42)-1),""))=(AW42))+2*((IFERROR(--MID(G42,FIND("-",G42)+1,99),""))=(AX42))),""))</f>
        <v>7</v>
      </c>
      <c r="I42" s="10" t="s">
        <v>35</v>
      </c>
      <c r="J42" s="11">
        <f>IF(OR($C42="",I42=""),"",IFERROR(IF(AND(IFERROR(--LEFT(I42,FIND("-",I42)-1),"")=AW42,IFERROR(--MID(I42,FIND("-",I42)+1,99),"")=AX42),10,5*(SIGN((IFERROR(--LEFT(I42,FIND("-",I42)-1),""))-(IFERROR(--MID(I42,FIND("-",I42)+1,99),"")))=SIGN((AW42)-(AX42)))+2*(((IFERROR(--LEFT(I42,FIND("-",I42)-1),""))-(IFERROR(--MID(I42,FIND("-",I42)+1,99),"")))=((AW42)-(AX42)))+2*((IFERROR(--LEFT(I42,FIND("-",I42)-1),""))=(AW42))+2*((IFERROR(--MID(I42,FIND("-",I42)+1,99),""))=(AX42))),""))</f>
        <v>2</v>
      </c>
      <c r="K42" s="10" t="s">
        <v>33</v>
      </c>
      <c r="L42" s="11">
        <f>IF(OR($C42="",K42=""),"",IFERROR(IF(AND(IFERROR(--LEFT(K42,FIND("-",K42)-1),"")=AW42,IFERROR(--MID(K42,FIND("-",K42)+1,99),"")=AX42),10,5*(SIGN((IFERROR(--LEFT(K42,FIND("-",K42)-1),""))-(IFERROR(--MID(K42,FIND("-",K42)+1,99),"")))=SIGN((AW42)-(AX42)))+2*(((IFERROR(--LEFT(K42,FIND("-",K42)-1),""))-(IFERROR(--MID(K42,FIND("-",K42)+1,99),"")))=((AW42)-(AX42)))+2*((IFERROR(--LEFT(K42,FIND("-",K42)-1),""))=(AW42))+2*((IFERROR(--MID(K42,FIND("-",K42)+1,99),""))=(AX42))),""))</f>
        <v>0</v>
      </c>
      <c r="M42" s="10" t="s">
        <v>57</v>
      </c>
      <c r="N42" s="11">
        <f>IF(OR($C42="",M42=""),"",IFERROR(IF(AND(IFERROR(--LEFT(M42,FIND("-",M42)-1),"")=AW42,IFERROR(--MID(M42,FIND("-",M42)+1,99),"")=AX42),10,5*(SIGN((IFERROR(--LEFT(M42,FIND("-",M42)-1),""))-(IFERROR(--MID(M42,FIND("-",M42)+1,99),"")))=SIGN((AW42)-(AX42)))+2*(((IFERROR(--LEFT(M42,FIND("-",M42)-1),""))-(IFERROR(--MID(M42,FIND("-",M42)+1,99),"")))=((AW42)-(AX42)))+2*((IFERROR(--LEFT(M42,FIND("-",M42)-1),""))=(AW42))+2*((IFERROR(--MID(M42,FIND("-",M42)+1,99),""))=(AX42))),""))</f>
        <v>10</v>
      </c>
      <c r="O42" s="10" t="s">
        <v>56</v>
      </c>
      <c r="P42" s="11">
        <f>IF(OR($C42="",O42=""),"",IFERROR(IF(AND(IFERROR(--LEFT(O42,FIND("-",O42)-1),"")=AW42,IFERROR(--MID(O42,FIND("-",O42)+1,99),"")=AX42),10,5*(SIGN((IFERROR(--LEFT(O42,FIND("-",O42)-1),""))-(IFERROR(--MID(O42,FIND("-",O42)+1,99),"")))=SIGN((AW42)-(AX42)))+2*(((IFERROR(--LEFT(O42,FIND("-",O42)-1),""))-(IFERROR(--MID(O42,FIND("-",O42)+1,99),"")))=((AW42)-(AX42)))+2*((IFERROR(--LEFT(O42,FIND("-",O42)-1),""))=(AW42))+2*((IFERROR(--MID(O42,FIND("-",O42)+1,99),""))=(AX42))),""))</f>
        <v>7</v>
      </c>
      <c r="Q42" s="10" t="s">
        <v>109</v>
      </c>
      <c r="R42" s="11">
        <f>IF(OR($C42="",Q42=""),"",IFERROR(IF(AND(IFERROR(--LEFT(Q42,FIND("-",Q42)-1),"")=AW42,IFERROR(--MID(Q42,FIND("-",Q42)+1,99),"")=AX42),10,5*(SIGN((IFERROR(--LEFT(Q42,FIND("-",Q42)-1),""))-(IFERROR(--MID(Q42,FIND("-",Q42)+1,99),"")))=SIGN((AW42)-(AX42)))+2*(((IFERROR(--LEFT(Q42,FIND("-",Q42)-1),""))-(IFERROR(--MID(Q42,FIND("-",Q42)+1,99),"")))=((AW42)-(AX42)))+2*((IFERROR(--LEFT(Q42,FIND("-",Q42)-1),""))=(AW42))+2*((IFERROR(--MID(Q42,FIND("-",Q42)+1,99),""))=(AX42))),""))</f>
        <v>5</v>
      </c>
      <c r="S42" s="10" t="s">
        <v>35</v>
      </c>
      <c r="T42" s="11">
        <f>IF(OR($C42="",S42=""),"",IFERROR(IF(AND(IFERROR(--LEFT(S42,FIND("-",S42)-1),"")=AW42,IFERROR(--MID(S42,FIND("-",S42)+1,99),"")=AX42),10,5*(SIGN((IFERROR(--LEFT(S42,FIND("-",S42)-1),""))-(IFERROR(--MID(S42,FIND("-",S42)+1,99),"")))=SIGN((AW42)-(AX42)))+2*(((IFERROR(--LEFT(S42,FIND("-",S42)-1),""))-(IFERROR(--MID(S42,FIND("-",S42)+1,99),"")))=((AW42)-(AX42)))+2*((IFERROR(--LEFT(S42,FIND("-",S42)-1),""))=(AW42))+2*((IFERROR(--MID(S42,FIND("-",S42)+1,99),""))=(AX42))),""))</f>
        <v>2</v>
      </c>
      <c r="U42" s="10" t="s">
        <v>45</v>
      </c>
      <c r="V42" s="11">
        <f>IF(OR($C42="",U42=""),"",IFERROR(IF(AND(IFERROR(--LEFT(U42,FIND("-",U42)-1),"")=AW42,IFERROR(--MID(U42,FIND("-",U42)+1,99),"")=AX42),10,5*(SIGN((IFERROR(--LEFT(U42,FIND("-",U42)-1),""))-(IFERROR(--MID(U42,FIND("-",U42)+1,99),"")))=SIGN((AW42)-(AX42)))+2*(((IFERROR(--LEFT(U42,FIND("-",U42)-1),""))-(IFERROR(--MID(U42,FIND("-",U42)+1,99),"")))=((AW42)-(AX42)))+2*((IFERROR(--LEFT(U42,FIND("-",U42)-1),""))=(AW42))+2*((IFERROR(--MID(U42,FIND("-",U42)+1,99),""))=(AX42))),""))</f>
        <v>5</v>
      </c>
      <c r="W42" s="10" t="s">
        <v>48</v>
      </c>
      <c r="X42" s="11">
        <f>IF(OR($C42="",W42=""),"",IFERROR(IF(AND(IFERROR(--LEFT(W42,FIND("-",W42)-1),"")=AW42,IFERROR(--MID(W42,FIND("-",W42)+1,99),"")=AX42),10,5*(SIGN((IFERROR(--LEFT(W42,FIND("-",W42)-1),""))-(IFERROR(--MID(W42,FIND("-",W42)+1,99),"")))=SIGN((AW42)-(AX42)))+2*(((IFERROR(--LEFT(W42,FIND("-",W42)-1),""))-(IFERROR(--MID(W42,FIND("-",W42)+1,99),"")))=((AW42)-(AX42)))+2*((IFERROR(--LEFT(W42,FIND("-",W42)-1),""))=(AW42))+2*((IFERROR(--MID(W42,FIND("-",W42)+1,99),""))=(AX42))),""))</f>
        <v>7</v>
      </c>
      <c r="Y42" s="10" t="s">
        <v>37</v>
      </c>
      <c r="Z42" s="11">
        <f>IF(OR($C42="",Y42=""),"",IFERROR(IF(AND(IFERROR(--LEFT(Y42,FIND("-",Y42)-1),"")=AW42,IFERROR(--MID(Y42,FIND("-",Y42)+1,99),"")=AX42),10,5*(SIGN((IFERROR(--LEFT(Y42,FIND("-",Y42)-1),""))-(IFERROR(--MID(Y42,FIND("-",Y42)+1,99),"")))=SIGN((AW42)-(AX42)))+2*(((IFERROR(--LEFT(Y42,FIND("-",Y42)-1),""))-(IFERROR(--MID(Y42,FIND("-",Y42)+1,99),"")))=((AW42)-(AX42)))+2*((IFERROR(--LEFT(Y42,FIND("-",Y42)-1),""))=(AW42))+2*((IFERROR(--MID(Y42,FIND("-",Y42)+1,99),""))=(AX42))),""))</f>
        <v>7</v>
      </c>
      <c r="AA42" s="10" t="s">
        <v>35</v>
      </c>
      <c r="AB42" s="11">
        <f>IF(OR($C42="",AA42=""),"",IFERROR(IF(AND(IFERROR(--LEFT(AA42,FIND("-",AA42)-1),"")=AW42,IFERROR(--MID(AA42,FIND("-",AA42)+1,99),"")=AX42),10,5*(SIGN((IFERROR(--LEFT(AA42,FIND("-",AA42)-1),""))-(IFERROR(--MID(AA42,FIND("-",AA42)+1,99),"")))=SIGN((AW42)-(AX42)))+2*(((IFERROR(--LEFT(AA42,FIND("-",AA42)-1),""))-(IFERROR(--MID(AA42,FIND("-",AA42)+1,99),"")))=((AW42)-(AX42)))+2*((IFERROR(--LEFT(AA42,FIND("-",AA42)-1),""))=(AW42))+2*((IFERROR(--MID(AA42,FIND("-",AA42)+1,99),""))=(AX42))),""))</f>
        <v>2</v>
      </c>
      <c r="AC42" s="10" t="s">
        <v>33</v>
      </c>
      <c r="AD42" s="11">
        <f>IF(OR($C42="",AC42=""),"",IFERROR(IF(AND(IFERROR(--LEFT(AC42,FIND("-",AC42)-1),"")=AW42,IFERROR(--MID(AC42,FIND("-",AC42)+1,99),"")=AX42),10,5*(SIGN((IFERROR(--LEFT(AC42,FIND("-",AC42)-1),""))-(IFERROR(--MID(AC42,FIND("-",AC42)+1,99),"")))=SIGN((AW42)-(AX42)))+2*(((IFERROR(--LEFT(AC42,FIND("-",AC42)-1),""))-(IFERROR(--MID(AC42,FIND("-",AC42)+1,99),"")))=((AW42)-(AX42)))+2*((IFERROR(--LEFT(AC42,FIND("-",AC42)-1),""))=(AW42))+2*((IFERROR(--MID(AC42,FIND("-",AC42)+1,99),""))=(AX42))),""))</f>
        <v>0</v>
      </c>
      <c r="AE42" s="10" t="s">
        <v>48</v>
      </c>
      <c r="AF42" s="11">
        <f>IF(OR($C42="",AE42=""),"",IFERROR(IF(AND(IFERROR(--LEFT(AE42,FIND("-",AE42)-1),"")=AW42,IFERROR(--MID(AE42,FIND("-",AE42)+1,99),"")=AX42),10,5*(SIGN((IFERROR(--LEFT(AE42,FIND("-",AE42)-1),""))-(IFERROR(--MID(AE42,FIND("-",AE42)+1,99),"")))=SIGN((AW42)-(AX42)))+2*(((IFERROR(--LEFT(AE42,FIND("-",AE42)-1),""))-(IFERROR(--MID(AE42,FIND("-",AE42)+1,99),"")))=((AW42)-(AX42)))+2*((IFERROR(--LEFT(AE42,FIND("-",AE42)-1),""))=(AW42))+2*((IFERROR(--MID(AE42,FIND("-",AE42)+1,99),""))=(AX42))),""))</f>
        <v>7</v>
      </c>
      <c r="AG42" s="10" t="s">
        <v>37</v>
      </c>
      <c r="AH42" s="11">
        <f>IF(OR($C42="",AG42=""),"",IFERROR(IF(AND(IFERROR(--LEFT(AG42,FIND("-",AG42)-1),"")=AW42,IFERROR(--MID(AG42,FIND("-",AG42)+1,99),"")=AX42),10,5*(SIGN((IFERROR(--LEFT(AG42,FIND("-",AG42)-1),""))-(IFERROR(--MID(AG42,FIND("-",AG42)+1,99),"")))=SIGN((AW42)-(AX42)))+2*(((IFERROR(--LEFT(AG42,FIND("-",AG42)-1),""))-(IFERROR(--MID(AG42,FIND("-",AG42)+1,99),"")))=((AW42)-(AX42)))+2*((IFERROR(--LEFT(AG42,FIND("-",AG42)-1),""))=(AW42))+2*((IFERROR(--MID(AG42,FIND("-",AG42)+1,99),""))=(AX42))),""))</f>
        <v>7</v>
      </c>
      <c r="AI42" s="10" t="s">
        <v>48</v>
      </c>
      <c r="AJ42" s="11">
        <f>IF(OR($C42="",AI42=""),"",IFERROR(IF(AND(IFERROR(--LEFT(AI42,FIND("-",AI42)-1),"")=AW42,IFERROR(--MID(AI42,FIND("-",AI42)+1,99),"")=AX42),10,5*(SIGN((IFERROR(--LEFT(AI42,FIND("-",AI42)-1),""))-(IFERROR(--MID(AI42,FIND("-",AI42)+1,99),"")))=SIGN((AW42)-(AX42)))+2*(((IFERROR(--LEFT(AI42,FIND("-",AI42)-1),""))-(IFERROR(--MID(AI42,FIND("-",AI42)+1,99),"")))=((AW42)-(AX42)))+2*((IFERROR(--LEFT(AI42,FIND("-",AI42)-1),""))=(AW42))+2*((IFERROR(--MID(AI42,FIND("-",AI42)+1,99),""))=(AX42))),""))</f>
        <v>7</v>
      </c>
      <c r="AK42" s="10" t="s">
        <v>48</v>
      </c>
      <c r="AL42" s="11">
        <f>IF(OR($C42="",AK42=""),"",IFERROR(IF(AND(IFERROR(--LEFT(AK42,FIND("-",AK42)-1),"")=AW42,IFERROR(--MID(AK42,FIND("-",AK42)+1,99),"")=AX42),10,5*(SIGN((IFERROR(--LEFT(AK42,FIND("-",AK42)-1),""))-(IFERROR(--MID(AK42,FIND("-",AK42)+1,99),"")))=SIGN((AW42)-(AX42)))+2*(((IFERROR(--LEFT(AK42,FIND("-",AK42)-1),""))-(IFERROR(--MID(AK42,FIND("-",AK42)+1,99),"")))=((AW42)-(AX42)))+2*((IFERROR(--LEFT(AK42,FIND("-",AK42)-1),""))=(AW42))+2*((IFERROR(--MID(AK42,FIND("-",AK42)+1,99),""))=(AX42))),""))</f>
        <v>7</v>
      </c>
      <c r="AM42" s="10" t="s">
        <v>35</v>
      </c>
      <c r="AN42" s="11">
        <f>IF(OR($C42="",AM42=""),"",IFERROR(IF(AND(IFERROR(--LEFT(AM42,FIND("-",AM42)-1),"")=AW42,IFERROR(--MID(AM42,FIND("-",AM42)+1,99),"")=AX42),10,5*(SIGN((IFERROR(--LEFT(AM42,FIND("-",AM42)-1),""))-(IFERROR(--MID(AM42,FIND("-",AM42)+1,99),"")))=SIGN((AW42)-(AX42)))+2*(((IFERROR(--LEFT(AM42,FIND("-",AM42)-1),""))-(IFERROR(--MID(AM42,FIND("-",AM42)+1,99),"")))=((AW42)-(AX42)))+2*((IFERROR(--LEFT(AM42,FIND("-",AM42)-1),""))=(AW42))+2*((IFERROR(--MID(AM42,FIND("-",AM42)+1,99),""))=(AX42))),""))</f>
        <v>2</v>
      </c>
      <c r="AO42" s="10" t="s">
        <v>37</v>
      </c>
      <c r="AP42" s="11">
        <f>IF(OR($C42="",AO42=""),"",IFERROR(IF(AND(IFERROR(--LEFT(AO42,FIND("-",AO42)-1),"")=AW42,IFERROR(--MID(AO42,FIND("-",AO42)+1,99),"")=AX42),10,5*(SIGN((IFERROR(--LEFT(AO42,FIND("-",AO42)-1),""))-(IFERROR(--MID(AO42,FIND("-",AO42)+1,99),"")))=SIGN((AW42)-(AX42)))+2*(((IFERROR(--LEFT(AO42,FIND("-",AO42)-1),""))-(IFERROR(--MID(AO42,FIND("-",AO42)+1,99),"")))=((AW42)-(AX42)))+2*((IFERROR(--LEFT(AO42,FIND("-",AO42)-1),""))=(AW42))+2*((IFERROR(--MID(AO42,FIND("-",AO42)+1,99),""))=(AX42))),""))</f>
        <v>7</v>
      </c>
      <c r="AQ42" s="10" t="s">
        <v>35</v>
      </c>
      <c r="AR42" s="11">
        <f>IF(OR($C42="",AQ42=""),"",IFERROR(IF(AND(IFERROR(--LEFT(AQ42,FIND("-",AQ42)-1),"")=AW42,IFERROR(--MID(AQ42,FIND("-",AQ42)+1,99),"")=AX42),10,5*(SIGN((IFERROR(--LEFT(AQ42,FIND("-",AQ42)-1),""))-(IFERROR(--MID(AQ42,FIND("-",AQ42)+1,99),"")))=SIGN((AW42)-(AX42)))+2*(((IFERROR(--LEFT(AQ42,FIND("-",AQ42)-1),""))-(IFERROR(--MID(AQ42,FIND("-",AQ42)+1,99),"")))=((AW42)-(AX42)))+2*((IFERROR(--LEFT(AQ42,FIND("-",AQ42)-1),""))=(AW42))+2*((IFERROR(--MID(AQ42,FIND("-",AQ42)+1,99),""))=(AX42))),""))</f>
        <v>2</v>
      </c>
      <c r="AS42" s="10" t="s">
        <v>39</v>
      </c>
      <c r="AT42" s="11">
        <f>IF(OR($C42="",AS42=""),"",IFERROR(IF(AND(IFERROR(--LEFT(AS42,FIND("-",AS42)-1),"")=AW42,IFERROR(--MID(AS42,FIND("-",AS42)+1,99),"")=AX42),10,5*(SIGN((IFERROR(--LEFT(AS42,FIND("-",AS42)-1),""))-(IFERROR(--MID(AS42,FIND("-",AS42)+1,99),"")))=SIGN((AW42)-(AX42)))+2*(((IFERROR(--LEFT(AS42,FIND("-",AS42)-1),""))-(IFERROR(--MID(AS42,FIND("-",AS42)+1,99),"")))=((AW42)-(AX42)))+2*((IFERROR(--LEFT(AS42,FIND("-",AS42)-1),""))=(AW42))+2*((IFERROR(--MID(AS42,FIND("-",AS42)+1,99),""))=(AX42))),""))</f>
        <v>2</v>
      </c>
      <c r="AU42" s="10" t="s">
        <v>37</v>
      </c>
      <c r="AV42" s="11">
        <f>IF(OR($C42="",AU42=""),"",IFERROR(IF(AND(IFERROR(--LEFT(AU42,FIND("-",AU42)-1),"")=AW42,IFERROR(--MID(AU42,FIND("-",AU42)+1,99),"")=AX42),10,5*(SIGN((IFERROR(--LEFT(AU42,FIND("-",AU42)-1),""))-(IFERROR(--MID(AU42,FIND("-",AU42)+1,99),"")))=SIGN((AW42)-(AX42)))+2*(((IFERROR(--LEFT(AU42,FIND("-",AU42)-1),""))-(IFERROR(--MID(AU42,FIND("-",AU42)+1,99),"")))=((AW42)-(AX42)))+2*((IFERROR(--LEFT(AU42,FIND("-",AU42)-1),""))=(AW42))+2*((IFERROR(--MID(AU42,FIND("-",AU42)+1,99),""))=(AX42))),""))</f>
        <v>7</v>
      </c>
      <c r="AW42" s="11">
        <f>IF($C42="","",IFERROR(--LEFT($C42,FIND("-",$C42)-1),""))</f>
        <v>1</v>
      </c>
      <c r="AX42" s="11">
        <f>IF($C42="","",IFERROR(--MID($C42,FIND("-",$C42)+1,99),""))</f>
        <v>3</v>
      </c>
    </row>
    <row r="43" spans="1:50" ht="18" customHeight="1" x14ac:dyDescent="0.3">
      <c r="A43" s="9">
        <v>1.75</v>
      </c>
      <c r="B43" s="18" t="s">
        <v>42</v>
      </c>
      <c r="C43" s="10" t="s">
        <v>35</v>
      </c>
      <c r="D43" s="1" t="s">
        <v>32</v>
      </c>
      <c r="E43" s="10" t="s">
        <v>36</v>
      </c>
      <c r="F43" s="11">
        <f>IF(OR($C43="",E43=""),"",IFERROR(IF(AND(IFERROR(--LEFT(E43,FIND("-",E43)-1),"")=AW43,IFERROR(--MID(E43,FIND("-",E43)+1,99),"")=AX43),10,5*(SIGN((IFERROR(--LEFT(E43,FIND("-",E43)-1),""))-(IFERROR(--MID(E43,FIND("-",E43)+1,99),"")))=SIGN((AW43)-(AX43)))+2*(((IFERROR(--LEFT(E43,FIND("-",E43)-1),""))-(IFERROR(--MID(E43,FIND("-",E43)+1,99),"")))=((AW43)-(AX43)))+2*((IFERROR(--LEFT(E43,FIND("-",E43)-1),""))=(AW43))+2*((IFERROR(--MID(E43,FIND("-",E43)+1,99),""))=(AX43))),""))</f>
        <v>0</v>
      </c>
      <c r="G43" s="10" t="s">
        <v>35</v>
      </c>
      <c r="H43" s="11">
        <f>IF(OR($C43="",G43=""),"",IFERROR(IF(AND(IFERROR(--LEFT(G43,FIND("-",G43)-1),"")=AW43,IFERROR(--MID(G43,FIND("-",G43)+1,99),"")=AX43),10,5*(SIGN((IFERROR(--LEFT(G43,FIND("-",G43)-1),""))-(IFERROR(--MID(G43,FIND("-",G43)+1,99),"")))=SIGN((AW43)-(AX43)))+2*(((IFERROR(--LEFT(G43,FIND("-",G43)-1),""))-(IFERROR(--MID(G43,FIND("-",G43)+1,99),"")))=((AW43)-(AX43)))+2*((IFERROR(--LEFT(G43,FIND("-",G43)-1),""))=(AW43))+2*((IFERROR(--MID(G43,FIND("-",G43)+1,99),""))=(AX43))),""))</f>
        <v>10</v>
      </c>
      <c r="I43" s="10" t="s">
        <v>33</v>
      </c>
      <c r="J43" s="11">
        <f>IF(OR($C43="",I43=""),"",IFERROR(IF(AND(IFERROR(--LEFT(I43,FIND("-",I43)-1),"")=AW43,IFERROR(--MID(I43,FIND("-",I43)+1,99),"")=AX43),10,5*(SIGN((IFERROR(--LEFT(I43,FIND("-",I43)-1),""))-(IFERROR(--MID(I43,FIND("-",I43)+1,99),"")))=SIGN((AW43)-(AX43)))+2*(((IFERROR(--LEFT(I43,FIND("-",I43)-1),""))-(IFERROR(--MID(I43,FIND("-",I43)+1,99),"")))=((AW43)-(AX43)))+2*((IFERROR(--LEFT(I43,FIND("-",I43)-1),""))=(AW43))+2*((IFERROR(--MID(I43,FIND("-",I43)+1,99),""))=(AX43))),""))</f>
        <v>2</v>
      </c>
      <c r="K43" s="10" t="s">
        <v>37</v>
      </c>
      <c r="L43" s="11">
        <f>IF(OR($C43="",K43=""),"",IFERROR(IF(AND(IFERROR(--LEFT(K43,FIND("-",K43)-1),"")=AW43,IFERROR(--MID(K43,FIND("-",K43)+1,99),"")=AX43),10,5*(SIGN((IFERROR(--LEFT(K43,FIND("-",K43)-1),""))-(IFERROR(--MID(K43,FIND("-",K43)+1,99),"")))=SIGN((AW43)-(AX43)))+2*(((IFERROR(--LEFT(K43,FIND("-",K43)-1),""))-(IFERROR(--MID(K43,FIND("-",K43)+1,99),"")))=((AW43)-(AX43)))+2*((IFERROR(--LEFT(K43,FIND("-",K43)-1),""))=(AW43))+2*((IFERROR(--MID(K43,FIND("-",K43)+1,99),""))=(AX43))),""))</f>
        <v>2</v>
      </c>
      <c r="M43" s="10" t="s">
        <v>33</v>
      </c>
      <c r="N43" s="11">
        <f>IF(OR($C43="",M43=""),"",IFERROR(IF(AND(IFERROR(--LEFT(M43,FIND("-",M43)-1),"")=AW43,IFERROR(--MID(M43,FIND("-",M43)+1,99),"")=AX43),10,5*(SIGN((IFERROR(--LEFT(M43,FIND("-",M43)-1),""))-(IFERROR(--MID(M43,FIND("-",M43)+1,99),"")))=SIGN((AW43)-(AX43)))+2*(((IFERROR(--LEFT(M43,FIND("-",M43)-1),""))-(IFERROR(--MID(M43,FIND("-",M43)+1,99),"")))=((AW43)-(AX43)))+2*((IFERROR(--LEFT(M43,FIND("-",M43)-1),""))=(AW43))+2*((IFERROR(--MID(M43,FIND("-",M43)+1,99),""))=(AX43))),""))</f>
        <v>2</v>
      </c>
      <c r="O43" s="10" t="s">
        <v>33</v>
      </c>
      <c r="P43" s="11">
        <f>IF(OR($C43="",O43=""),"",IFERROR(IF(AND(IFERROR(--LEFT(O43,FIND("-",O43)-1),"")=AW43,IFERROR(--MID(O43,FIND("-",O43)+1,99),"")=AX43),10,5*(SIGN((IFERROR(--LEFT(O43,FIND("-",O43)-1),""))-(IFERROR(--MID(O43,FIND("-",O43)+1,99),"")))=SIGN((AW43)-(AX43)))+2*(((IFERROR(--LEFT(O43,FIND("-",O43)-1),""))-(IFERROR(--MID(O43,FIND("-",O43)+1,99),"")))=((AW43)-(AX43)))+2*((IFERROR(--LEFT(O43,FIND("-",O43)-1),""))=(AW43))+2*((IFERROR(--MID(O43,FIND("-",O43)+1,99),""))=(AX43))),""))</f>
        <v>2</v>
      </c>
      <c r="Q43" s="10" t="s">
        <v>33</v>
      </c>
      <c r="R43" s="11">
        <f>IF(OR($C43="",Q43=""),"",IFERROR(IF(AND(IFERROR(--LEFT(Q43,FIND("-",Q43)-1),"")=AW43,IFERROR(--MID(Q43,FIND("-",Q43)+1,99),"")=AX43),10,5*(SIGN((IFERROR(--LEFT(Q43,FIND("-",Q43)-1),""))-(IFERROR(--MID(Q43,FIND("-",Q43)+1,99),"")))=SIGN((AW43)-(AX43)))+2*(((IFERROR(--LEFT(Q43,FIND("-",Q43)-1),""))-(IFERROR(--MID(Q43,FIND("-",Q43)+1,99),"")))=((AW43)-(AX43)))+2*((IFERROR(--LEFT(Q43,FIND("-",Q43)-1),""))=(AW43))+2*((IFERROR(--MID(Q43,FIND("-",Q43)+1,99),""))=(AX43))),""))</f>
        <v>2</v>
      </c>
      <c r="S43" s="10" t="s">
        <v>35</v>
      </c>
      <c r="T43" s="11">
        <f>IF(OR($C43="",S43=""),"",IFERROR(IF(AND(IFERROR(--LEFT(S43,FIND("-",S43)-1),"")=AW43,IFERROR(--MID(S43,FIND("-",S43)+1,99),"")=AX43),10,5*(SIGN((IFERROR(--LEFT(S43,FIND("-",S43)-1),""))-(IFERROR(--MID(S43,FIND("-",S43)+1,99),"")))=SIGN((AW43)-(AX43)))+2*(((IFERROR(--LEFT(S43,FIND("-",S43)-1),""))-(IFERROR(--MID(S43,FIND("-",S43)+1,99),"")))=((AW43)-(AX43)))+2*((IFERROR(--LEFT(S43,FIND("-",S43)-1),""))=(AW43))+2*((IFERROR(--MID(S43,FIND("-",S43)+1,99),""))=(AX43))),""))</f>
        <v>10</v>
      </c>
      <c r="U43" s="10" t="s">
        <v>36</v>
      </c>
      <c r="V43" s="11">
        <f>IF(OR($C43="",U43=""),"",IFERROR(IF(AND(IFERROR(--LEFT(U43,FIND("-",U43)-1),"")=AW43,IFERROR(--MID(U43,FIND("-",U43)+1,99),"")=AX43),10,5*(SIGN((IFERROR(--LEFT(U43,FIND("-",U43)-1),""))-(IFERROR(--MID(U43,FIND("-",U43)+1,99),"")))=SIGN((AW43)-(AX43)))+2*(((IFERROR(--LEFT(U43,FIND("-",U43)-1),""))-(IFERROR(--MID(U43,FIND("-",U43)+1,99),"")))=((AW43)-(AX43)))+2*((IFERROR(--LEFT(U43,FIND("-",U43)-1),""))=(AW43))+2*((IFERROR(--MID(U43,FIND("-",U43)+1,99),""))=(AX43))),""))</f>
        <v>0</v>
      </c>
      <c r="W43" s="10" t="s">
        <v>33</v>
      </c>
      <c r="X43" s="11">
        <f>IF(OR($C43="",W43=""),"",IFERROR(IF(AND(IFERROR(--LEFT(W43,FIND("-",W43)-1),"")=AW43,IFERROR(--MID(W43,FIND("-",W43)+1,99),"")=AX43),10,5*(SIGN((IFERROR(--LEFT(W43,FIND("-",W43)-1),""))-(IFERROR(--MID(W43,FIND("-",W43)+1,99),"")))=SIGN((AW43)-(AX43)))+2*(((IFERROR(--LEFT(W43,FIND("-",W43)-1),""))-(IFERROR(--MID(W43,FIND("-",W43)+1,99),"")))=((AW43)-(AX43)))+2*((IFERROR(--LEFT(W43,FIND("-",W43)-1),""))=(AW43))+2*((IFERROR(--MID(W43,FIND("-",W43)+1,99),""))=(AX43))),""))</f>
        <v>2</v>
      </c>
      <c r="Y43" s="10" t="s">
        <v>36</v>
      </c>
      <c r="Z43" s="11">
        <f>IF(OR($C43="",Y43=""),"",IFERROR(IF(AND(IFERROR(--LEFT(Y43,FIND("-",Y43)-1),"")=AW43,IFERROR(--MID(Y43,FIND("-",Y43)+1,99),"")=AX43),10,5*(SIGN((IFERROR(--LEFT(Y43,FIND("-",Y43)-1),""))-(IFERROR(--MID(Y43,FIND("-",Y43)+1,99),"")))=SIGN((AW43)-(AX43)))+2*(((IFERROR(--LEFT(Y43,FIND("-",Y43)-1),""))-(IFERROR(--MID(Y43,FIND("-",Y43)+1,99),"")))=((AW43)-(AX43)))+2*((IFERROR(--LEFT(Y43,FIND("-",Y43)-1),""))=(AW43))+2*((IFERROR(--MID(Y43,FIND("-",Y43)+1,99),""))=(AX43))),""))</f>
        <v>0</v>
      </c>
      <c r="AA43" s="10" t="s">
        <v>49</v>
      </c>
      <c r="AB43" s="11">
        <f>IF(OR($C43="",AA43=""),"",IFERROR(IF(AND(IFERROR(--LEFT(AA43,FIND("-",AA43)-1),"")=AW43,IFERROR(--MID(AA43,FIND("-",AA43)+1,99),"")=AX43),10,5*(SIGN((IFERROR(--LEFT(AA43,FIND("-",AA43)-1),""))-(IFERROR(--MID(AA43,FIND("-",AA43)+1,99),"")))=SIGN((AW43)-(AX43)))+2*(((IFERROR(--LEFT(AA43,FIND("-",AA43)-1),""))-(IFERROR(--MID(AA43,FIND("-",AA43)+1,99),"")))=((AW43)-(AX43)))+2*((IFERROR(--LEFT(AA43,FIND("-",AA43)-1),""))=(AW43))+2*((IFERROR(--MID(AA43,FIND("-",AA43)+1,99),""))=(AX43))),""))</f>
        <v>7</v>
      </c>
      <c r="AC43" s="10" t="s">
        <v>49</v>
      </c>
      <c r="AD43" s="11">
        <f>IF(OR($C43="",AC43=""),"",IFERROR(IF(AND(IFERROR(--LEFT(AC43,FIND("-",AC43)-1),"")=AW43,IFERROR(--MID(AC43,FIND("-",AC43)+1,99),"")=AX43),10,5*(SIGN((IFERROR(--LEFT(AC43,FIND("-",AC43)-1),""))-(IFERROR(--MID(AC43,FIND("-",AC43)+1,99),"")))=SIGN((AW43)-(AX43)))+2*(((IFERROR(--LEFT(AC43,FIND("-",AC43)-1),""))-(IFERROR(--MID(AC43,FIND("-",AC43)+1,99),"")))=((AW43)-(AX43)))+2*((IFERROR(--LEFT(AC43,FIND("-",AC43)-1),""))=(AW43))+2*((IFERROR(--MID(AC43,FIND("-",AC43)+1,99),""))=(AX43))),""))</f>
        <v>7</v>
      </c>
      <c r="AE43" s="10" t="s">
        <v>36</v>
      </c>
      <c r="AF43" s="11">
        <f>IF(OR($C43="",AE43=""),"",IFERROR(IF(AND(IFERROR(--LEFT(AE43,FIND("-",AE43)-1),"")=AW43,IFERROR(--MID(AE43,FIND("-",AE43)+1,99),"")=AX43),10,5*(SIGN((IFERROR(--LEFT(AE43,FIND("-",AE43)-1),""))-(IFERROR(--MID(AE43,FIND("-",AE43)+1,99),"")))=SIGN((AW43)-(AX43)))+2*(((IFERROR(--LEFT(AE43,FIND("-",AE43)-1),""))-(IFERROR(--MID(AE43,FIND("-",AE43)+1,99),"")))=((AW43)-(AX43)))+2*((IFERROR(--LEFT(AE43,FIND("-",AE43)-1),""))=(AW43))+2*((IFERROR(--MID(AE43,FIND("-",AE43)+1,99),""))=(AX43))),""))</f>
        <v>0</v>
      </c>
      <c r="AG43" s="10" t="s">
        <v>39</v>
      </c>
      <c r="AH43" s="11">
        <f>IF(OR($C43="",AG43=""),"",IFERROR(IF(AND(IFERROR(--LEFT(AG43,FIND("-",AG43)-1),"")=AW43,IFERROR(--MID(AG43,FIND("-",AG43)+1,99),"")=AX43),10,5*(SIGN((IFERROR(--LEFT(AG43,FIND("-",AG43)-1),""))-(IFERROR(--MID(AG43,FIND("-",AG43)+1,99),"")))=SIGN((AW43)-(AX43)))+2*(((IFERROR(--LEFT(AG43,FIND("-",AG43)-1),""))-(IFERROR(--MID(AG43,FIND("-",AG43)+1,99),"")))=((AW43)-(AX43)))+2*((IFERROR(--LEFT(AG43,FIND("-",AG43)-1),""))=(AW43))+2*((IFERROR(--MID(AG43,FIND("-",AG43)+1,99),""))=(AX43))),""))</f>
        <v>2</v>
      </c>
      <c r="AI43" s="10" t="s">
        <v>36</v>
      </c>
      <c r="AJ43" s="11">
        <f>IF(OR($C43="",AI43=""),"",IFERROR(IF(AND(IFERROR(--LEFT(AI43,FIND("-",AI43)-1),"")=AW43,IFERROR(--MID(AI43,FIND("-",AI43)+1,99),"")=AX43),10,5*(SIGN((IFERROR(--LEFT(AI43,FIND("-",AI43)-1),""))-(IFERROR(--MID(AI43,FIND("-",AI43)+1,99),"")))=SIGN((AW43)-(AX43)))+2*(((IFERROR(--LEFT(AI43,FIND("-",AI43)-1),""))-(IFERROR(--MID(AI43,FIND("-",AI43)+1,99),"")))=((AW43)-(AX43)))+2*((IFERROR(--LEFT(AI43,FIND("-",AI43)-1),""))=(AW43))+2*((IFERROR(--MID(AI43,FIND("-",AI43)+1,99),""))=(AX43))),""))</f>
        <v>0</v>
      </c>
      <c r="AK43" s="10" t="s">
        <v>39</v>
      </c>
      <c r="AL43" s="11">
        <f>IF(OR($C43="",AK43=""),"",IFERROR(IF(AND(IFERROR(--LEFT(AK43,FIND("-",AK43)-1),"")=AW43,IFERROR(--MID(AK43,FIND("-",AK43)+1,99),"")=AX43),10,5*(SIGN((IFERROR(--LEFT(AK43,FIND("-",AK43)-1),""))-(IFERROR(--MID(AK43,FIND("-",AK43)+1,99),"")))=SIGN((AW43)-(AX43)))+2*(((IFERROR(--LEFT(AK43,FIND("-",AK43)-1),""))-(IFERROR(--MID(AK43,FIND("-",AK43)+1,99),"")))=((AW43)-(AX43)))+2*((IFERROR(--LEFT(AK43,FIND("-",AK43)-1),""))=(AW43))+2*((IFERROR(--MID(AK43,FIND("-",AK43)+1,99),""))=(AX43))),""))</f>
        <v>2</v>
      </c>
      <c r="AM43" s="10" t="s">
        <v>39</v>
      </c>
      <c r="AN43" s="11">
        <f>IF(OR($C43="",AM43=""),"",IFERROR(IF(AND(IFERROR(--LEFT(AM43,FIND("-",AM43)-1),"")=AW43,IFERROR(--MID(AM43,FIND("-",AM43)+1,99),"")=AX43),10,5*(SIGN((IFERROR(--LEFT(AM43,FIND("-",AM43)-1),""))-(IFERROR(--MID(AM43,FIND("-",AM43)+1,99),"")))=SIGN((AW43)-(AX43)))+2*(((IFERROR(--LEFT(AM43,FIND("-",AM43)-1),""))-(IFERROR(--MID(AM43,FIND("-",AM43)+1,99),"")))=((AW43)-(AX43)))+2*((IFERROR(--LEFT(AM43,FIND("-",AM43)-1),""))=(AW43))+2*((IFERROR(--MID(AM43,FIND("-",AM43)+1,99),""))=(AX43))),""))</f>
        <v>2</v>
      </c>
      <c r="AO43" s="10" t="s">
        <v>50</v>
      </c>
      <c r="AP43" s="11">
        <f>IF(OR($C43="",AO43=""),"",IFERROR(IF(AND(IFERROR(--LEFT(AO43,FIND("-",AO43)-1),"")=AW43,IFERROR(--MID(AO43,FIND("-",AO43)+1,99),"")=AX43),10,5*(SIGN((IFERROR(--LEFT(AO43,FIND("-",AO43)-1),""))-(IFERROR(--MID(AO43,FIND("-",AO43)+1,99),"")))=SIGN((AW43)-(AX43)))+2*(((IFERROR(--LEFT(AO43,FIND("-",AO43)-1),""))-(IFERROR(--MID(AO43,FIND("-",AO43)+1,99),"")))=((AW43)-(AX43)))+2*((IFERROR(--LEFT(AO43,FIND("-",AO43)-1),""))=(AW43))+2*((IFERROR(--MID(AO43,FIND("-",AO43)+1,99),""))=(AX43))),""))</f>
        <v>7</v>
      </c>
      <c r="AQ43" s="10" t="s">
        <v>37</v>
      </c>
      <c r="AR43" s="11">
        <f>IF(OR($C43="",AQ43=""),"",IFERROR(IF(AND(IFERROR(--LEFT(AQ43,FIND("-",AQ43)-1),"")=AW43,IFERROR(--MID(AQ43,FIND("-",AQ43)+1,99),"")=AX43),10,5*(SIGN((IFERROR(--LEFT(AQ43,FIND("-",AQ43)-1),""))-(IFERROR(--MID(AQ43,FIND("-",AQ43)+1,99),"")))=SIGN((AW43)-(AX43)))+2*(((IFERROR(--LEFT(AQ43,FIND("-",AQ43)-1),""))-(IFERROR(--MID(AQ43,FIND("-",AQ43)+1,99),"")))=((AW43)-(AX43)))+2*((IFERROR(--LEFT(AQ43,FIND("-",AQ43)-1),""))=(AW43))+2*((IFERROR(--MID(AQ43,FIND("-",AQ43)+1,99),""))=(AX43))),""))</f>
        <v>2</v>
      </c>
      <c r="AS43" s="10" t="s">
        <v>36</v>
      </c>
      <c r="AT43" s="11">
        <f>IF(OR($C43="",AS43=""),"",IFERROR(IF(AND(IFERROR(--LEFT(AS43,FIND("-",AS43)-1),"")=AW43,IFERROR(--MID(AS43,FIND("-",AS43)+1,99),"")=AX43),10,5*(SIGN((IFERROR(--LEFT(AS43,FIND("-",AS43)-1),""))-(IFERROR(--MID(AS43,FIND("-",AS43)+1,99),"")))=SIGN((AW43)-(AX43)))+2*(((IFERROR(--LEFT(AS43,FIND("-",AS43)-1),""))-(IFERROR(--MID(AS43,FIND("-",AS43)+1,99),"")))=((AW43)-(AX43)))+2*((IFERROR(--LEFT(AS43,FIND("-",AS43)-1),""))=(AW43))+2*((IFERROR(--MID(AS43,FIND("-",AS43)+1,99),""))=(AX43))),""))</f>
        <v>0</v>
      </c>
      <c r="AU43" s="10" t="s">
        <v>36</v>
      </c>
      <c r="AV43" s="11">
        <f>IF(OR($C43="",AU43=""),"",IFERROR(IF(AND(IFERROR(--LEFT(AU43,FIND("-",AU43)-1),"")=AW43,IFERROR(--MID(AU43,FIND("-",AU43)+1,99),"")=AX43),10,5*(SIGN((IFERROR(--LEFT(AU43,FIND("-",AU43)-1),""))-(IFERROR(--MID(AU43,FIND("-",AU43)+1,99),"")))=SIGN((AW43)-(AX43)))+2*(((IFERROR(--LEFT(AU43,FIND("-",AU43)-1),""))-(IFERROR(--MID(AU43,FIND("-",AU43)+1,99),"")))=((AW43)-(AX43)))+2*((IFERROR(--LEFT(AU43,FIND("-",AU43)-1),""))=(AW43))+2*((IFERROR(--MID(AU43,FIND("-",AU43)+1,99),""))=(AX43))),""))</f>
        <v>0</v>
      </c>
      <c r="AW43" s="11">
        <f>IF($C43="","",IFERROR(--LEFT($C43,FIND("-",$C43)-1),""))</f>
        <v>1</v>
      </c>
      <c r="AX43" s="11">
        <f>IF($C43="","",IFERROR(--MID($C43,FIND("-",$C43)+1,99),""))</f>
        <v>1</v>
      </c>
    </row>
    <row r="44" spans="1:50" ht="18" customHeight="1" x14ac:dyDescent="0.3">
      <c r="A44" s="9">
        <v>1.875</v>
      </c>
      <c r="B44" s="18" t="s">
        <v>55</v>
      </c>
      <c r="C44" s="10" t="s">
        <v>43</v>
      </c>
      <c r="D44" s="1" t="s">
        <v>47</v>
      </c>
      <c r="E44" s="10" t="s">
        <v>36</v>
      </c>
      <c r="F44" s="11">
        <f>IF(OR($C44="",E44=""),"",IFERROR(IF(AND(IFERROR(--LEFT(E44,FIND("-",E44)-1),"")=AW44,IFERROR(--MID(E44,FIND("-",E44)+1,99),"")=AX44),10,5*(SIGN((IFERROR(--LEFT(E44,FIND("-",E44)-1),""))-(IFERROR(--MID(E44,FIND("-",E44)+1,99),"")))=SIGN((AW44)-(AX44)))+2*(((IFERROR(--LEFT(E44,FIND("-",E44)-1),""))-(IFERROR(--MID(E44,FIND("-",E44)+1,99),"")))=((AW44)-(AX44)))+2*((IFERROR(--LEFT(E44,FIND("-",E44)-1),""))=(AW44))+2*((IFERROR(--MID(E44,FIND("-",E44)+1,99),""))=(AX44))),""))</f>
        <v>5</v>
      </c>
      <c r="G44" s="10" t="s">
        <v>45</v>
      </c>
      <c r="H44" s="11">
        <f>IF(OR($C44="",G44=""),"",IFERROR(IF(AND(IFERROR(--LEFT(G44,FIND("-",G44)-1),"")=AW44,IFERROR(--MID(G44,FIND("-",G44)+1,99),"")=AX44),10,5*(SIGN((IFERROR(--LEFT(G44,FIND("-",G44)-1),""))-(IFERROR(--MID(G44,FIND("-",G44)+1,99),"")))=SIGN((AW44)-(AX44)))+2*(((IFERROR(--LEFT(G44,FIND("-",G44)-1),""))-(IFERROR(--MID(G44,FIND("-",G44)+1,99),"")))=((AW44)-(AX44)))+2*((IFERROR(--LEFT(G44,FIND("-",G44)-1),""))=(AW44))+2*((IFERROR(--MID(G44,FIND("-",G44)+1,99),""))=(AX44))),""))</f>
        <v>2</v>
      </c>
      <c r="I44" s="10" t="s">
        <v>33</v>
      </c>
      <c r="J44" s="11">
        <f>IF(OR($C44="",I44=""),"",IFERROR(IF(AND(IFERROR(--LEFT(I44,FIND("-",I44)-1),"")=AW44,IFERROR(--MID(I44,FIND("-",I44)+1,99),"")=AX44),10,5*(SIGN((IFERROR(--LEFT(I44,FIND("-",I44)-1),""))-(IFERROR(--MID(I44,FIND("-",I44)+1,99),"")))=SIGN((AW44)-(AX44)))+2*(((IFERROR(--LEFT(I44,FIND("-",I44)-1),""))-(IFERROR(--MID(I44,FIND("-",I44)+1,99),"")))=((AW44)-(AX44)))+2*((IFERROR(--LEFT(I44,FIND("-",I44)-1),""))=(AW44))+2*((IFERROR(--MID(I44,FIND("-",I44)+1,99),""))=(AX44))),""))</f>
        <v>7</v>
      </c>
      <c r="K44" s="10" t="s">
        <v>33</v>
      </c>
      <c r="L44" s="11">
        <f>IF(OR($C44="",K44=""),"",IFERROR(IF(AND(IFERROR(--LEFT(K44,FIND("-",K44)-1),"")=AW44,IFERROR(--MID(K44,FIND("-",K44)+1,99),"")=AX44),10,5*(SIGN((IFERROR(--LEFT(K44,FIND("-",K44)-1),""))-(IFERROR(--MID(K44,FIND("-",K44)+1,99),"")))=SIGN((AW44)-(AX44)))+2*(((IFERROR(--LEFT(K44,FIND("-",K44)-1),""))-(IFERROR(--MID(K44,FIND("-",K44)+1,99),"")))=((AW44)-(AX44)))+2*((IFERROR(--LEFT(K44,FIND("-",K44)-1),""))=(AW44))+2*((IFERROR(--MID(K44,FIND("-",K44)+1,99),""))=(AX44))),""))</f>
        <v>7</v>
      </c>
      <c r="M44" s="10" t="s">
        <v>49</v>
      </c>
      <c r="N44" s="11">
        <f>IF(OR($C44="",M44=""),"",IFERROR(IF(AND(IFERROR(--LEFT(M44,FIND("-",M44)-1),"")=AW44,IFERROR(--MID(M44,FIND("-",M44)+1,99),"")=AX44),10,5*(SIGN((IFERROR(--LEFT(M44,FIND("-",M44)-1),""))-(IFERROR(--MID(M44,FIND("-",M44)+1,99),"")))=SIGN((AW44)-(AX44)))+2*(((IFERROR(--LEFT(M44,FIND("-",M44)-1),""))-(IFERROR(--MID(M44,FIND("-",M44)+1,99),"")))=((AW44)-(AX44)))+2*((IFERROR(--LEFT(M44,FIND("-",M44)-1),""))=(AW44))+2*((IFERROR(--MID(M44,FIND("-",M44)+1,99),""))=(AX44))),""))</f>
        <v>0</v>
      </c>
      <c r="O44" s="10" t="s">
        <v>36</v>
      </c>
      <c r="P44" s="11">
        <f>IF(OR($C44="",O44=""),"",IFERROR(IF(AND(IFERROR(--LEFT(O44,FIND("-",O44)-1),"")=AW44,IFERROR(--MID(O44,FIND("-",O44)+1,99),"")=AX44),10,5*(SIGN((IFERROR(--LEFT(O44,FIND("-",O44)-1),""))-(IFERROR(--MID(O44,FIND("-",O44)+1,99),"")))=SIGN((AW44)-(AX44)))+2*(((IFERROR(--LEFT(O44,FIND("-",O44)-1),""))-(IFERROR(--MID(O44,FIND("-",O44)+1,99),"")))=((AW44)-(AX44)))+2*((IFERROR(--LEFT(O44,FIND("-",O44)-1),""))=(AW44))+2*((IFERROR(--MID(O44,FIND("-",O44)+1,99),""))=(AX44))),""))</f>
        <v>5</v>
      </c>
      <c r="Q44" s="10" t="s">
        <v>49</v>
      </c>
      <c r="R44" s="11">
        <f>IF(OR($C44="",Q44=""),"",IFERROR(IF(AND(IFERROR(--LEFT(Q44,FIND("-",Q44)-1),"")=AW44,IFERROR(--MID(Q44,FIND("-",Q44)+1,99),"")=AX44),10,5*(SIGN((IFERROR(--LEFT(Q44,FIND("-",Q44)-1),""))-(IFERROR(--MID(Q44,FIND("-",Q44)+1,99),"")))=SIGN((AW44)-(AX44)))+2*(((IFERROR(--LEFT(Q44,FIND("-",Q44)-1),""))-(IFERROR(--MID(Q44,FIND("-",Q44)+1,99),"")))=((AW44)-(AX44)))+2*((IFERROR(--LEFT(Q44,FIND("-",Q44)-1),""))=(AW44))+2*((IFERROR(--MID(Q44,FIND("-",Q44)+1,99),""))=(AX44))),""))</f>
        <v>0</v>
      </c>
      <c r="S44" s="10" t="s">
        <v>49</v>
      </c>
      <c r="T44" s="11">
        <f>IF(OR($C44="",S44=""),"",IFERROR(IF(AND(IFERROR(--LEFT(S44,FIND("-",S44)-1),"")=AW44,IFERROR(--MID(S44,FIND("-",S44)+1,99),"")=AX44),10,5*(SIGN((IFERROR(--LEFT(S44,FIND("-",S44)-1),""))-(IFERROR(--MID(S44,FIND("-",S44)+1,99),"")))=SIGN((AW44)-(AX44)))+2*(((IFERROR(--LEFT(S44,FIND("-",S44)-1),""))-(IFERROR(--MID(S44,FIND("-",S44)+1,99),"")))=((AW44)-(AX44)))+2*((IFERROR(--LEFT(S44,FIND("-",S44)-1),""))=(AW44))+2*((IFERROR(--MID(S44,FIND("-",S44)+1,99),""))=(AX44))),""))</f>
        <v>0</v>
      </c>
      <c r="U44" s="10" t="s">
        <v>33</v>
      </c>
      <c r="V44" s="11">
        <f>IF(OR($C44="",U44=""),"",IFERROR(IF(AND(IFERROR(--LEFT(U44,FIND("-",U44)-1),"")=AW44,IFERROR(--MID(U44,FIND("-",U44)+1,99),"")=AX44),10,5*(SIGN((IFERROR(--LEFT(U44,FIND("-",U44)-1),""))-(IFERROR(--MID(U44,FIND("-",U44)+1,99),"")))=SIGN((AW44)-(AX44)))+2*(((IFERROR(--LEFT(U44,FIND("-",U44)-1),""))-(IFERROR(--MID(U44,FIND("-",U44)+1,99),"")))=((AW44)-(AX44)))+2*((IFERROR(--LEFT(U44,FIND("-",U44)-1),""))=(AW44))+2*((IFERROR(--MID(U44,FIND("-",U44)+1,99),""))=(AX44))),""))</f>
        <v>7</v>
      </c>
      <c r="W44" s="10" t="s">
        <v>35</v>
      </c>
      <c r="X44" s="11">
        <f>IF(OR($C44="",W44=""),"",IFERROR(IF(AND(IFERROR(--LEFT(W44,FIND("-",W44)-1),"")=AW44,IFERROR(--MID(W44,FIND("-",W44)+1,99),"")=AX44),10,5*(SIGN((IFERROR(--LEFT(W44,FIND("-",W44)-1),""))-(IFERROR(--MID(W44,FIND("-",W44)+1,99),"")))=SIGN((AW44)-(AX44)))+2*(((IFERROR(--LEFT(W44,FIND("-",W44)-1),""))-(IFERROR(--MID(W44,FIND("-",W44)+1,99),"")))=((AW44)-(AX44)))+2*((IFERROR(--LEFT(W44,FIND("-",W44)-1),""))=(AW44))+2*((IFERROR(--MID(W44,FIND("-",W44)+1,99),""))=(AX44))),""))</f>
        <v>2</v>
      </c>
      <c r="Y44" s="10" t="s">
        <v>33</v>
      </c>
      <c r="Z44" s="11">
        <f>IF(OR($C44="",Y44=""),"",IFERROR(IF(AND(IFERROR(--LEFT(Y44,FIND("-",Y44)-1),"")=AW44,IFERROR(--MID(Y44,FIND("-",Y44)+1,99),"")=AX44),10,5*(SIGN((IFERROR(--LEFT(Y44,FIND("-",Y44)-1),""))-(IFERROR(--MID(Y44,FIND("-",Y44)+1,99),"")))=SIGN((AW44)-(AX44)))+2*(((IFERROR(--LEFT(Y44,FIND("-",Y44)-1),""))-(IFERROR(--MID(Y44,FIND("-",Y44)+1,99),"")))=((AW44)-(AX44)))+2*((IFERROR(--LEFT(Y44,FIND("-",Y44)-1),""))=(AW44))+2*((IFERROR(--MID(Y44,FIND("-",Y44)+1,99),""))=(AX44))),""))</f>
        <v>7</v>
      </c>
      <c r="AA44" s="10" t="s">
        <v>37</v>
      </c>
      <c r="AB44" s="11">
        <f>IF(OR($C44="",AA44=""),"",IFERROR(IF(AND(IFERROR(--LEFT(AA44,FIND("-",AA44)-1),"")=AW44,IFERROR(--MID(AA44,FIND("-",AA44)+1,99),"")=AX44),10,5*(SIGN((IFERROR(--LEFT(AA44,FIND("-",AA44)-1),""))-(IFERROR(--MID(AA44,FIND("-",AA44)+1,99),"")))=SIGN((AW44)-(AX44)))+2*(((IFERROR(--LEFT(AA44,FIND("-",AA44)-1),""))-(IFERROR(--MID(AA44,FIND("-",AA44)+1,99),"")))=((AW44)-(AX44)))+2*((IFERROR(--LEFT(AA44,FIND("-",AA44)-1),""))=(AW44))+2*((IFERROR(--MID(AA44,FIND("-",AA44)+1,99),""))=(AX44))),""))</f>
        <v>0</v>
      </c>
      <c r="AC44" s="10" t="s">
        <v>33</v>
      </c>
      <c r="AD44" s="11">
        <f>IF(OR($C44="",AC44=""),"",IFERROR(IF(AND(IFERROR(--LEFT(AC44,FIND("-",AC44)-1),"")=AW44,IFERROR(--MID(AC44,FIND("-",AC44)+1,99),"")=AX44),10,5*(SIGN((IFERROR(--LEFT(AC44,FIND("-",AC44)-1),""))-(IFERROR(--MID(AC44,FIND("-",AC44)+1,99),"")))=SIGN((AW44)-(AX44)))+2*(((IFERROR(--LEFT(AC44,FIND("-",AC44)-1),""))-(IFERROR(--MID(AC44,FIND("-",AC44)+1,99),"")))=((AW44)-(AX44)))+2*((IFERROR(--LEFT(AC44,FIND("-",AC44)-1),""))=(AW44))+2*((IFERROR(--MID(AC44,FIND("-",AC44)+1,99),""))=(AX44))),""))</f>
        <v>7</v>
      </c>
      <c r="AE44" s="10" t="s">
        <v>33</v>
      </c>
      <c r="AF44" s="11">
        <f>IF(OR($C44="",AE44=""),"",IFERROR(IF(AND(IFERROR(--LEFT(AE44,FIND("-",AE44)-1),"")=AW44,IFERROR(--MID(AE44,FIND("-",AE44)+1,99),"")=AX44),10,5*(SIGN((IFERROR(--LEFT(AE44,FIND("-",AE44)-1),""))-(IFERROR(--MID(AE44,FIND("-",AE44)+1,99),"")))=SIGN((AW44)-(AX44)))+2*(((IFERROR(--LEFT(AE44,FIND("-",AE44)-1),""))-(IFERROR(--MID(AE44,FIND("-",AE44)+1,99),"")))=((AW44)-(AX44)))+2*((IFERROR(--LEFT(AE44,FIND("-",AE44)-1),""))=(AW44))+2*((IFERROR(--MID(AE44,FIND("-",AE44)+1,99),""))=(AX44))),""))</f>
        <v>7</v>
      </c>
      <c r="AG44" s="10" t="s">
        <v>33</v>
      </c>
      <c r="AH44" s="11">
        <f>IF(OR($C44="",AG44=""),"",IFERROR(IF(AND(IFERROR(--LEFT(AG44,FIND("-",AG44)-1),"")=AW44,IFERROR(--MID(AG44,FIND("-",AG44)+1,99),"")=AX44),10,5*(SIGN((IFERROR(--LEFT(AG44,FIND("-",AG44)-1),""))-(IFERROR(--MID(AG44,FIND("-",AG44)+1,99),"")))=SIGN((AW44)-(AX44)))+2*(((IFERROR(--LEFT(AG44,FIND("-",AG44)-1),""))-(IFERROR(--MID(AG44,FIND("-",AG44)+1,99),"")))=((AW44)-(AX44)))+2*((IFERROR(--LEFT(AG44,FIND("-",AG44)-1),""))=(AW44))+2*((IFERROR(--MID(AG44,FIND("-",AG44)+1,99),""))=(AX44))),""))</f>
        <v>7</v>
      </c>
      <c r="AI44" s="10" t="s">
        <v>39</v>
      </c>
      <c r="AJ44" s="11">
        <f>IF(OR($C44="",AI44=""),"",IFERROR(IF(AND(IFERROR(--LEFT(AI44,FIND("-",AI44)-1),"")=AW44,IFERROR(--MID(AI44,FIND("-",AI44)+1,99),"")=AX44),10,5*(SIGN((IFERROR(--LEFT(AI44,FIND("-",AI44)-1),""))-(IFERROR(--MID(AI44,FIND("-",AI44)+1,99),"")))=SIGN((AW44)-(AX44)))+2*(((IFERROR(--LEFT(AI44,FIND("-",AI44)-1),""))-(IFERROR(--MID(AI44,FIND("-",AI44)+1,99),"")))=((AW44)-(AX44)))+2*((IFERROR(--LEFT(AI44,FIND("-",AI44)-1),""))=(AW44))+2*((IFERROR(--MID(AI44,FIND("-",AI44)+1,99),""))=(AX44))),""))</f>
        <v>5</v>
      </c>
      <c r="AK44" s="10" t="s">
        <v>39</v>
      </c>
      <c r="AL44" s="11">
        <f>IF(OR($C44="",AK44=""),"",IFERROR(IF(AND(IFERROR(--LEFT(AK44,FIND("-",AK44)-1),"")=AW44,IFERROR(--MID(AK44,FIND("-",AK44)+1,99),"")=AX44),10,5*(SIGN((IFERROR(--LEFT(AK44,FIND("-",AK44)-1),""))-(IFERROR(--MID(AK44,FIND("-",AK44)+1,99),"")))=SIGN((AW44)-(AX44)))+2*(((IFERROR(--LEFT(AK44,FIND("-",AK44)-1),""))-(IFERROR(--MID(AK44,FIND("-",AK44)+1,99),"")))=((AW44)-(AX44)))+2*((IFERROR(--LEFT(AK44,FIND("-",AK44)-1),""))=(AW44))+2*((IFERROR(--MID(AK44,FIND("-",AK44)+1,99),""))=(AX44))),""))</f>
        <v>5</v>
      </c>
      <c r="AM44" s="10" t="s">
        <v>39</v>
      </c>
      <c r="AN44" s="11">
        <f>IF(OR($C44="",AM44=""),"",IFERROR(IF(AND(IFERROR(--LEFT(AM44,FIND("-",AM44)-1),"")=AW44,IFERROR(--MID(AM44,FIND("-",AM44)+1,99),"")=AX44),10,5*(SIGN((IFERROR(--LEFT(AM44,FIND("-",AM44)-1),""))-(IFERROR(--MID(AM44,FIND("-",AM44)+1,99),"")))=SIGN((AW44)-(AX44)))+2*(((IFERROR(--LEFT(AM44,FIND("-",AM44)-1),""))-(IFERROR(--MID(AM44,FIND("-",AM44)+1,99),"")))=((AW44)-(AX44)))+2*((IFERROR(--LEFT(AM44,FIND("-",AM44)-1),""))=(AW44))+2*((IFERROR(--MID(AM44,FIND("-",AM44)+1,99),""))=(AX44))),""))</f>
        <v>5</v>
      </c>
      <c r="AO44" s="10" t="s">
        <v>39</v>
      </c>
      <c r="AP44" s="11">
        <f>IF(OR($C44="",AO44=""),"",IFERROR(IF(AND(IFERROR(--LEFT(AO44,FIND("-",AO44)-1),"")=AW44,IFERROR(--MID(AO44,FIND("-",AO44)+1,99),"")=AX44),10,5*(SIGN((IFERROR(--LEFT(AO44,FIND("-",AO44)-1),""))-(IFERROR(--MID(AO44,FIND("-",AO44)+1,99),"")))=SIGN((AW44)-(AX44)))+2*(((IFERROR(--LEFT(AO44,FIND("-",AO44)-1),""))-(IFERROR(--MID(AO44,FIND("-",AO44)+1,99),"")))=((AW44)-(AX44)))+2*((IFERROR(--LEFT(AO44,FIND("-",AO44)-1),""))=(AW44))+2*((IFERROR(--MID(AO44,FIND("-",AO44)+1,99),""))=(AX44))),""))</f>
        <v>5</v>
      </c>
      <c r="AQ44" s="10" t="s">
        <v>33</v>
      </c>
      <c r="AR44" s="11">
        <f>IF(OR($C44="",AQ44=""),"",IFERROR(IF(AND(IFERROR(--LEFT(AQ44,FIND("-",AQ44)-1),"")=AW44,IFERROR(--MID(AQ44,FIND("-",AQ44)+1,99),"")=AX44),10,5*(SIGN((IFERROR(--LEFT(AQ44,FIND("-",AQ44)-1),""))-(IFERROR(--MID(AQ44,FIND("-",AQ44)+1,99),"")))=SIGN((AW44)-(AX44)))+2*(((IFERROR(--LEFT(AQ44,FIND("-",AQ44)-1),""))-(IFERROR(--MID(AQ44,FIND("-",AQ44)+1,99),"")))=((AW44)-(AX44)))+2*((IFERROR(--LEFT(AQ44,FIND("-",AQ44)-1),""))=(AW44))+2*((IFERROR(--MID(AQ44,FIND("-",AQ44)+1,99),""))=(AX44))),""))</f>
        <v>7</v>
      </c>
      <c r="AS44" s="10" t="s">
        <v>35</v>
      </c>
      <c r="AT44" s="11">
        <f>IF(OR($C44="",AS44=""),"",IFERROR(IF(AND(IFERROR(--LEFT(AS44,FIND("-",AS44)-1),"")=AW44,IFERROR(--MID(AS44,FIND("-",AS44)+1,99),"")=AX44),10,5*(SIGN((IFERROR(--LEFT(AS44,FIND("-",AS44)-1),""))-(IFERROR(--MID(AS44,FIND("-",AS44)+1,99),"")))=SIGN((AW44)-(AX44)))+2*(((IFERROR(--LEFT(AS44,FIND("-",AS44)-1),""))-(IFERROR(--MID(AS44,FIND("-",AS44)+1,99),"")))=((AW44)-(AX44)))+2*((IFERROR(--LEFT(AS44,FIND("-",AS44)-1),""))=(AW44))+2*((IFERROR(--MID(AS44,FIND("-",AS44)+1,99),""))=(AX44))),""))</f>
        <v>2</v>
      </c>
      <c r="AU44" s="10" t="s">
        <v>39</v>
      </c>
      <c r="AV44" s="11">
        <f>IF(OR($C44="",AU44=""),"",IFERROR(IF(AND(IFERROR(--LEFT(AU44,FIND("-",AU44)-1),"")=AW44,IFERROR(--MID(AU44,FIND("-",AU44)+1,99),"")=AX44),10,5*(SIGN((IFERROR(--LEFT(AU44,FIND("-",AU44)-1),""))-(IFERROR(--MID(AU44,FIND("-",AU44)+1,99),"")))=SIGN((AW44)-(AX44)))+2*(((IFERROR(--LEFT(AU44,FIND("-",AU44)-1),""))-(IFERROR(--MID(AU44,FIND("-",AU44)+1,99),"")))=((AW44)-(AX44)))+2*((IFERROR(--LEFT(AU44,FIND("-",AU44)-1),""))=(AW44))+2*((IFERROR(--MID(AU44,FIND("-",AU44)+1,99),""))=(AX44))),""))</f>
        <v>5</v>
      </c>
      <c r="AW44" s="11">
        <f>IF($C44="","",IFERROR(--LEFT($C44,FIND("-",$C44)-1),""))</f>
        <v>4</v>
      </c>
      <c r="AX44" s="11">
        <f>IF($C44="","",IFERROR(--MID($C44,FIND("-",$C44)+1,99),""))</f>
        <v>1</v>
      </c>
    </row>
    <row r="45" spans="1:50" ht="18" customHeight="1" x14ac:dyDescent="0.3">
      <c r="A45" s="12"/>
      <c r="B45" s="18"/>
      <c r="C45" s="13"/>
      <c r="D45" s="1"/>
      <c r="E45" s="22"/>
      <c r="F45" s="12"/>
      <c r="G45" s="22"/>
      <c r="H45" s="12"/>
      <c r="I45" s="22"/>
      <c r="J45" s="12"/>
      <c r="K45" s="22"/>
      <c r="L45" s="12"/>
      <c r="M45" s="22"/>
      <c r="N45" s="12"/>
      <c r="O45" s="22"/>
      <c r="P45" s="12"/>
      <c r="Q45" s="22"/>
      <c r="R45" s="12"/>
      <c r="S45" s="22"/>
      <c r="T45" s="12"/>
      <c r="U45" s="13"/>
      <c r="V45" s="12"/>
      <c r="W45" s="22"/>
      <c r="X45" s="12"/>
      <c r="Y45" s="22"/>
      <c r="Z45" s="12"/>
      <c r="AA45" s="22"/>
      <c r="AB45" s="12"/>
      <c r="AC45" s="22"/>
      <c r="AD45" s="12"/>
      <c r="AE45" s="22"/>
      <c r="AF45" s="12"/>
      <c r="AG45" s="22"/>
      <c r="AH45" s="12"/>
      <c r="AI45" s="22"/>
      <c r="AJ45" s="12"/>
      <c r="AK45" s="22"/>
      <c r="AL45" s="12"/>
      <c r="AM45" s="22"/>
      <c r="AN45" s="12"/>
      <c r="AO45" s="22"/>
      <c r="AP45" s="12"/>
      <c r="AQ45" s="22"/>
      <c r="AR45" s="12" t="str">
        <f>IF(OR($C45="",AQ45=""),"",IFERROR(IF(AND(IFERROR(--LEFT(AQ45,FIND("-",AQ45)-1),"")=AW45,IFERROR(--MID(AQ45,FIND("-",AQ45)+1,99),"")=AX45),10,5*(SIGN((IFERROR(--LEFT(AQ45,FIND("-",AQ45)-1),""))-(IFERROR(--MID(AQ45,FIND("-",AQ45)+1,99),"")))=SIGN((AW45)-(AX45)))+2*(((IFERROR(--LEFT(AQ45,FIND("-",AQ45)-1),""))-(IFERROR(--MID(AQ45,FIND("-",AQ45)+1,99),"")))=((AW45)-(AX45)))+2*((IFERROR(--LEFT(AQ45,FIND("-",AQ45)-1),""))=(AW45))+2*((IFERROR(--MID(AQ45,FIND("-",AQ45)+1,99),""))=(AX45))),""))</f>
        <v/>
      </c>
      <c r="AS45" s="22"/>
      <c r="AT45" s="12" t="str">
        <f>IF(OR($C45="",AS45=""),"",IFERROR(IF(AND(IFERROR(--LEFT(AS45,FIND("-",AS45)-1),"")=AW45,IFERROR(--MID(AS45,FIND("-",AS45)+1,99),"")=AX45),10,5*(SIGN((IFERROR(--LEFT(AS45,FIND("-",AS45)-1),""))-(IFERROR(--MID(AS45,FIND("-",AS45)+1,99),"")))=SIGN((AW45)-(AX45)))+2*(((IFERROR(--LEFT(AS45,FIND("-",AS45)-1),""))-(IFERROR(--MID(AS45,FIND("-",AS45)+1,99),"")))=((AW45)-(AX45)))+2*((IFERROR(--LEFT(AS45,FIND("-",AS45)-1),""))=(AW45))+2*((IFERROR(--MID(AS45,FIND("-",AS45)+1,99),""))=(AX45))),""))</f>
        <v/>
      </c>
      <c r="AU45" s="22"/>
      <c r="AV45" s="12"/>
      <c r="AW45" s="12"/>
      <c r="AX45" s="12"/>
    </row>
    <row r="46" spans="1:50" ht="20.100000000000001" customHeight="1" x14ac:dyDescent="0.3">
      <c r="A46" s="36" t="s">
        <v>110</v>
      </c>
      <c r="B46" s="37"/>
      <c r="C46" s="38"/>
      <c r="D46" s="37"/>
      <c r="E46" s="38"/>
      <c r="F46" s="37"/>
      <c r="G46" s="38"/>
      <c r="H46" s="37"/>
      <c r="I46" s="38"/>
      <c r="J46" s="37"/>
      <c r="K46" s="38"/>
      <c r="L46" s="37"/>
      <c r="M46" s="38"/>
      <c r="N46" s="37"/>
      <c r="O46" s="38"/>
      <c r="P46" s="37"/>
      <c r="Q46" s="38"/>
      <c r="R46" s="37"/>
      <c r="S46" s="38"/>
      <c r="T46" s="37"/>
      <c r="U46" s="38"/>
      <c r="V46" s="37"/>
      <c r="W46" s="38"/>
      <c r="X46" s="37"/>
      <c r="Y46" s="38"/>
      <c r="Z46" s="37"/>
      <c r="AA46" s="38"/>
      <c r="AB46" s="37"/>
      <c r="AC46" s="38"/>
      <c r="AD46" s="37"/>
      <c r="AE46" s="38"/>
      <c r="AF46" s="37"/>
      <c r="AG46" s="38"/>
      <c r="AH46" s="37"/>
      <c r="AI46" s="38"/>
      <c r="AJ46" s="37"/>
      <c r="AK46" s="38"/>
      <c r="AL46" s="37"/>
      <c r="AM46" s="38"/>
      <c r="AN46" s="37"/>
      <c r="AO46" s="38"/>
      <c r="AP46" s="37"/>
      <c r="AQ46" s="37"/>
      <c r="AR46" s="37"/>
      <c r="AS46" s="37"/>
      <c r="AT46" s="37"/>
      <c r="AU46" s="38"/>
      <c r="AV46" s="39"/>
      <c r="AW46" s="8"/>
      <c r="AX46" s="8"/>
    </row>
    <row r="47" spans="1:50" ht="18" customHeight="1" x14ac:dyDescent="0.3">
      <c r="A47" s="9">
        <v>1</v>
      </c>
      <c r="B47" s="18" t="s">
        <v>46</v>
      </c>
      <c r="C47" s="10" t="s">
        <v>72</v>
      </c>
      <c r="D47" s="1" t="s">
        <v>54</v>
      </c>
      <c r="E47" s="10" t="s">
        <v>33</v>
      </c>
      <c r="F47" s="11">
        <f>IF(OR($C47="",E47=""),"",IFERROR(IF(AND(IFERROR(--LEFT(E47,FIND("-",E47)-1),"")=AW47,IFERROR(--MID(E47,FIND("-",E47)+1,99),"")=AX47),10,5*(SIGN((IFERROR(--LEFT(E47,FIND("-",E47)-1),""))-(IFERROR(--MID(E47,FIND("-",E47)+1,99),"")))=SIGN((AW47)-(AX47)))+2*(((IFERROR(--LEFT(E47,FIND("-",E47)-1),""))-(IFERROR(--MID(E47,FIND("-",E47)+1,99),"")))=((AW47)-(AX47)))+2*((IFERROR(--LEFT(E47,FIND("-",E47)-1),""))=(AW47))+2*((IFERROR(--MID(E47,FIND("-",E47)+1,99),""))=(AX47))),""))</f>
        <v>5</v>
      </c>
      <c r="G47" s="10" t="s">
        <v>61</v>
      </c>
      <c r="H47" s="11">
        <f>IF(OR($C47="",G47=""),"",IFERROR(IF(AND(IFERROR(--LEFT(G47,FIND("-",G47)-1),"")=AW47,IFERROR(--MID(G47,FIND("-",G47)+1,99),"")=AX47),10,5*(SIGN((IFERROR(--LEFT(G47,FIND("-",G47)-1),""))-(IFERROR(--MID(G47,FIND("-",G47)+1,99),"")))=SIGN((AW47)-(AX47)))+2*(((IFERROR(--LEFT(G47,FIND("-",G47)-1),""))-(IFERROR(--MID(G47,FIND("-",G47)+1,99),"")))=((AW47)-(AX47)))+2*((IFERROR(--LEFT(G47,FIND("-",G47)-1),""))=(AW47))+2*((IFERROR(--MID(G47,FIND("-",G47)+1,99),""))=(AX47))),""))</f>
        <v>5</v>
      </c>
      <c r="I47" s="10" t="s">
        <v>39</v>
      </c>
      <c r="J47" s="11">
        <f>IF(OR($C47="",I47=""),"",IFERROR(IF(AND(IFERROR(--LEFT(I47,FIND("-",I47)-1),"")=AW47,IFERROR(--MID(I47,FIND("-",I47)+1,99),"")=AX47),10,5*(SIGN((IFERROR(--LEFT(I47,FIND("-",I47)-1),""))-(IFERROR(--MID(I47,FIND("-",I47)+1,99),"")))=SIGN((AW47)-(AX47)))+2*(((IFERROR(--LEFT(I47,FIND("-",I47)-1),""))-(IFERROR(--MID(I47,FIND("-",I47)+1,99),"")))=((AW47)-(AX47)))+2*((IFERROR(--LEFT(I47,FIND("-",I47)-1),""))=(AW47))+2*((IFERROR(--MID(I47,FIND("-",I47)+1,99),""))=(AX47))),""))</f>
        <v>7</v>
      </c>
      <c r="K47" s="10" t="s">
        <v>36</v>
      </c>
      <c r="L47" s="11">
        <f>IF(OR($C47="",K47=""),"",IFERROR(IF(AND(IFERROR(--LEFT(K47,FIND("-",K47)-1),"")=AW47,IFERROR(--MID(K47,FIND("-",K47)+1,99),"")=AX47),10,5*(SIGN((IFERROR(--LEFT(K47,FIND("-",K47)-1),""))-(IFERROR(--MID(K47,FIND("-",K47)+1,99),"")))=SIGN((AW47)-(AX47)))+2*(((IFERROR(--LEFT(K47,FIND("-",K47)-1),""))-(IFERROR(--MID(K47,FIND("-",K47)+1,99),"")))=((AW47)-(AX47)))+2*((IFERROR(--LEFT(K47,FIND("-",K47)-1),""))=(AW47))+2*((IFERROR(--MID(K47,FIND("-",K47)+1,99),""))=(AX47))),""))</f>
        <v>7</v>
      </c>
      <c r="M47" s="10" t="s">
        <v>36</v>
      </c>
      <c r="N47" s="11">
        <f>IF(OR($C47="",M47=""),"",IFERROR(IF(AND(IFERROR(--LEFT(M47,FIND("-",M47)-1),"")=AW47,IFERROR(--MID(M47,FIND("-",M47)+1,99),"")=AX47),10,5*(SIGN((IFERROR(--LEFT(M47,FIND("-",M47)-1),""))-(IFERROR(--MID(M47,FIND("-",M47)+1,99),"")))=SIGN((AW47)-(AX47)))+2*(((IFERROR(--LEFT(M47,FIND("-",M47)-1),""))-(IFERROR(--MID(M47,FIND("-",M47)+1,99),"")))=((AW47)-(AX47)))+2*((IFERROR(--LEFT(M47,FIND("-",M47)-1),""))=(AW47))+2*((IFERROR(--MID(M47,FIND("-",M47)+1,99),""))=(AX47))),""))</f>
        <v>7</v>
      </c>
      <c r="O47" s="10" t="s">
        <v>36</v>
      </c>
      <c r="P47" s="11">
        <f>IF(OR($C47="",O47=""),"",IFERROR(IF(AND(IFERROR(--LEFT(O47,FIND("-",O47)-1),"")=AW47,IFERROR(--MID(O47,FIND("-",O47)+1,99),"")=AX47),10,5*(SIGN((IFERROR(--LEFT(O47,FIND("-",O47)-1),""))-(IFERROR(--MID(O47,FIND("-",O47)+1,99),"")))=SIGN((AW47)-(AX47)))+2*(((IFERROR(--LEFT(O47,FIND("-",O47)-1),""))-(IFERROR(--MID(O47,FIND("-",O47)+1,99),"")))=((AW47)-(AX47)))+2*((IFERROR(--LEFT(O47,FIND("-",O47)-1),""))=(AW47))+2*((IFERROR(--MID(O47,FIND("-",O47)+1,99),""))=(AX47))),""))</f>
        <v>7</v>
      </c>
      <c r="Q47" s="10" t="s">
        <v>38</v>
      </c>
      <c r="R47" s="11">
        <f>IF(OR($C47="",Q47=""),"",IFERROR(IF(AND(IFERROR(--LEFT(Q47,FIND("-",Q47)-1),"")=AW47,IFERROR(--MID(Q47,FIND("-",Q47)+1,99),"")=AX47),10,5*(SIGN((IFERROR(--LEFT(Q47,FIND("-",Q47)-1),""))-(IFERROR(--MID(Q47,FIND("-",Q47)+1,99),"")))=SIGN((AW47)-(AX47)))+2*(((IFERROR(--LEFT(Q47,FIND("-",Q47)-1),""))-(IFERROR(--MID(Q47,FIND("-",Q47)+1,99),"")))=((AW47)-(AX47)))+2*((IFERROR(--LEFT(Q47,FIND("-",Q47)-1),""))=(AW47))+2*((IFERROR(--MID(Q47,FIND("-",Q47)+1,99),""))=(AX47))),""))</f>
        <v>7</v>
      </c>
      <c r="S47" s="10" t="s">
        <v>37</v>
      </c>
      <c r="T47" s="11">
        <f>IF(OR($C47="",S47=""),"",IFERROR(IF(AND(IFERROR(--LEFT(S47,FIND("-",S47)-1),"")=AW47,IFERROR(--MID(S47,FIND("-",S47)+1,99),"")=AX47),10,5*(SIGN((IFERROR(--LEFT(S47,FIND("-",S47)-1),""))-(IFERROR(--MID(S47,FIND("-",S47)+1,99),"")))=SIGN((AW47)-(AX47)))+2*(((IFERROR(--LEFT(S47,FIND("-",S47)-1),""))-(IFERROR(--MID(S47,FIND("-",S47)+1,99),"")))=((AW47)-(AX47)))+2*((IFERROR(--LEFT(S47,FIND("-",S47)-1),""))=(AW47))+2*((IFERROR(--MID(S47,FIND("-",S47)+1,99),""))=(AX47))),""))</f>
        <v>0</v>
      </c>
      <c r="U47" s="10" t="s">
        <v>36</v>
      </c>
      <c r="V47" s="11">
        <f>IF(OR($C47="",U47=""),"",IFERROR(IF(AND(IFERROR(--LEFT(U47,FIND("-",U47)-1),"")=AW47,IFERROR(--MID(U47,FIND("-",U47)+1,99),"")=AX47),10,5*(SIGN((IFERROR(--LEFT(U47,FIND("-",U47)-1),""))-(IFERROR(--MID(U47,FIND("-",U47)+1,99),"")))=SIGN((AW47)-(AX47)))+2*(((IFERROR(--LEFT(U47,FIND("-",U47)-1),""))-(IFERROR(--MID(U47,FIND("-",U47)+1,99),"")))=((AW47)-(AX47)))+2*((IFERROR(--LEFT(U47,FIND("-",U47)-1),""))=(AW47))+2*((IFERROR(--MID(U47,FIND("-",U47)+1,99),""))=(AX47))),""))</f>
        <v>7</v>
      </c>
      <c r="W47" s="10" t="s">
        <v>33</v>
      </c>
      <c r="X47" s="11">
        <f>IF(OR($C47="",W47=""),"",IFERROR(IF(AND(IFERROR(--LEFT(W47,FIND("-",W47)-1),"")=AW47,IFERROR(--MID(W47,FIND("-",W47)+1,99),"")=AX47),10,5*(SIGN((IFERROR(--LEFT(W47,FIND("-",W47)-1),""))-(IFERROR(--MID(W47,FIND("-",W47)+1,99),"")))=SIGN((AW47)-(AX47)))+2*(((IFERROR(--LEFT(W47,FIND("-",W47)-1),""))-(IFERROR(--MID(W47,FIND("-",W47)+1,99),"")))=((AW47)-(AX47)))+2*((IFERROR(--LEFT(W47,FIND("-",W47)-1),""))=(AW47))+2*((IFERROR(--MID(W47,FIND("-",W47)+1,99),""))=(AX47))),""))</f>
        <v>5</v>
      </c>
      <c r="Y47" s="10" t="s">
        <v>38</v>
      </c>
      <c r="Z47" s="11">
        <f>IF(OR($C47="",Y47=""),"",IFERROR(IF(AND(IFERROR(--LEFT(Y47,FIND("-",Y47)-1),"")=AW47,IFERROR(--MID(Y47,FIND("-",Y47)+1,99),"")=AX47),10,5*(SIGN((IFERROR(--LEFT(Y47,FIND("-",Y47)-1),""))-(IFERROR(--MID(Y47,FIND("-",Y47)+1,99),"")))=SIGN((AW47)-(AX47)))+2*(((IFERROR(--LEFT(Y47,FIND("-",Y47)-1),""))-(IFERROR(--MID(Y47,FIND("-",Y47)+1,99),"")))=((AW47)-(AX47)))+2*((IFERROR(--LEFT(Y47,FIND("-",Y47)-1),""))=(AW47))+2*((IFERROR(--MID(Y47,FIND("-",Y47)+1,99),""))=(AX47))),""))</f>
        <v>7</v>
      </c>
      <c r="AA47" s="10" t="s">
        <v>50</v>
      </c>
      <c r="AB47" s="11">
        <f>IF(OR($C47="",AA47=""),"",IFERROR(IF(AND(IFERROR(--LEFT(AA47,FIND("-",AA47)-1),"")=AW47,IFERROR(--MID(AA47,FIND("-",AA47)+1,99),"")=AX47),10,5*(SIGN((IFERROR(--LEFT(AA47,FIND("-",AA47)-1),""))-(IFERROR(--MID(AA47,FIND("-",AA47)+1,99),"")))=SIGN((AW47)-(AX47)))+2*(((IFERROR(--LEFT(AA47,FIND("-",AA47)-1),""))-(IFERROR(--MID(AA47,FIND("-",AA47)+1,99),"")))=((AW47)-(AX47)))+2*((IFERROR(--LEFT(AA47,FIND("-",AA47)-1),""))=(AW47))+2*((IFERROR(--MID(AA47,FIND("-",AA47)+1,99),""))=(AX47))),""))</f>
        <v>2</v>
      </c>
      <c r="AC47" s="10" t="s">
        <v>33</v>
      </c>
      <c r="AD47" s="11">
        <f>IF(OR($C47="",AC47=""),"",IFERROR(IF(AND(IFERROR(--LEFT(AC47,FIND("-",AC47)-1),"")=AW47,IFERROR(--MID(AC47,FIND("-",AC47)+1,99),"")=AX47),10,5*(SIGN((IFERROR(--LEFT(AC47,FIND("-",AC47)-1),""))-(IFERROR(--MID(AC47,FIND("-",AC47)+1,99),"")))=SIGN((AW47)-(AX47)))+2*(((IFERROR(--LEFT(AC47,FIND("-",AC47)-1),""))-(IFERROR(--MID(AC47,FIND("-",AC47)+1,99),"")))=((AW47)-(AX47)))+2*((IFERROR(--LEFT(AC47,FIND("-",AC47)-1),""))=(AW47))+2*((IFERROR(--MID(AC47,FIND("-",AC47)+1,99),""))=(AX47))),""))</f>
        <v>5</v>
      </c>
      <c r="AE47" s="10" t="s">
        <v>35</v>
      </c>
      <c r="AF47" s="11">
        <f>IF(OR($C47="",AE47=""),"",IFERROR(IF(AND(IFERROR(--LEFT(AE47,FIND("-",AE47)-1),"")=AW47,IFERROR(--MID(AE47,FIND("-",AE47)+1,99),"")=AX47),10,5*(SIGN((IFERROR(--LEFT(AE47,FIND("-",AE47)-1),""))-(IFERROR(--MID(AE47,FIND("-",AE47)+1,99),"")))=SIGN((AW47)-(AX47)))+2*(((IFERROR(--LEFT(AE47,FIND("-",AE47)-1),""))-(IFERROR(--MID(AE47,FIND("-",AE47)+1,99),"")))=((AW47)-(AX47)))+2*((IFERROR(--LEFT(AE47,FIND("-",AE47)-1),""))=(AW47))+2*((IFERROR(--MID(AE47,FIND("-",AE47)+1,99),""))=(AX47))),""))</f>
        <v>0</v>
      </c>
      <c r="AG47" s="10" t="s">
        <v>34</v>
      </c>
      <c r="AH47" s="11">
        <f>IF(OR($C47="",AG47=""),"",IFERROR(IF(AND(IFERROR(--LEFT(AG47,FIND("-",AG47)-1),"")=AW47,IFERROR(--MID(AG47,FIND("-",AG47)+1,99),"")=AX47),10,5*(SIGN((IFERROR(--LEFT(AG47,FIND("-",AG47)-1),""))-(IFERROR(--MID(AG47,FIND("-",AG47)+1,99),"")))=SIGN((AW47)-(AX47)))+2*(((IFERROR(--LEFT(AG47,FIND("-",AG47)-1),""))-(IFERROR(--MID(AG47,FIND("-",AG47)+1,99),"")))=((AW47)-(AX47)))+2*((IFERROR(--LEFT(AG47,FIND("-",AG47)-1),""))=(AW47))+2*((IFERROR(--MID(AG47,FIND("-",AG47)+1,99),""))=(AX47))),""))</f>
        <v>5</v>
      </c>
      <c r="AI47" s="10" t="s">
        <v>35</v>
      </c>
      <c r="AJ47" s="11">
        <f>IF(OR($C47="",AI47=""),"",IFERROR(IF(AND(IFERROR(--LEFT(AI47,FIND("-",AI47)-1),"")=AW47,IFERROR(--MID(AI47,FIND("-",AI47)+1,99),"")=AX47),10,5*(SIGN((IFERROR(--LEFT(AI47,FIND("-",AI47)-1),""))-(IFERROR(--MID(AI47,FIND("-",AI47)+1,99),"")))=SIGN((AW47)-(AX47)))+2*(((IFERROR(--LEFT(AI47,FIND("-",AI47)-1),""))-(IFERROR(--MID(AI47,FIND("-",AI47)+1,99),"")))=((AW47)-(AX47)))+2*((IFERROR(--LEFT(AI47,FIND("-",AI47)-1),""))=(AW47))+2*((IFERROR(--MID(AI47,FIND("-",AI47)+1,99),""))=(AX47))),""))</f>
        <v>0</v>
      </c>
      <c r="AK47" s="10" t="s">
        <v>35</v>
      </c>
      <c r="AL47" s="11">
        <f>IF(OR($C47="",AK47=""),"",IFERROR(IF(AND(IFERROR(--LEFT(AK47,FIND("-",AK47)-1),"")=AW47,IFERROR(--MID(AK47,FIND("-",AK47)+1,99),"")=AX47),10,5*(SIGN((IFERROR(--LEFT(AK47,FIND("-",AK47)-1),""))-(IFERROR(--MID(AK47,FIND("-",AK47)+1,99),"")))=SIGN((AW47)-(AX47)))+2*(((IFERROR(--LEFT(AK47,FIND("-",AK47)-1),""))-(IFERROR(--MID(AK47,FIND("-",AK47)+1,99),"")))=((AW47)-(AX47)))+2*((IFERROR(--LEFT(AK47,FIND("-",AK47)-1),""))=(AW47))+2*((IFERROR(--MID(AK47,FIND("-",AK47)+1,99),""))=(AX47))),""))</f>
        <v>0</v>
      </c>
      <c r="AM47" s="10" t="s">
        <v>49</v>
      </c>
      <c r="AN47" s="11">
        <f>IF(OR($C47="",AM47=""),"",IFERROR(IF(AND(IFERROR(--LEFT(AM47,FIND("-",AM47)-1),"")=AW47,IFERROR(--MID(AM47,FIND("-",AM47)+1,99),"")=AX47),10,5*(SIGN((IFERROR(--LEFT(AM47,FIND("-",AM47)-1),""))-(IFERROR(--MID(AM47,FIND("-",AM47)+1,99),"")))=SIGN((AW47)-(AX47)))+2*(((IFERROR(--LEFT(AM47,FIND("-",AM47)-1),""))-(IFERROR(--MID(AM47,FIND("-",AM47)+1,99),"")))=((AW47)-(AX47)))+2*((IFERROR(--LEFT(AM47,FIND("-",AM47)-1),""))=(AW47))+2*((IFERROR(--MID(AM47,FIND("-",AM47)+1,99),""))=(AX47))),""))</f>
        <v>0</v>
      </c>
      <c r="AO47" s="10" t="s">
        <v>35</v>
      </c>
      <c r="AP47" s="11">
        <f>IF(OR($C47="",AO47=""),"",IFERROR(IF(AND(IFERROR(--LEFT(AO47,FIND("-",AO47)-1),"")=AW47,IFERROR(--MID(AO47,FIND("-",AO47)+1,99),"")=AX47),10,5*(SIGN((IFERROR(--LEFT(AO47,FIND("-",AO47)-1),""))-(IFERROR(--MID(AO47,FIND("-",AO47)+1,99),"")))=SIGN((AW47)-(AX47)))+2*(((IFERROR(--LEFT(AO47,FIND("-",AO47)-1),""))-(IFERROR(--MID(AO47,FIND("-",AO47)+1,99),"")))=((AW47)-(AX47)))+2*((IFERROR(--LEFT(AO47,FIND("-",AO47)-1),""))=(AW47))+2*((IFERROR(--MID(AO47,FIND("-",AO47)+1,99),""))=(AX47))),""))</f>
        <v>0</v>
      </c>
      <c r="AQ47" s="10" t="s">
        <v>37</v>
      </c>
      <c r="AR47" s="11">
        <f>IF(OR($C47="",AQ47=""),"",IFERROR(IF(AND(IFERROR(--LEFT(AQ47,FIND("-",AQ47)-1),"")=AW47,IFERROR(--MID(AQ47,FIND("-",AQ47)+1,99),"")=AX47),10,5*(SIGN((IFERROR(--LEFT(AQ47,FIND("-",AQ47)-1),""))-(IFERROR(--MID(AQ47,FIND("-",AQ47)+1,99),"")))=SIGN((AW47)-(AX47)))+2*(((IFERROR(--LEFT(AQ47,FIND("-",AQ47)-1),""))-(IFERROR(--MID(AQ47,FIND("-",AQ47)+1,99),"")))=((AW47)-(AX47)))+2*((IFERROR(--LEFT(AQ47,FIND("-",AQ47)-1),""))=(AW47))+2*((IFERROR(--MID(AQ47,FIND("-",AQ47)+1,99),""))=(AX47))),""))</f>
        <v>0</v>
      </c>
      <c r="AS47" s="10" t="s">
        <v>50</v>
      </c>
      <c r="AT47" s="11">
        <f>IF(OR($C47="",AS47=""),"",IFERROR(IF(AND(IFERROR(--LEFT(AS47,FIND("-",AS47)-1),"")=AW47,IFERROR(--MID(AS47,FIND("-",AS47)+1,99),"")=AX47),10,5*(SIGN((IFERROR(--LEFT(AS47,FIND("-",AS47)-1),""))-(IFERROR(--MID(AS47,FIND("-",AS47)+1,99),"")))=SIGN((AW47)-(AX47)))+2*(((IFERROR(--LEFT(AS47,FIND("-",AS47)-1),""))-(IFERROR(--MID(AS47,FIND("-",AS47)+1,99),"")))=((AW47)-(AX47)))+2*((IFERROR(--LEFT(AS47,FIND("-",AS47)-1),""))=(AW47))+2*((IFERROR(--MID(AS47,FIND("-",AS47)+1,99),""))=(AX47))),""))</f>
        <v>2</v>
      </c>
      <c r="AU47" s="10" t="s">
        <v>33</v>
      </c>
      <c r="AV47" s="11">
        <f>IF(OR($C47="",AU47=""),"",IFERROR(IF(AND(IFERROR(--LEFT(AU47,FIND("-",AU47)-1),"")=AW47,IFERROR(--MID(AU47,FIND("-",AU47)+1,99),"")=AX47),10,5*(SIGN((IFERROR(--LEFT(AU47,FIND("-",AU47)-1),""))-(IFERROR(--MID(AU47,FIND("-",AU47)+1,99),"")))=SIGN((AW47)-(AX47)))+2*(((IFERROR(--LEFT(AU47,FIND("-",AU47)-1),""))-(IFERROR(--MID(AU47,FIND("-",AU47)+1,99),"")))=((AW47)-(AX47)))+2*((IFERROR(--LEFT(AU47,FIND("-",AU47)-1),""))=(AW47))+2*((IFERROR(--MID(AU47,FIND("-",AU47)+1,99),""))=(AX47))),""))</f>
        <v>5</v>
      </c>
      <c r="AW47" s="11">
        <f>IF($C47="","",IFERROR(--LEFT($C47,FIND("-",$C47)-1),""))</f>
        <v>6</v>
      </c>
      <c r="AX47" s="11">
        <f>IF($C47="","",IFERROR(--MID($C47,FIND("-",$C47)+1,99),""))</f>
        <v>0</v>
      </c>
    </row>
    <row r="48" spans="1:50" ht="18" customHeight="1" x14ac:dyDescent="0.3">
      <c r="A48" s="9">
        <v>1.125</v>
      </c>
      <c r="B48" s="18" t="s">
        <v>31</v>
      </c>
      <c r="C48" s="10" t="s">
        <v>39</v>
      </c>
      <c r="D48" s="1" t="s">
        <v>41</v>
      </c>
      <c r="E48" s="10" t="s">
        <v>39</v>
      </c>
      <c r="F48" s="11">
        <f>IF(OR($C48="",E48=""),"",IFERROR(IF(AND(IFERROR(--LEFT(E48,FIND("-",E48)-1),"")=AW48,IFERROR(--MID(E48,FIND("-",E48)+1,99),"")=AX48),10,5*(SIGN((IFERROR(--LEFT(E48,FIND("-",E48)-1),""))-(IFERROR(--MID(E48,FIND("-",E48)+1,99),"")))=SIGN((AW48)-(AX48)))+2*(((IFERROR(--LEFT(E48,FIND("-",E48)-1),""))-(IFERROR(--MID(E48,FIND("-",E48)+1,99),"")))=((AW48)-(AX48)))+2*((IFERROR(--LEFT(E48,FIND("-",E48)-1),""))=(AW48))+2*((IFERROR(--MID(E48,FIND("-",E48)+1,99),""))=(AX48))),""))</f>
        <v>10</v>
      </c>
      <c r="G48" s="10" t="s">
        <v>37</v>
      </c>
      <c r="H48" s="11">
        <f>IF(OR($C48="",G48=""),"",IFERROR(IF(AND(IFERROR(--LEFT(G48,FIND("-",G48)-1),"")=AW48,IFERROR(--MID(G48,FIND("-",G48)+1,99),"")=AX48),10,5*(SIGN((IFERROR(--LEFT(G48,FIND("-",G48)-1),""))-(IFERROR(--MID(G48,FIND("-",G48)+1,99),"")))=SIGN((AW48)-(AX48)))+2*(((IFERROR(--LEFT(G48,FIND("-",G48)-1),""))-(IFERROR(--MID(G48,FIND("-",G48)+1,99),"")))=((AW48)-(AX48)))+2*((IFERROR(--LEFT(G48,FIND("-",G48)-1),""))=(AW48))+2*((IFERROR(--MID(G48,FIND("-",G48)+1,99),""))=(AX48))),""))</f>
        <v>2</v>
      </c>
      <c r="I48" s="10" t="s">
        <v>33</v>
      </c>
      <c r="J48" s="11">
        <f>IF(OR($C48="",I48=""),"",IFERROR(IF(AND(IFERROR(--LEFT(I48,FIND("-",I48)-1),"")=AW48,IFERROR(--MID(I48,FIND("-",I48)+1,99),"")=AX48),10,5*(SIGN((IFERROR(--LEFT(I48,FIND("-",I48)-1),""))-(IFERROR(--MID(I48,FIND("-",I48)+1,99),"")))=SIGN((AW48)-(AX48)))+2*(((IFERROR(--LEFT(I48,FIND("-",I48)-1),""))-(IFERROR(--MID(I48,FIND("-",I48)+1,99),"")))=((AW48)-(AX48)))+2*((IFERROR(--LEFT(I48,FIND("-",I48)-1),""))=(AW48))+2*((IFERROR(--MID(I48,FIND("-",I48)+1,99),""))=(AX48))),""))</f>
        <v>7</v>
      </c>
      <c r="K48" s="10" t="s">
        <v>38</v>
      </c>
      <c r="L48" s="11">
        <f>IF(OR($C48="",K48=""),"",IFERROR(IF(AND(IFERROR(--LEFT(K48,FIND("-",K48)-1),"")=AW48,IFERROR(--MID(K48,FIND("-",K48)+1,99),"")=AX48),10,5*(SIGN((IFERROR(--LEFT(K48,FIND("-",K48)-1),""))-(IFERROR(--MID(K48,FIND("-",K48)+1,99),"")))=SIGN((AW48)-(AX48)))+2*(((IFERROR(--LEFT(K48,FIND("-",K48)-1),""))-(IFERROR(--MID(K48,FIND("-",K48)+1,99),"")))=((AW48)-(AX48)))+2*((IFERROR(--LEFT(K48,FIND("-",K48)-1),""))=(AW48))+2*((IFERROR(--MID(K48,FIND("-",K48)+1,99),""))=(AX48))),""))</f>
        <v>7</v>
      </c>
      <c r="M48" s="10" t="s">
        <v>49</v>
      </c>
      <c r="N48" s="11">
        <f>IF(OR($C48="",M48=""),"",IFERROR(IF(AND(IFERROR(--LEFT(M48,FIND("-",M48)-1),"")=AW48,IFERROR(--MID(M48,FIND("-",M48)+1,99),"")=AX48),10,5*(SIGN((IFERROR(--LEFT(M48,FIND("-",M48)-1),""))-(IFERROR(--MID(M48,FIND("-",M48)+1,99),"")))=SIGN((AW48)-(AX48)))+2*(((IFERROR(--LEFT(M48,FIND("-",M48)-1),""))-(IFERROR(--MID(M48,FIND("-",M48)+1,99),"")))=((AW48)-(AX48)))+2*((IFERROR(--LEFT(M48,FIND("-",M48)-1),""))=(AW48))+2*((IFERROR(--MID(M48,FIND("-",M48)+1,99),""))=(AX48))),""))</f>
        <v>0</v>
      </c>
      <c r="O48" s="10" t="s">
        <v>33</v>
      </c>
      <c r="P48" s="11">
        <f>IF(OR($C48="",O48=""),"",IFERROR(IF(AND(IFERROR(--LEFT(O48,FIND("-",O48)-1),"")=AW48,IFERROR(--MID(O48,FIND("-",O48)+1,99),"")=AX48),10,5*(SIGN((IFERROR(--LEFT(O48,FIND("-",O48)-1),""))-(IFERROR(--MID(O48,FIND("-",O48)+1,99),"")))=SIGN((AW48)-(AX48)))+2*(((IFERROR(--LEFT(O48,FIND("-",O48)-1),""))-(IFERROR(--MID(O48,FIND("-",O48)+1,99),"")))=((AW48)-(AX48)))+2*((IFERROR(--LEFT(O48,FIND("-",O48)-1),""))=(AW48))+2*((IFERROR(--MID(O48,FIND("-",O48)+1,99),""))=(AX48))),""))</f>
        <v>7</v>
      </c>
      <c r="Q48" s="10" t="s">
        <v>44</v>
      </c>
      <c r="R48" s="11">
        <f>IF(OR($C48="",Q48=""),"",IFERROR(IF(AND(IFERROR(--LEFT(Q48,FIND("-",Q48)-1),"")=AW48,IFERROR(--MID(Q48,FIND("-",Q48)+1,99),"")=AX48),10,5*(SIGN((IFERROR(--LEFT(Q48,FIND("-",Q48)-1),""))-(IFERROR(--MID(Q48,FIND("-",Q48)+1,99),"")))=SIGN((AW48)-(AX48)))+2*(((IFERROR(--LEFT(Q48,FIND("-",Q48)-1),""))-(IFERROR(--MID(Q48,FIND("-",Q48)+1,99),"")))=((AW48)-(AX48)))+2*((IFERROR(--LEFT(Q48,FIND("-",Q48)-1),""))=(AW48))+2*((IFERROR(--MID(Q48,FIND("-",Q48)+1,99),""))=(AX48))),""))</f>
        <v>0</v>
      </c>
      <c r="S48" s="10" t="s">
        <v>38</v>
      </c>
      <c r="T48" s="11">
        <f>IF(OR($C48="",S48=""),"",IFERROR(IF(AND(IFERROR(--LEFT(S48,FIND("-",S48)-1),"")=AW48,IFERROR(--MID(S48,FIND("-",S48)+1,99),"")=AX48),10,5*(SIGN((IFERROR(--LEFT(S48,FIND("-",S48)-1),""))-(IFERROR(--MID(S48,FIND("-",S48)+1,99),"")))=SIGN((AW48)-(AX48)))+2*(((IFERROR(--LEFT(S48,FIND("-",S48)-1),""))-(IFERROR(--MID(S48,FIND("-",S48)+1,99),"")))=((AW48)-(AX48)))+2*((IFERROR(--LEFT(S48,FIND("-",S48)-1),""))=(AW48))+2*((IFERROR(--MID(S48,FIND("-",S48)+1,99),""))=(AX48))),""))</f>
        <v>7</v>
      </c>
      <c r="U48" s="10" t="s">
        <v>33</v>
      </c>
      <c r="V48" s="11">
        <f>IF(OR($C48="",U48=""),"",IFERROR(IF(AND(IFERROR(--LEFT(U48,FIND("-",U48)-1),"")=AW48,IFERROR(--MID(U48,FIND("-",U48)+1,99),"")=AX48),10,5*(SIGN((IFERROR(--LEFT(U48,FIND("-",U48)-1),""))-(IFERROR(--MID(U48,FIND("-",U48)+1,99),"")))=SIGN((AW48)-(AX48)))+2*(((IFERROR(--LEFT(U48,FIND("-",U48)-1),""))-(IFERROR(--MID(U48,FIND("-",U48)+1,99),"")))=((AW48)-(AX48)))+2*((IFERROR(--LEFT(U48,FIND("-",U48)-1),""))=(AW48))+2*((IFERROR(--MID(U48,FIND("-",U48)+1,99),""))=(AX48))),""))</f>
        <v>7</v>
      </c>
      <c r="W48" s="10" t="s">
        <v>35</v>
      </c>
      <c r="X48" s="11">
        <f>IF(OR($C48="",W48=""),"",IFERROR(IF(AND(IFERROR(--LEFT(W48,FIND("-",W48)-1),"")=AW48,IFERROR(--MID(W48,FIND("-",W48)+1,99),"")=AX48),10,5*(SIGN((IFERROR(--LEFT(W48,FIND("-",W48)-1),""))-(IFERROR(--MID(W48,FIND("-",W48)+1,99),"")))=SIGN((AW48)-(AX48)))+2*(((IFERROR(--LEFT(W48,FIND("-",W48)-1),""))-(IFERROR(--MID(W48,FIND("-",W48)+1,99),"")))=((AW48)-(AX48)))+2*((IFERROR(--LEFT(W48,FIND("-",W48)-1),""))=(AW48))+2*((IFERROR(--MID(W48,FIND("-",W48)+1,99),""))=(AX48))),""))</f>
        <v>2</v>
      </c>
      <c r="Y48" s="10" t="s">
        <v>33</v>
      </c>
      <c r="Z48" s="11">
        <f>IF(OR($C48="",Y48=""),"",IFERROR(IF(AND(IFERROR(--LEFT(Y48,FIND("-",Y48)-1),"")=AW48,IFERROR(--MID(Y48,FIND("-",Y48)+1,99),"")=AX48),10,5*(SIGN((IFERROR(--LEFT(Y48,FIND("-",Y48)-1),""))-(IFERROR(--MID(Y48,FIND("-",Y48)+1,99),"")))=SIGN((AW48)-(AX48)))+2*(((IFERROR(--LEFT(Y48,FIND("-",Y48)-1),""))-(IFERROR(--MID(Y48,FIND("-",Y48)+1,99),"")))=((AW48)-(AX48)))+2*((IFERROR(--LEFT(Y48,FIND("-",Y48)-1),""))=(AW48))+2*((IFERROR(--MID(Y48,FIND("-",Y48)+1,99),""))=(AX48))),""))</f>
        <v>7</v>
      </c>
      <c r="AA48" s="10" t="s">
        <v>49</v>
      </c>
      <c r="AB48" s="11">
        <f>IF(OR($C48="",AA48=""),"",IFERROR(IF(AND(IFERROR(--LEFT(AA48,FIND("-",AA48)-1),"")=AW48,IFERROR(--MID(AA48,FIND("-",AA48)+1,99),"")=AX48),10,5*(SIGN((IFERROR(--LEFT(AA48,FIND("-",AA48)-1),""))-(IFERROR(--MID(AA48,FIND("-",AA48)+1,99),"")))=SIGN((AW48)-(AX48)))+2*(((IFERROR(--LEFT(AA48,FIND("-",AA48)-1),""))-(IFERROR(--MID(AA48,FIND("-",AA48)+1,99),"")))=((AW48)-(AX48)))+2*((IFERROR(--LEFT(AA48,FIND("-",AA48)-1),""))=(AW48))+2*((IFERROR(--MID(AA48,FIND("-",AA48)+1,99),""))=(AX48))),""))</f>
        <v>0</v>
      </c>
      <c r="AC48" s="10" t="s">
        <v>33</v>
      </c>
      <c r="AD48" s="11">
        <f>IF(OR($C48="",AC48=""),"",IFERROR(IF(AND(IFERROR(--LEFT(AC48,FIND("-",AC48)-1),"")=AW48,IFERROR(--MID(AC48,FIND("-",AC48)+1,99),"")=AX48),10,5*(SIGN((IFERROR(--LEFT(AC48,FIND("-",AC48)-1),""))-(IFERROR(--MID(AC48,FIND("-",AC48)+1,99),"")))=SIGN((AW48)-(AX48)))+2*(((IFERROR(--LEFT(AC48,FIND("-",AC48)-1),""))-(IFERROR(--MID(AC48,FIND("-",AC48)+1,99),"")))=((AW48)-(AX48)))+2*((IFERROR(--LEFT(AC48,FIND("-",AC48)-1),""))=(AW48))+2*((IFERROR(--MID(AC48,FIND("-",AC48)+1,99),""))=(AX48))),""))</f>
        <v>7</v>
      </c>
      <c r="AE48" s="10" t="s">
        <v>33</v>
      </c>
      <c r="AF48" s="11">
        <f>IF(OR($C48="",AE48=""),"",IFERROR(IF(AND(IFERROR(--LEFT(AE48,FIND("-",AE48)-1),"")=AW48,IFERROR(--MID(AE48,FIND("-",AE48)+1,99),"")=AX48),10,5*(SIGN((IFERROR(--LEFT(AE48,FIND("-",AE48)-1),""))-(IFERROR(--MID(AE48,FIND("-",AE48)+1,99),"")))=SIGN((AW48)-(AX48)))+2*(((IFERROR(--LEFT(AE48,FIND("-",AE48)-1),""))-(IFERROR(--MID(AE48,FIND("-",AE48)+1,99),"")))=((AW48)-(AX48)))+2*((IFERROR(--LEFT(AE48,FIND("-",AE48)-1),""))=(AW48))+2*((IFERROR(--MID(AE48,FIND("-",AE48)+1,99),""))=(AX48))),""))</f>
        <v>7</v>
      </c>
      <c r="AG48" s="10" t="s">
        <v>39</v>
      </c>
      <c r="AH48" s="11">
        <f>IF(OR($C48="",AG48=""),"",IFERROR(IF(AND(IFERROR(--LEFT(AG48,FIND("-",AG48)-1),"")=AW48,IFERROR(--MID(AG48,FIND("-",AG48)+1,99),"")=AX48),10,5*(SIGN((IFERROR(--LEFT(AG48,FIND("-",AG48)-1),""))-(IFERROR(--MID(AG48,FIND("-",AG48)+1,99),"")))=SIGN((AW48)-(AX48)))+2*(((IFERROR(--LEFT(AG48,FIND("-",AG48)-1),""))-(IFERROR(--MID(AG48,FIND("-",AG48)+1,99),"")))=((AW48)-(AX48)))+2*((IFERROR(--LEFT(AG48,FIND("-",AG48)-1),""))=(AW48))+2*((IFERROR(--MID(AG48,FIND("-",AG48)+1,99),""))=(AX48))),""))</f>
        <v>10</v>
      </c>
      <c r="AI48" s="10" t="s">
        <v>49</v>
      </c>
      <c r="AJ48" s="11">
        <f>IF(OR($C48="",AI48=""),"",IFERROR(IF(AND(IFERROR(--LEFT(AI48,FIND("-",AI48)-1),"")=AW48,IFERROR(--MID(AI48,FIND("-",AI48)+1,99),"")=AX48),10,5*(SIGN((IFERROR(--LEFT(AI48,FIND("-",AI48)-1),""))-(IFERROR(--MID(AI48,FIND("-",AI48)+1,99),"")))=SIGN((AW48)-(AX48)))+2*(((IFERROR(--LEFT(AI48,FIND("-",AI48)-1),""))-(IFERROR(--MID(AI48,FIND("-",AI48)+1,99),"")))=((AW48)-(AX48)))+2*((IFERROR(--LEFT(AI48,FIND("-",AI48)-1),""))=(AW48))+2*((IFERROR(--MID(AI48,FIND("-",AI48)+1,99),""))=(AX48))),""))</f>
        <v>0</v>
      </c>
      <c r="AK48" s="10" t="s">
        <v>33</v>
      </c>
      <c r="AL48" s="11">
        <f>IF(OR($C48="",AK48=""),"",IFERROR(IF(AND(IFERROR(--LEFT(AK48,FIND("-",AK48)-1),"")=AW48,IFERROR(--MID(AK48,FIND("-",AK48)+1,99),"")=AX48),10,5*(SIGN((IFERROR(--LEFT(AK48,FIND("-",AK48)-1),""))-(IFERROR(--MID(AK48,FIND("-",AK48)+1,99),"")))=SIGN((AW48)-(AX48)))+2*(((IFERROR(--LEFT(AK48,FIND("-",AK48)-1),""))-(IFERROR(--MID(AK48,FIND("-",AK48)+1,99),"")))=((AW48)-(AX48)))+2*((IFERROR(--LEFT(AK48,FIND("-",AK48)-1),""))=(AW48))+2*((IFERROR(--MID(AK48,FIND("-",AK48)+1,99),""))=(AX48))),""))</f>
        <v>7</v>
      </c>
      <c r="AM48" s="10" t="s">
        <v>61</v>
      </c>
      <c r="AN48" s="11">
        <f>IF(OR($C48="",AM48=""),"",IFERROR(IF(AND(IFERROR(--LEFT(AM48,FIND("-",AM48)-1),"")=AW48,IFERROR(--MID(AM48,FIND("-",AM48)+1,99),"")=AX48),10,5*(SIGN((IFERROR(--LEFT(AM48,FIND("-",AM48)-1),""))-(IFERROR(--MID(AM48,FIND("-",AM48)+1,99),"")))=SIGN((AW48)-(AX48)))+2*(((IFERROR(--LEFT(AM48,FIND("-",AM48)-1),""))-(IFERROR(--MID(AM48,FIND("-",AM48)+1,99),"")))=((AW48)-(AX48)))+2*((IFERROR(--LEFT(AM48,FIND("-",AM48)-1),""))=(AW48))+2*((IFERROR(--MID(AM48,FIND("-",AM48)+1,99),""))=(AX48))),""))</f>
        <v>7</v>
      </c>
      <c r="AO48" s="10" t="s">
        <v>36</v>
      </c>
      <c r="AP48" s="11">
        <f>IF(OR($C48="",AO48=""),"",IFERROR(IF(AND(IFERROR(--LEFT(AO48,FIND("-",AO48)-1),"")=AW48,IFERROR(--MID(AO48,FIND("-",AO48)+1,99),"")=AX48),10,5*(SIGN((IFERROR(--LEFT(AO48,FIND("-",AO48)-1),""))-(IFERROR(--MID(AO48,FIND("-",AO48)+1,99),"")))=SIGN((AW48)-(AX48)))+2*(((IFERROR(--LEFT(AO48,FIND("-",AO48)-1),""))-(IFERROR(--MID(AO48,FIND("-",AO48)+1,99),"")))=((AW48)-(AX48)))+2*((IFERROR(--LEFT(AO48,FIND("-",AO48)-1),""))=(AW48))+2*((IFERROR(--MID(AO48,FIND("-",AO48)+1,99),""))=(AX48))),""))</f>
        <v>7</v>
      </c>
      <c r="AQ48" s="10" t="s">
        <v>33</v>
      </c>
      <c r="AR48" s="11">
        <f>IF(OR($C48="",AQ48=""),"",IFERROR(IF(AND(IFERROR(--LEFT(AQ48,FIND("-",AQ48)-1),"")=AW48,IFERROR(--MID(AQ48,FIND("-",AQ48)+1,99),"")=AX48),10,5*(SIGN((IFERROR(--LEFT(AQ48,FIND("-",AQ48)-1),""))-(IFERROR(--MID(AQ48,FIND("-",AQ48)+1,99),"")))=SIGN((AW48)-(AX48)))+2*(((IFERROR(--LEFT(AQ48,FIND("-",AQ48)-1),""))-(IFERROR(--MID(AQ48,FIND("-",AQ48)+1,99),"")))=((AW48)-(AX48)))+2*((IFERROR(--LEFT(AQ48,FIND("-",AQ48)-1),""))=(AW48))+2*((IFERROR(--MID(AQ48,FIND("-",AQ48)+1,99),""))=(AX48))),""))</f>
        <v>7</v>
      </c>
      <c r="AS48" s="10" t="s">
        <v>49</v>
      </c>
      <c r="AT48" s="11">
        <f>IF(OR($C48="",AS48=""),"",IFERROR(IF(AND(IFERROR(--LEFT(AS48,FIND("-",AS48)-1),"")=AW48,IFERROR(--MID(AS48,FIND("-",AS48)+1,99),"")=AX48),10,5*(SIGN((IFERROR(--LEFT(AS48,FIND("-",AS48)-1),""))-(IFERROR(--MID(AS48,FIND("-",AS48)+1,99),"")))=SIGN((AW48)-(AX48)))+2*(((IFERROR(--LEFT(AS48,FIND("-",AS48)-1),""))-(IFERROR(--MID(AS48,FIND("-",AS48)+1,99),"")))=((AW48)-(AX48)))+2*((IFERROR(--LEFT(AS48,FIND("-",AS48)-1),""))=(AW48))+2*((IFERROR(--MID(AS48,FIND("-",AS48)+1,99),""))=(AX48))),""))</f>
        <v>0</v>
      </c>
      <c r="AU48" s="10" t="s">
        <v>35</v>
      </c>
      <c r="AV48" s="11">
        <f>IF(OR($C48="",AU48=""),"",IFERROR(IF(AND(IFERROR(--LEFT(AU48,FIND("-",AU48)-1),"")=AW48,IFERROR(--MID(AU48,FIND("-",AU48)+1,99),"")=AX48),10,5*(SIGN((IFERROR(--LEFT(AU48,FIND("-",AU48)-1),""))-(IFERROR(--MID(AU48,FIND("-",AU48)+1,99),"")))=SIGN((AW48)-(AX48)))+2*(((IFERROR(--LEFT(AU48,FIND("-",AU48)-1),""))-(IFERROR(--MID(AU48,FIND("-",AU48)+1,99),"")))=((AW48)-(AX48)))+2*((IFERROR(--LEFT(AU48,FIND("-",AU48)-1),""))=(AW48))+2*((IFERROR(--MID(AU48,FIND("-",AU48)+1,99),""))=(AX48))),""))</f>
        <v>2</v>
      </c>
      <c r="AW48" s="11">
        <f>IF($C48="","",IFERROR(--LEFT($C48,FIND("-",$C48)-1),""))</f>
        <v>1</v>
      </c>
      <c r="AX48" s="11">
        <f>IF($C48="","",IFERROR(--MID($C48,FIND("-",$C48)+1,99),""))</f>
        <v>0</v>
      </c>
    </row>
    <row r="49" spans="1:50" ht="18" customHeight="1" x14ac:dyDescent="0.3">
      <c r="A49" s="9">
        <v>1.875</v>
      </c>
      <c r="B49" s="18" t="s">
        <v>52</v>
      </c>
      <c r="C49" s="10" t="s">
        <v>36</v>
      </c>
      <c r="D49" s="1" t="s">
        <v>67</v>
      </c>
      <c r="E49" s="10" t="s">
        <v>33</v>
      </c>
      <c r="F49" s="11">
        <f>IF(OR($C49="",E49=""),"",IFERROR(IF(AND(IFERROR(--LEFT(E49,FIND("-",E49)-1),"")=AW49,IFERROR(--MID(E49,FIND("-",E49)+1,99),"")=AX49),10,5*(SIGN((IFERROR(--LEFT(E49,FIND("-",E49)-1),""))-(IFERROR(--MID(E49,FIND("-",E49)+1,99),"")))=SIGN((AW49)-(AX49)))+2*(((IFERROR(--LEFT(E49,FIND("-",E49)-1),""))-(IFERROR(--MID(E49,FIND("-",E49)+1,99),"")))=((AW49)-(AX49)))+2*((IFERROR(--LEFT(E49,FIND("-",E49)-1),""))=(AW49))+2*((IFERROR(--MID(E49,FIND("-",E49)+1,99),""))=(AX49))),""))</f>
        <v>7</v>
      </c>
      <c r="G49" s="10" t="s">
        <v>39</v>
      </c>
      <c r="H49" s="11">
        <f>IF(OR($C49="",G49=""),"",IFERROR(IF(AND(IFERROR(--LEFT(G49,FIND("-",G49)-1),"")=AW49,IFERROR(--MID(G49,FIND("-",G49)+1,99),"")=AX49),10,5*(SIGN((IFERROR(--LEFT(G49,FIND("-",G49)-1),""))-(IFERROR(--MID(G49,FIND("-",G49)+1,99),"")))=SIGN((AW49)-(AX49)))+2*(((IFERROR(--LEFT(G49,FIND("-",G49)-1),""))-(IFERROR(--MID(G49,FIND("-",G49)+1,99),"")))=((AW49)-(AX49)))+2*((IFERROR(--LEFT(G49,FIND("-",G49)-1),""))=(AW49))+2*((IFERROR(--MID(G49,FIND("-",G49)+1,99),""))=(AX49))),""))</f>
        <v>7</v>
      </c>
      <c r="I49" s="10" t="s">
        <v>39</v>
      </c>
      <c r="J49" s="11">
        <f>IF(OR($C49="",I49=""),"",IFERROR(IF(AND(IFERROR(--LEFT(I49,FIND("-",I49)-1),"")=AW49,IFERROR(--MID(I49,FIND("-",I49)+1,99),"")=AX49),10,5*(SIGN((IFERROR(--LEFT(I49,FIND("-",I49)-1),""))-(IFERROR(--MID(I49,FIND("-",I49)+1,99),"")))=SIGN((AW49)-(AX49)))+2*(((IFERROR(--LEFT(I49,FIND("-",I49)-1),""))-(IFERROR(--MID(I49,FIND("-",I49)+1,99),"")))=((AW49)-(AX49)))+2*((IFERROR(--LEFT(I49,FIND("-",I49)-1),""))=(AW49))+2*((IFERROR(--MID(I49,FIND("-",I49)+1,99),""))=(AX49))),""))</f>
        <v>7</v>
      </c>
      <c r="K49" s="10" t="s">
        <v>33</v>
      </c>
      <c r="L49" s="11">
        <f>IF(OR($C49="",K49=""),"",IFERROR(IF(AND(IFERROR(--LEFT(K49,FIND("-",K49)-1),"")=AW49,IFERROR(--MID(K49,FIND("-",K49)+1,99),"")=AX49),10,5*(SIGN((IFERROR(--LEFT(K49,FIND("-",K49)-1),""))-(IFERROR(--MID(K49,FIND("-",K49)+1,99),"")))=SIGN((AW49)-(AX49)))+2*(((IFERROR(--LEFT(K49,FIND("-",K49)-1),""))-(IFERROR(--MID(K49,FIND("-",K49)+1,99),"")))=((AW49)-(AX49)))+2*((IFERROR(--LEFT(K49,FIND("-",K49)-1),""))=(AW49))+2*((IFERROR(--MID(K49,FIND("-",K49)+1,99),""))=(AX49))),""))</f>
        <v>7</v>
      </c>
      <c r="M49" s="10" t="s">
        <v>37</v>
      </c>
      <c r="N49" s="11">
        <f>IF(OR($C49="",M49=""),"",IFERROR(IF(AND(IFERROR(--LEFT(M49,FIND("-",M49)-1),"")=AW49,IFERROR(--MID(M49,FIND("-",M49)+1,99),"")=AX49),10,5*(SIGN((IFERROR(--LEFT(M49,FIND("-",M49)-1),""))-(IFERROR(--MID(M49,FIND("-",M49)+1,99),"")))=SIGN((AW49)-(AX49)))+2*(((IFERROR(--LEFT(M49,FIND("-",M49)-1),""))-(IFERROR(--MID(M49,FIND("-",M49)+1,99),"")))=((AW49)-(AX49)))+2*((IFERROR(--LEFT(M49,FIND("-",M49)-1),""))=(AW49))+2*((IFERROR(--MID(M49,FIND("-",M49)+1,99),""))=(AX49))),""))</f>
        <v>0</v>
      </c>
      <c r="O49" s="10" t="s">
        <v>33</v>
      </c>
      <c r="P49" s="11">
        <f>IF(OR($C49="",O49=""),"",IFERROR(IF(AND(IFERROR(--LEFT(O49,FIND("-",O49)-1),"")=AW49,IFERROR(--MID(O49,FIND("-",O49)+1,99),"")=AX49),10,5*(SIGN((IFERROR(--LEFT(O49,FIND("-",O49)-1),""))-(IFERROR(--MID(O49,FIND("-",O49)+1,99),"")))=SIGN((AW49)-(AX49)))+2*(((IFERROR(--LEFT(O49,FIND("-",O49)-1),""))-(IFERROR(--MID(O49,FIND("-",O49)+1,99),"")))=((AW49)-(AX49)))+2*((IFERROR(--LEFT(O49,FIND("-",O49)-1),""))=(AW49))+2*((IFERROR(--MID(O49,FIND("-",O49)+1,99),""))=(AX49))),""))</f>
        <v>7</v>
      </c>
      <c r="Q49" s="10" t="s">
        <v>35</v>
      </c>
      <c r="R49" s="11">
        <f>IF(OR($C49="",Q49=""),"",IFERROR(IF(AND(IFERROR(--LEFT(Q49,FIND("-",Q49)-1),"")=AW49,IFERROR(--MID(Q49,FIND("-",Q49)+1,99),"")=AX49),10,5*(SIGN((IFERROR(--LEFT(Q49,FIND("-",Q49)-1),""))-(IFERROR(--MID(Q49,FIND("-",Q49)+1,99),"")))=SIGN((AW49)-(AX49)))+2*(((IFERROR(--LEFT(Q49,FIND("-",Q49)-1),""))-(IFERROR(--MID(Q49,FIND("-",Q49)+1,99),"")))=((AW49)-(AX49)))+2*((IFERROR(--LEFT(Q49,FIND("-",Q49)-1),""))=(AW49))+2*((IFERROR(--MID(Q49,FIND("-",Q49)+1,99),""))=(AX49))),""))</f>
        <v>0</v>
      </c>
      <c r="S49" s="10" t="s">
        <v>34</v>
      </c>
      <c r="T49" s="11">
        <f>IF(OR($C49="",S49=""),"",IFERROR(IF(AND(IFERROR(--LEFT(S49,FIND("-",S49)-1),"")=AW49,IFERROR(--MID(S49,FIND("-",S49)+1,99),"")=AX49),10,5*(SIGN((IFERROR(--LEFT(S49,FIND("-",S49)-1),""))-(IFERROR(--MID(S49,FIND("-",S49)+1,99),"")))=SIGN((AW49)-(AX49)))+2*(((IFERROR(--LEFT(S49,FIND("-",S49)-1),""))-(IFERROR(--MID(S49,FIND("-",S49)+1,99),"")))=((AW49)-(AX49)))+2*((IFERROR(--LEFT(S49,FIND("-",S49)-1),""))=(AW49))+2*((IFERROR(--MID(S49,FIND("-",S49)+1,99),""))=(AX49))),""))</f>
        <v>7</v>
      </c>
      <c r="U49" s="10" t="s">
        <v>36</v>
      </c>
      <c r="V49" s="11">
        <f>IF(OR($C49="",U49=""),"",IFERROR(IF(AND(IFERROR(--LEFT(U49,FIND("-",U49)-1),"")=AW49,IFERROR(--MID(U49,FIND("-",U49)+1,99),"")=AX49),10,5*(SIGN((IFERROR(--LEFT(U49,FIND("-",U49)-1),""))-(IFERROR(--MID(U49,FIND("-",U49)+1,99),"")))=SIGN((AW49)-(AX49)))+2*(((IFERROR(--LEFT(U49,FIND("-",U49)-1),""))-(IFERROR(--MID(U49,FIND("-",U49)+1,99),"")))=((AW49)-(AX49)))+2*((IFERROR(--LEFT(U49,FIND("-",U49)-1),""))=(AW49))+2*((IFERROR(--MID(U49,FIND("-",U49)+1,99),""))=(AX49))),""))</f>
        <v>10</v>
      </c>
      <c r="W49" s="10" t="s">
        <v>33</v>
      </c>
      <c r="X49" s="11">
        <f>IF(OR($C49="",W49=""),"",IFERROR(IF(AND(IFERROR(--LEFT(W49,FIND("-",W49)-1),"")=AW49,IFERROR(--MID(W49,FIND("-",W49)+1,99),"")=AX49),10,5*(SIGN((IFERROR(--LEFT(W49,FIND("-",W49)-1),""))-(IFERROR(--MID(W49,FIND("-",W49)+1,99),"")))=SIGN((AW49)-(AX49)))+2*(((IFERROR(--LEFT(W49,FIND("-",W49)-1),""))-(IFERROR(--MID(W49,FIND("-",W49)+1,99),"")))=((AW49)-(AX49)))+2*((IFERROR(--LEFT(W49,FIND("-",W49)-1),""))=(AW49))+2*((IFERROR(--MID(W49,FIND("-",W49)+1,99),""))=(AX49))),""))</f>
        <v>7</v>
      </c>
      <c r="Y49" s="10" t="s">
        <v>36</v>
      </c>
      <c r="Z49" s="11">
        <f>IF(OR($C49="",Y49=""),"",IFERROR(IF(AND(IFERROR(--LEFT(Y49,FIND("-",Y49)-1),"")=AW49,IFERROR(--MID(Y49,FIND("-",Y49)+1,99),"")=AX49),10,5*(SIGN((IFERROR(--LEFT(Y49,FIND("-",Y49)-1),""))-(IFERROR(--MID(Y49,FIND("-",Y49)+1,99),"")))=SIGN((AW49)-(AX49)))+2*(((IFERROR(--LEFT(Y49,FIND("-",Y49)-1),""))-(IFERROR(--MID(Y49,FIND("-",Y49)+1,99),"")))=((AW49)-(AX49)))+2*((IFERROR(--LEFT(Y49,FIND("-",Y49)-1),""))=(AW49))+2*((IFERROR(--MID(Y49,FIND("-",Y49)+1,99),""))=(AX49))),""))</f>
        <v>10</v>
      </c>
      <c r="AA49" s="10" t="s">
        <v>34</v>
      </c>
      <c r="AB49" s="11">
        <f>IF(OR($C49="",AA49=""),"",IFERROR(IF(AND(IFERROR(--LEFT(AA49,FIND("-",AA49)-1),"")=AW49,IFERROR(--MID(AA49,FIND("-",AA49)+1,99),"")=AX49),10,5*(SIGN((IFERROR(--LEFT(AA49,FIND("-",AA49)-1),""))-(IFERROR(--MID(AA49,FIND("-",AA49)+1,99),"")))=SIGN((AW49)-(AX49)))+2*(((IFERROR(--LEFT(AA49,FIND("-",AA49)-1),""))-(IFERROR(--MID(AA49,FIND("-",AA49)+1,99),"")))=((AW49)-(AX49)))+2*((IFERROR(--LEFT(AA49,FIND("-",AA49)-1),""))=(AW49))+2*((IFERROR(--MID(AA49,FIND("-",AA49)+1,99),""))=(AX49))),""))</f>
        <v>7</v>
      </c>
      <c r="AC49" s="10" t="s">
        <v>48</v>
      </c>
      <c r="AD49" s="11">
        <f>IF(OR($C49="",AC49=""),"",IFERROR(IF(AND(IFERROR(--LEFT(AC49,FIND("-",AC49)-1),"")=AW49,IFERROR(--MID(AC49,FIND("-",AC49)+1,99),"")=AX49),10,5*(SIGN((IFERROR(--LEFT(AC49,FIND("-",AC49)-1),""))-(IFERROR(--MID(AC49,FIND("-",AC49)+1,99),"")))=SIGN((AW49)-(AX49)))+2*(((IFERROR(--LEFT(AC49,FIND("-",AC49)-1),""))-(IFERROR(--MID(AC49,FIND("-",AC49)+1,99),"")))=((AW49)-(AX49)))+2*((IFERROR(--LEFT(AC49,FIND("-",AC49)-1),""))=(AW49))+2*((IFERROR(--MID(AC49,FIND("-",AC49)+1,99),""))=(AX49))),""))</f>
        <v>0</v>
      </c>
      <c r="AE49" s="10" t="s">
        <v>33</v>
      </c>
      <c r="AF49" s="11">
        <f>IF(OR($C49="",AE49=""),"",IFERROR(IF(AND(IFERROR(--LEFT(AE49,FIND("-",AE49)-1),"")=AW49,IFERROR(--MID(AE49,FIND("-",AE49)+1,99),"")=AX49),10,5*(SIGN((IFERROR(--LEFT(AE49,FIND("-",AE49)-1),""))-(IFERROR(--MID(AE49,FIND("-",AE49)+1,99),"")))=SIGN((AW49)-(AX49)))+2*(((IFERROR(--LEFT(AE49,FIND("-",AE49)-1),""))-(IFERROR(--MID(AE49,FIND("-",AE49)+1,99),"")))=((AW49)-(AX49)))+2*((IFERROR(--LEFT(AE49,FIND("-",AE49)-1),""))=(AW49))+2*((IFERROR(--MID(AE49,FIND("-",AE49)+1,99),""))=(AX49))),""))</f>
        <v>7</v>
      </c>
      <c r="AG49" s="10" t="s">
        <v>33</v>
      </c>
      <c r="AH49" s="11">
        <f>IF(OR($C49="",AG49=""),"",IFERROR(IF(AND(IFERROR(--LEFT(AG49,FIND("-",AG49)-1),"")=AW49,IFERROR(--MID(AG49,FIND("-",AG49)+1,99),"")=AX49),10,5*(SIGN((IFERROR(--LEFT(AG49,FIND("-",AG49)-1),""))-(IFERROR(--MID(AG49,FIND("-",AG49)+1,99),"")))=SIGN((AW49)-(AX49)))+2*(((IFERROR(--LEFT(AG49,FIND("-",AG49)-1),""))-(IFERROR(--MID(AG49,FIND("-",AG49)+1,99),"")))=((AW49)-(AX49)))+2*((IFERROR(--LEFT(AG49,FIND("-",AG49)-1),""))=(AW49))+2*((IFERROR(--MID(AG49,FIND("-",AG49)+1,99),""))=(AX49))),""))</f>
        <v>7</v>
      </c>
      <c r="AI49" s="10" t="s">
        <v>35</v>
      </c>
      <c r="AJ49" s="11">
        <f>IF(OR($C49="",AI49=""),"",IFERROR(IF(AND(IFERROR(--LEFT(AI49,FIND("-",AI49)-1),"")=AW49,IFERROR(--MID(AI49,FIND("-",AI49)+1,99),"")=AX49),10,5*(SIGN((IFERROR(--LEFT(AI49,FIND("-",AI49)-1),""))-(IFERROR(--MID(AI49,FIND("-",AI49)+1,99),"")))=SIGN((AW49)-(AX49)))+2*(((IFERROR(--LEFT(AI49,FIND("-",AI49)-1),""))-(IFERROR(--MID(AI49,FIND("-",AI49)+1,99),"")))=((AW49)-(AX49)))+2*((IFERROR(--LEFT(AI49,FIND("-",AI49)-1),""))=(AW49))+2*((IFERROR(--MID(AI49,FIND("-",AI49)+1,99),""))=(AX49))),""))</f>
        <v>0</v>
      </c>
      <c r="AK49" s="10" t="s">
        <v>39</v>
      </c>
      <c r="AL49" s="11">
        <f>IF(OR($C49="",AK49=""),"",IFERROR(IF(AND(IFERROR(--LEFT(AK49,FIND("-",AK49)-1),"")=AW49,IFERROR(--MID(AK49,FIND("-",AK49)+1,99),"")=AX49),10,5*(SIGN((IFERROR(--LEFT(AK49,FIND("-",AK49)-1),""))-(IFERROR(--MID(AK49,FIND("-",AK49)+1,99),"")))=SIGN((AW49)-(AX49)))+2*(((IFERROR(--LEFT(AK49,FIND("-",AK49)-1),""))-(IFERROR(--MID(AK49,FIND("-",AK49)+1,99),"")))=((AW49)-(AX49)))+2*((IFERROR(--LEFT(AK49,FIND("-",AK49)-1),""))=(AW49))+2*((IFERROR(--MID(AK49,FIND("-",AK49)+1,99),""))=(AX49))),""))</f>
        <v>7</v>
      </c>
      <c r="AM49" s="10" t="s">
        <v>39</v>
      </c>
      <c r="AN49" s="11">
        <f>IF(OR($C49="",AM49=""),"",IFERROR(IF(AND(IFERROR(--LEFT(AM49,FIND("-",AM49)-1),"")=AW49,IFERROR(--MID(AM49,FIND("-",AM49)+1,99),"")=AX49),10,5*(SIGN((IFERROR(--LEFT(AM49,FIND("-",AM49)-1),""))-(IFERROR(--MID(AM49,FIND("-",AM49)+1,99),"")))=SIGN((AW49)-(AX49)))+2*(((IFERROR(--LEFT(AM49,FIND("-",AM49)-1),""))-(IFERROR(--MID(AM49,FIND("-",AM49)+1,99),"")))=((AW49)-(AX49)))+2*((IFERROR(--LEFT(AM49,FIND("-",AM49)-1),""))=(AW49))+2*((IFERROR(--MID(AM49,FIND("-",AM49)+1,99),""))=(AX49))),""))</f>
        <v>7</v>
      </c>
      <c r="AO49" s="10" t="s">
        <v>39</v>
      </c>
      <c r="AP49" s="11">
        <f>IF(OR($C49="",AO49=""),"",IFERROR(IF(AND(IFERROR(--LEFT(AO49,FIND("-",AO49)-1),"")=AW49,IFERROR(--MID(AO49,FIND("-",AO49)+1,99),"")=AX49),10,5*(SIGN((IFERROR(--LEFT(AO49,FIND("-",AO49)-1),""))-(IFERROR(--MID(AO49,FIND("-",AO49)+1,99),"")))=SIGN((AW49)-(AX49)))+2*(((IFERROR(--LEFT(AO49,FIND("-",AO49)-1),""))-(IFERROR(--MID(AO49,FIND("-",AO49)+1,99),"")))=((AW49)-(AX49)))+2*((IFERROR(--LEFT(AO49,FIND("-",AO49)-1),""))=(AW49))+2*((IFERROR(--MID(AO49,FIND("-",AO49)+1,99),""))=(AX49))),""))</f>
        <v>7</v>
      </c>
      <c r="AQ49" s="10" t="s">
        <v>49</v>
      </c>
      <c r="AR49" s="11">
        <f>IF(OR($C49="",AQ49=""),"",IFERROR(IF(AND(IFERROR(--LEFT(AQ49,FIND("-",AQ49)-1),"")=AW49,IFERROR(--MID(AQ49,FIND("-",AQ49)+1,99),"")=AX49),10,5*(SIGN((IFERROR(--LEFT(AQ49,FIND("-",AQ49)-1),""))-(IFERROR(--MID(AQ49,FIND("-",AQ49)+1,99),"")))=SIGN((AW49)-(AX49)))+2*(((IFERROR(--LEFT(AQ49,FIND("-",AQ49)-1),""))-(IFERROR(--MID(AQ49,FIND("-",AQ49)+1,99),"")))=((AW49)-(AX49)))+2*((IFERROR(--LEFT(AQ49,FIND("-",AQ49)-1),""))=(AW49))+2*((IFERROR(--MID(AQ49,FIND("-",AQ49)+1,99),""))=(AX49))),""))</f>
        <v>2</v>
      </c>
      <c r="AS49" s="10" t="s">
        <v>37</v>
      </c>
      <c r="AT49" s="11">
        <f>IF(OR($C49="",AS49=""),"",IFERROR(IF(AND(IFERROR(--LEFT(AS49,FIND("-",AS49)-1),"")=AW49,IFERROR(--MID(AS49,FIND("-",AS49)+1,99),"")=AX49),10,5*(SIGN((IFERROR(--LEFT(AS49,FIND("-",AS49)-1),""))-(IFERROR(--MID(AS49,FIND("-",AS49)+1,99),"")))=SIGN((AW49)-(AX49)))+2*(((IFERROR(--LEFT(AS49,FIND("-",AS49)-1),""))-(IFERROR(--MID(AS49,FIND("-",AS49)+1,99),"")))=((AW49)-(AX49)))+2*((IFERROR(--LEFT(AS49,FIND("-",AS49)-1),""))=(AW49))+2*((IFERROR(--MID(AS49,FIND("-",AS49)+1,99),""))=(AX49))),""))</f>
        <v>0</v>
      </c>
      <c r="AU49" s="10" t="s">
        <v>50</v>
      </c>
      <c r="AV49" s="11">
        <f>IF(OR($C49="",AU49=""),"",IFERROR(IF(AND(IFERROR(--LEFT(AU49,FIND("-",AU49)-1),"")=AW49,IFERROR(--MID(AU49,FIND("-",AU49)+1,99),"")=AX49),10,5*(SIGN((IFERROR(--LEFT(AU49,FIND("-",AU49)-1),""))-(IFERROR(--MID(AU49,FIND("-",AU49)+1,99),"")))=SIGN((AW49)-(AX49)))+2*(((IFERROR(--LEFT(AU49,FIND("-",AU49)-1),""))-(IFERROR(--MID(AU49,FIND("-",AU49)+1,99),"")))=((AW49)-(AX49)))+2*((IFERROR(--LEFT(AU49,FIND("-",AU49)-1),""))=(AW49))+2*((IFERROR(--MID(AU49,FIND("-",AU49)+1,99),""))=(AX49))),""))</f>
        <v>2</v>
      </c>
      <c r="AW49" s="11">
        <f>IF($C49="","",IFERROR(--LEFT($C49,FIND("-",$C49)-1),""))</f>
        <v>2</v>
      </c>
      <c r="AX49" s="11">
        <f>IF($C49="","",IFERROR(--MID($C49,FIND("-",$C49)+1,99),""))</f>
        <v>0</v>
      </c>
    </row>
    <row r="50" spans="1:50" ht="18" customHeight="1" x14ac:dyDescent="0.3">
      <c r="A50" s="12"/>
      <c r="B50" s="18"/>
      <c r="C50" s="13"/>
      <c r="D50" s="1"/>
      <c r="E50" s="22"/>
      <c r="F50" s="12"/>
      <c r="G50" s="22"/>
      <c r="H50" s="12"/>
      <c r="I50" s="22"/>
      <c r="J50" s="12"/>
      <c r="K50" s="22"/>
      <c r="L50" s="12"/>
      <c r="M50" s="22"/>
      <c r="N50" s="12"/>
      <c r="O50" s="22"/>
      <c r="P50" s="12"/>
      <c r="Q50" s="22"/>
      <c r="R50" s="12"/>
      <c r="S50" s="22"/>
      <c r="T50" s="12"/>
      <c r="U50" s="13"/>
      <c r="V50" s="12"/>
      <c r="W50" s="22"/>
      <c r="X50" s="12"/>
      <c r="Y50" s="22"/>
      <c r="Z50" s="12"/>
      <c r="AA50" s="22"/>
      <c r="AB50" s="12"/>
      <c r="AC50" s="22"/>
      <c r="AD50" s="12"/>
      <c r="AE50" s="22"/>
      <c r="AF50" s="12"/>
      <c r="AG50" s="22"/>
      <c r="AH50" s="12"/>
      <c r="AI50" s="22"/>
      <c r="AJ50" s="12"/>
      <c r="AK50" s="22"/>
      <c r="AL50" s="12"/>
      <c r="AM50" s="22"/>
      <c r="AN50" s="12"/>
      <c r="AO50" s="22"/>
      <c r="AP50" s="12"/>
      <c r="AQ50" s="22"/>
      <c r="AR50" s="12" t="str">
        <f>IF(OR($C50="",AQ50=""),"",IFERROR(IF(AND(IFERROR(--LEFT(AQ50,FIND("-",AQ50)-1),"")=AW50,IFERROR(--MID(AQ50,FIND("-",AQ50)+1,99),"")=AX50),10,5*(SIGN((IFERROR(--LEFT(AQ50,FIND("-",AQ50)-1),""))-(IFERROR(--MID(AQ50,FIND("-",AQ50)+1,99),"")))=SIGN((AW50)-(AX50)))+2*(((IFERROR(--LEFT(AQ50,FIND("-",AQ50)-1),""))-(IFERROR(--MID(AQ50,FIND("-",AQ50)+1,99),"")))=((AW50)-(AX50)))+2*((IFERROR(--LEFT(AQ50,FIND("-",AQ50)-1),""))=(AW50))+2*((IFERROR(--MID(AQ50,FIND("-",AQ50)+1,99),""))=(AX50))),""))</f>
        <v/>
      </c>
      <c r="AS50" s="22"/>
      <c r="AT50" s="12" t="str">
        <f>IF(OR($C50="",AS50=""),"",IFERROR(IF(AND(IFERROR(--LEFT(AS50,FIND("-",AS50)-1),"")=AW50,IFERROR(--MID(AS50,FIND("-",AS50)+1,99),"")=AX50),10,5*(SIGN((IFERROR(--LEFT(AS50,FIND("-",AS50)-1),""))-(IFERROR(--MID(AS50,FIND("-",AS50)+1,99),"")))=SIGN((AW50)-(AX50)))+2*(((IFERROR(--LEFT(AS50,FIND("-",AS50)-1),""))-(IFERROR(--MID(AS50,FIND("-",AS50)+1,99),"")))=((AW50)-(AX50)))+2*((IFERROR(--LEFT(AS50,FIND("-",AS50)-1),""))=(AW50))+2*((IFERROR(--MID(AS50,FIND("-",AS50)+1,99),""))=(AX50))),""))</f>
        <v/>
      </c>
      <c r="AU50" s="22"/>
      <c r="AV50" s="12"/>
      <c r="AW50" s="12"/>
      <c r="AX50" s="12"/>
    </row>
    <row r="51" spans="1:50" ht="20.100000000000001" customHeight="1" x14ac:dyDescent="0.3">
      <c r="A51" s="36" t="s">
        <v>111</v>
      </c>
      <c r="B51" s="37"/>
      <c r="C51" s="38"/>
      <c r="D51" s="37"/>
      <c r="E51" s="38"/>
      <c r="F51" s="37"/>
      <c r="G51" s="38"/>
      <c r="H51" s="37"/>
      <c r="I51" s="38"/>
      <c r="J51" s="37"/>
      <c r="K51" s="38"/>
      <c r="L51" s="37"/>
      <c r="M51" s="38"/>
      <c r="N51" s="37"/>
      <c r="O51" s="38"/>
      <c r="P51" s="37"/>
      <c r="Q51" s="38"/>
      <c r="R51" s="37"/>
      <c r="S51" s="38"/>
      <c r="T51" s="37"/>
      <c r="U51" s="38"/>
      <c r="V51" s="37"/>
      <c r="W51" s="38"/>
      <c r="X51" s="37"/>
      <c r="Y51" s="38"/>
      <c r="Z51" s="37"/>
      <c r="AA51" s="38"/>
      <c r="AB51" s="37"/>
      <c r="AC51" s="38"/>
      <c r="AD51" s="37"/>
      <c r="AE51" s="38"/>
      <c r="AF51" s="37"/>
      <c r="AG51" s="38"/>
      <c r="AH51" s="37"/>
      <c r="AI51" s="38"/>
      <c r="AJ51" s="37"/>
      <c r="AK51" s="38"/>
      <c r="AL51" s="37"/>
      <c r="AM51" s="38"/>
      <c r="AN51" s="37"/>
      <c r="AO51" s="38"/>
      <c r="AP51" s="37"/>
      <c r="AQ51" s="37"/>
      <c r="AR51" s="37"/>
      <c r="AS51" s="37"/>
      <c r="AT51" s="37"/>
      <c r="AU51" s="38"/>
      <c r="AV51" s="39"/>
      <c r="AW51" s="8"/>
      <c r="AX51" s="8"/>
    </row>
    <row r="52" spans="1:50" ht="18" customHeight="1" x14ac:dyDescent="0.3">
      <c r="A52" s="9">
        <v>1</v>
      </c>
      <c r="B52" s="18" t="s">
        <v>65</v>
      </c>
      <c r="C52" s="10" t="s">
        <v>45</v>
      </c>
      <c r="D52" s="1" t="s">
        <v>60</v>
      </c>
      <c r="E52" s="10" t="s">
        <v>37</v>
      </c>
      <c r="F52" s="11">
        <f>IF(OR($C52="",E52=""),"",IFERROR(IF(AND(IFERROR(--LEFT(E52,FIND("-",E52)-1),"")=AW52,IFERROR(--MID(E52,FIND("-",E52)+1,99),"")=AX52),10,5*(SIGN((IFERROR(--LEFT(E52,FIND("-",E52)-1),""))-(IFERROR(--MID(E52,FIND("-",E52)+1,99),"")))=SIGN((AW52)-(AX52)))+2*(((IFERROR(--LEFT(E52,FIND("-",E52)-1),""))-(IFERROR(--MID(E52,FIND("-",E52)+1,99),"")))=((AW52)-(AX52)))+2*((IFERROR(--LEFT(E52,FIND("-",E52)-1),""))=(AW52))+2*((IFERROR(--MID(E52,FIND("-",E52)+1,99),""))=(AX52))),""))</f>
        <v>7</v>
      </c>
      <c r="G52" s="10" t="s">
        <v>57</v>
      </c>
      <c r="H52" s="11">
        <f>IF(OR($C52="",G52=""),"",IFERROR(IF(AND(IFERROR(--LEFT(G52,FIND("-",G52)-1),"")=AW52,IFERROR(--MID(G52,FIND("-",G52)+1,99),"")=AX52),10,5*(SIGN((IFERROR(--LEFT(G52,FIND("-",G52)-1),""))-(IFERROR(--MID(G52,FIND("-",G52)+1,99),"")))=SIGN((AW52)-(AX52)))+2*(((IFERROR(--LEFT(G52,FIND("-",G52)-1),""))-(IFERROR(--MID(G52,FIND("-",G52)+1,99),"")))=((AW52)-(AX52)))+2*((IFERROR(--LEFT(G52,FIND("-",G52)-1),""))=(AW52))+2*((IFERROR(--MID(G52,FIND("-",G52)+1,99),""))=(AX52))),""))</f>
        <v>5</v>
      </c>
      <c r="I52" s="10" t="s">
        <v>48</v>
      </c>
      <c r="J52" s="11">
        <f>IF(OR($C52="",I52=""),"",IFERROR(IF(AND(IFERROR(--LEFT(I52,FIND("-",I52)-1),"")=AW52,IFERROR(--MID(I52,FIND("-",I52)+1,99),"")=AX52),10,5*(SIGN((IFERROR(--LEFT(I52,FIND("-",I52)-1),""))-(IFERROR(--MID(I52,FIND("-",I52)+1,99),"")))=SIGN((AW52)-(AX52)))+2*(((IFERROR(--LEFT(I52,FIND("-",I52)-1),""))-(IFERROR(--MID(I52,FIND("-",I52)+1,99),"")))=((AW52)-(AX52)))+2*((IFERROR(--LEFT(I52,FIND("-",I52)-1),""))=(AW52))+2*((IFERROR(--MID(I52,FIND("-",I52)+1,99),""))=(AX52))),""))</f>
        <v>7</v>
      </c>
      <c r="K52" s="10" t="s">
        <v>49</v>
      </c>
      <c r="L52" s="11">
        <f>IF(OR($C52="",K52=""),"",IFERROR(IF(AND(IFERROR(--LEFT(K52,FIND("-",K52)-1),"")=AW52,IFERROR(--MID(K52,FIND("-",K52)+1,99),"")=AX52),10,5*(SIGN((IFERROR(--LEFT(K52,FIND("-",K52)-1),""))-(IFERROR(--MID(K52,FIND("-",K52)+1,99),"")))=SIGN((AW52)-(AX52)))+2*(((IFERROR(--LEFT(K52,FIND("-",K52)-1),""))-(IFERROR(--MID(K52,FIND("-",K52)+1,99),"")))=((AW52)-(AX52)))+2*((IFERROR(--LEFT(K52,FIND("-",K52)-1),""))=(AW52))+2*((IFERROR(--MID(K52,FIND("-",K52)+1,99),""))=(AX52))),""))</f>
        <v>0</v>
      </c>
      <c r="M52" s="10" t="s">
        <v>57</v>
      </c>
      <c r="N52" s="11">
        <f>IF(OR($C52="",M52=""),"",IFERROR(IF(AND(IFERROR(--LEFT(M52,FIND("-",M52)-1),"")=AW52,IFERROR(--MID(M52,FIND("-",M52)+1,99),"")=AX52),10,5*(SIGN((IFERROR(--LEFT(M52,FIND("-",M52)-1),""))-(IFERROR(--MID(M52,FIND("-",M52)+1,99),"")))=SIGN((AW52)-(AX52)))+2*(((IFERROR(--LEFT(M52,FIND("-",M52)-1),""))-(IFERROR(--MID(M52,FIND("-",M52)+1,99),"")))=((AW52)-(AX52)))+2*((IFERROR(--LEFT(M52,FIND("-",M52)-1),""))=(AW52))+2*((IFERROR(--MID(M52,FIND("-",M52)+1,99),""))=(AX52))),""))</f>
        <v>5</v>
      </c>
      <c r="O52" s="10" t="s">
        <v>37</v>
      </c>
      <c r="P52" s="11">
        <f>IF(OR($C52="",O52=""),"",IFERROR(IF(AND(IFERROR(--LEFT(O52,FIND("-",O52)-1),"")=AW52,IFERROR(--MID(O52,FIND("-",O52)+1,99),"")=AX52),10,5*(SIGN((IFERROR(--LEFT(O52,FIND("-",O52)-1),""))-(IFERROR(--MID(O52,FIND("-",O52)+1,99),"")))=SIGN((AW52)-(AX52)))+2*(((IFERROR(--LEFT(O52,FIND("-",O52)-1),""))-(IFERROR(--MID(O52,FIND("-",O52)+1,99),"")))=((AW52)-(AX52)))+2*((IFERROR(--LEFT(O52,FIND("-",O52)-1),""))=(AW52))+2*((IFERROR(--MID(O52,FIND("-",O52)+1,99),""))=(AX52))),""))</f>
        <v>7</v>
      </c>
      <c r="Q52" s="10" t="s">
        <v>36</v>
      </c>
      <c r="R52" s="11">
        <f>IF(OR($C52="",Q52=""),"",IFERROR(IF(AND(IFERROR(--LEFT(Q52,FIND("-",Q52)-1),"")=AW52,IFERROR(--MID(Q52,FIND("-",Q52)+1,99),"")=AX52),10,5*(SIGN((IFERROR(--LEFT(Q52,FIND("-",Q52)-1),""))-(IFERROR(--MID(Q52,FIND("-",Q52)+1,99),"")))=SIGN((AW52)-(AX52)))+2*(((IFERROR(--LEFT(Q52,FIND("-",Q52)-1),""))-(IFERROR(--MID(Q52,FIND("-",Q52)+1,99),"")))=((AW52)-(AX52)))+2*((IFERROR(--LEFT(Q52,FIND("-",Q52)-1),""))=(AW52))+2*((IFERROR(--MID(Q52,FIND("-",Q52)+1,99),""))=(AX52))),""))</f>
        <v>0</v>
      </c>
      <c r="S52" s="10" t="s">
        <v>49</v>
      </c>
      <c r="T52" s="11">
        <f>IF(OR($C52="",S52=""),"",IFERROR(IF(AND(IFERROR(--LEFT(S52,FIND("-",S52)-1),"")=AW52,IFERROR(--MID(S52,FIND("-",S52)+1,99),"")=AX52),10,5*(SIGN((IFERROR(--LEFT(S52,FIND("-",S52)-1),""))-(IFERROR(--MID(S52,FIND("-",S52)+1,99),"")))=SIGN((AW52)-(AX52)))+2*(((IFERROR(--LEFT(S52,FIND("-",S52)-1),""))-(IFERROR(--MID(S52,FIND("-",S52)+1,99),"")))=((AW52)-(AX52)))+2*((IFERROR(--LEFT(S52,FIND("-",S52)-1),""))=(AW52))+2*((IFERROR(--MID(S52,FIND("-",S52)+1,99),""))=(AX52))),""))</f>
        <v>0</v>
      </c>
      <c r="U52" s="10" t="s">
        <v>35</v>
      </c>
      <c r="V52" s="11">
        <f>IF(OR($C52="",U52=""),"",IFERROR(IF(AND(IFERROR(--LEFT(U52,FIND("-",U52)-1),"")=AW52,IFERROR(--MID(U52,FIND("-",U52)+1,99),"")=AX52),10,5*(SIGN((IFERROR(--LEFT(U52,FIND("-",U52)-1),""))-(IFERROR(--MID(U52,FIND("-",U52)+1,99),"")))=SIGN((AW52)-(AX52)))+2*(((IFERROR(--LEFT(U52,FIND("-",U52)-1),""))-(IFERROR(--MID(U52,FIND("-",U52)+1,99),"")))=((AW52)-(AX52)))+2*((IFERROR(--LEFT(U52,FIND("-",U52)-1),""))=(AW52))+2*((IFERROR(--MID(U52,FIND("-",U52)+1,99),""))=(AX52))),""))</f>
        <v>2</v>
      </c>
      <c r="W52" s="10" t="s">
        <v>45</v>
      </c>
      <c r="X52" s="11">
        <f>IF(OR($C52="",W52=""),"",IFERROR(IF(AND(IFERROR(--LEFT(W52,FIND("-",W52)-1),"")=AW52,IFERROR(--MID(W52,FIND("-",W52)+1,99),"")=AX52),10,5*(SIGN((IFERROR(--LEFT(W52,FIND("-",W52)-1),""))-(IFERROR(--MID(W52,FIND("-",W52)+1,99),"")))=SIGN((AW52)-(AX52)))+2*(((IFERROR(--LEFT(W52,FIND("-",W52)-1),""))-(IFERROR(--MID(W52,FIND("-",W52)+1,99),"")))=((AW52)-(AX52)))+2*((IFERROR(--LEFT(W52,FIND("-",W52)-1),""))=(AW52))+2*((IFERROR(--MID(W52,FIND("-",W52)+1,99),""))=(AX52))),""))</f>
        <v>10</v>
      </c>
      <c r="Y52" s="10" t="s">
        <v>56</v>
      </c>
      <c r="Z52" s="11">
        <f>IF(OR($C52="",Y52=""),"",IFERROR(IF(AND(IFERROR(--LEFT(Y52,FIND("-",Y52)-1),"")=AW52,IFERROR(--MID(Y52,FIND("-",Y52)+1,99),"")=AX52),10,5*(SIGN((IFERROR(--LEFT(Y52,FIND("-",Y52)-1),""))-(IFERROR(--MID(Y52,FIND("-",Y52)+1,99),"")))=SIGN((AW52)-(AX52)))+2*(((IFERROR(--LEFT(Y52,FIND("-",Y52)-1),""))-(IFERROR(--MID(Y52,FIND("-",Y52)+1,99),"")))=((AW52)-(AX52)))+2*((IFERROR(--LEFT(Y52,FIND("-",Y52)-1),""))=(AW52))+2*((IFERROR(--MID(Y52,FIND("-",Y52)+1,99),""))=(AX52))),""))</f>
        <v>7</v>
      </c>
      <c r="AA52" s="10" t="s">
        <v>48</v>
      </c>
      <c r="AB52" s="11">
        <f>IF(OR($C52="",AA52=""),"",IFERROR(IF(AND(IFERROR(--LEFT(AA52,FIND("-",AA52)-1),"")=AW52,IFERROR(--MID(AA52,FIND("-",AA52)+1,99),"")=AX52),10,5*(SIGN((IFERROR(--LEFT(AA52,FIND("-",AA52)-1),""))-(IFERROR(--MID(AA52,FIND("-",AA52)+1,99),"")))=SIGN((AW52)-(AX52)))+2*(((IFERROR(--LEFT(AA52,FIND("-",AA52)-1),""))-(IFERROR(--MID(AA52,FIND("-",AA52)+1,99),"")))=((AW52)-(AX52)))+2*((IFERROR(--LEFT(AA52,FIND("-",AA52)-1),""))=(AW52))+2*((IFERROR(--MID(AA52,FIND("-",AA52)+1,99),""))=(AX52))),""))</f>
        <v>7</v>
      </c>
      <c r="AC52" s="10" t="s">
        <v>57</v>
      </c>
      <c r="AD52" s="11">
        <f>IF(OR($C52="",AC52=""),"",IFERROR(IF(AND(IFERROR(--LEFT(AC52,FIND("-",AC52)-1),"")=AW52,IFERROR(--MID(AC52,FIND("-",AC52)+1,99),"")=AX52),10,5*(SIGN((IFERROR(--LEFT(AC52,FIND("-",AC52)-1),""))-(IFERROR(--MID(AC52,FIND("-",AC52)+1,99),"")))=SIGN((AW52)-(AX52)))+2*(((IFERROR(--LEFT(AC52,FIND("-",AC52)-1),""))-(IFERROR(--MID(AC52,FIND("-",AC52)+1,99),"")))=((AW52)-(AX52)))+2*((IFERROR(--LEFT(AC52,FIND("-",AC52)-1),""))=(AW52))+2*((IFERROR(--MID(AC52,FIND("-",AC52)+1,99),""))=(AX52))),""))</f>
        <v>5</v>
      </c>
      <c r="AE52" s="10" t="s">
        <v>35</v>
      </c>
      <c r="AF52" s="11">
        <f>IF(OR($C52="",AE52=""),"",IFERROR(IF(AND(IFERROR(--LEFT(AE52,FIND("-",AE52)-1),"")=AW52,IFERROR(--MID(AE52,FIND("-",AE52)+1,99),"")=AX52),10,5*(SIGN((IFERROR(--LEFT(AE52,FIND("-",AE52)-1),""))-(IFERROR(--MID(AE52,FIND("-",AE52)+1,99),"")))=SIGN((AW52)-(AX52)))+2*(((IFERROR(--LEFT(AE52,FIND("-",AE52)-1),""))-(IFERROR(--MID(AE52,FIND("-",AE52)+1,99),"")))=((AW52)-(AX52)))+2*((IFERROR(--LEFT(AE52,FIND("-",AE52)-1),""))=(AW52))+2*((IFERROR(--MID(AE52,FIND("-",AE52)+1,99),""))=(AX52))),""))</f>
        <v>2</v>
      </c>
      <c r="AG52" s="10" t="s">
        <v>37</v>
      </c>
      <c r="AH52" s="11">
        <f>IF(OR($C52="",AG52=""),"",IFERROR(IF(AND(IFERROR(--LEFT(AG52,FIND("-",AG52)-1),"")=AW52,IFERROR(--MID(AG52,FIND("-",AG52)+1,99),"")=AX52),10,5*(SIGN((IFERROR(--LEFT(AG52,FIND("-",AG52)-1),""))-(IFERROR(--MID(AG52,FIND("-",AG52)+1,99),"")))=SIGN((AW52)-(AX52)))+2*(((IFERROR(--LEFT(AG52,FIND("-",AG52)-1),""))-(IFERROR(--MID(AG52,FIND("-",AG52)+1,99),"")))=((AW52)-(AX52)))+2*((IFERROR(--LEFT(AG52,FIND("-",AG52)-1),""))=(AW52))+2*((IFERROR(--MID(AG52,FIND("-",AG52)+1,99),""))=(AX52))),""))</f>
        <v>7</v>
      </c>
      <c r="AI52" s="10" t="s">
        <v>39</v>
      </c>
      <c r="AJ52" s="11">
        <f>IF(OR($C52="",AI52=""),"",IFERROR(IF(AND(IFERROR(--LEFT(AI52,FIND("-",AI52)-1),"")=AW52,IFERROR(--MID(AI52,FIND("-",AI52)+1,99),"")=AX52),10,5*(SIGN((IFERROR(--LEFT(AI52,FIND("-",AI52)-1),""))-(IFERROR(--MID(AI52,FIND("-",AI52)+1,99),"")))=SIGN((AW52)-(AX52)))+2*(((IFERROR(--LEFT(AI52,FIND("-",AI52)-1),""))-(IFERROR(--MID(AI52,FIND("-",AI52)+1,99),"")))=((AW52)-(AX52)))+2*((IFERROR(--LEFT(AI52,FIND("-",AI52)-1),""))=(AW52))+2*((IFERROR(--MID(AI52,FIND("-",AI52)+1,99),""))=(AX52))),""))</f>
        <v>0</v>
      </c>
      <c r="AK52" s="10" t="s">
        <v>63</v>
      </c>
      <c r="AL52" s="11">
        <f>IF(OR($C52="",AK52=""),"",IFERROR(IF(AND(IFERROR(--LEFT(AK52,FIND("-",AK52)-1),"")=AW52,IFERROR(--MID(AK52,FIND("-",AK52)+1,99),"")=AX52),10,5*(SIGN((IFERROR(--LEFT(AK52,FIND("-",AK52)-1),""))-(IFERROR(--MID(AK52,FIND("-",AK52)+1,99),"")))=SIGN((AW52)-(AX52)))+2*(((IFERROR(--LEFT(AK52,FIND("-",AK52)-1),""))-(IFERROR(--MID(AK52,FIND("-",AK52)+1,99),"")))=((AW52)-(AX52)))+2*((IFERROR(--LEFT(AK52,FIND("-",AK52)-1),""))=(AW52))+2*((IFERROR(--MID(AK52,FIND("-",AK52)+1,99),""))=(AX52))),""))</f>
        <v>0</v>
      </c>
      <c r="AM52" s="10" t="s">
        <v>57</v>
      </c>
      <c r="AN52" s="11">
        <f>IF(OR($C52="",AM52=""),"",IFERROR(IF(AND(IFERROR(--LEFT(AM52,FIND("-",AM52)-1),"")=AW52,IFERROR(--MID(AM52,FIND("-",AM52)+1,99),"")=AX52),10,5*(SIGN((IFERROR(--LEFT(AM52,FIND("-",AM52)-1),""))-(IFERROR(--MID(AM52,FIND("-",AM52)+1,99),"")))=SIGN((AW52)-(AX52)))+2*(((IFERROR(--LEFT(AM52,FIND("-",AM52)-1),""))-(IFERROR(--MID(AM52,FIND("-",AM52)+1,99),"")))=((AW52)-(AX52)))+2*((IFERROR(--LEFT(AM52,FIND("-",AM52)-1),""))=(AW52))+2*((IFERROR(--MID(AM52,FIND("-",AM52)+1,99),""))=(AX52))),""))</f>
        <v>5</v>
      </c>
      <c r="AO52" s="10" t="s">
        <v>57</v>
      </c>
      <c r="AP52" s="11">
        <f>IF(OR($C52="",AO52=""),"",IFERROR(IF(AND(IFERROR(--LEFT(AO52,FIND("-",AO52)-1),"")=AW52,IFERROR(--MID(AO52,FIND("-",AO52)+1,99),"")=AX52),10,5*(SIGN((IFERROR(--LEFT(AO52,FIND("-",AO52)-1),""))-(IFERROR(--MID(AO52,FIND("-",AO52)+1,99),"")))=SIGN((AW52)-(AX52)))+2*(((IFERROR(--LEFT(AO52,FIND("-",AO52)-1),""))-(IFERROR(--MID(AO52,FIND("-",AO52)+1,99),"")))=((AW52)-(AX52)))+2*((IFERROR(--LEFT(AO52,FIND("-",AO52)-1),""))=(AW52))+2*((IFERROR(--MID(AO52,FIND("-",AO52)+1,99),""))=(AX52))),""))</f>
        <v>5</v>
      </c>
      <c r="AQ52" s="10" t="s">
        <v>57</v>
      </c>
      <c r="AR52" s="11">
        <f t="shared" ref="AR52:AR57" si="4">IF(OR($C52="",AQ52=""),"",IFERROR(IF(AND(IFERROR(--LEFT(AQ52,FIND("-",AQ52)-1),"")=AW52,IFERROR(--MID(AQ52,FIND("-",AQ52)+1,99),"")=AX52),10,5*(SIGN((IFERROR(--LEFT(AQ52,FIND("-",AQ52)-1),""))-(IFERROR(--MID(AQ52,FIND("-",AQ52)+1,99),"")))=SIGN((AW52)-(AX52)))+2*(((IFERROR(--LEFT(AQ52,FIND("-",AQ52)-1),""))-(IFERROR(--MID(AQ52,FIND("-",AQ52)+1,99),"")))=((AW52)-(AX52)))+2*((IFERROR(--LEFT(AQ52,FIND("-",AQ52)-1),""))=(AW52))+2*((IFERROR(--MID(AQ52,FIND("-",AQ52)+1,99),""))=(AX52))),""))</f>
        <v>5</v>
      </c>
      <c r="AS52" s="10" t="s">
        <v>35</v>
      </c>
      <c r="AT52" s="11">
        <f t="shared" ref="AT52:AT57" si="5">IF(OR($C52="",AS52=""),"",IFERROR(IF(AND(IFERROR(--LEFT(AS52,FIND("-",AS52)-1),"")=AW52,IFERROR(--MID(AS52,FIND("-",AS52)+1,99),"")=AX52),10,5*(SIGN((IFERROR(--LEFT(AS52,FIND("-",AS52)-1),""))-(IFERROR(--MID(AS52,FIND("-",AS52)+1,99),"")))=SIGN((AW52)-(AX52)))+2*(((IFERROR(--LEFT(AS52,FIND("-",AS52)-1),""))-(IFERROR(--MID(AS52,FIND("-",AS52)+1,99),"")))=((AW52)-(AX52)))+2*((IFERROR(--LEFT(AS52,FIND("-",AS52)-1),""))=(AW52))+2*((IFERROR(--MID(AS52,FIND("-",AS52)+1,99),""))=(AX52))),""))</f>
        <v>2</v>
      </c>
      <c r="AU52" s="10" t="s">
        <v>35</v>
      </c>
      <c r="AV52" s="11">
        <f>IF(OR($C52="",AU52=""),"",IFERROR(IF(AND(IFERROR(--LEFT(AU52,FIND("-",AU52)-1),"")=AW52,IFERROR(--MID(AU52,FIND("-",AU52)+1,99),"")=AX52),10,5*(SIGN((IFERROR(--LEFT(AU52,FIND("-",AU52)-1),""))-(IFERROR(--MID(AU52,FIND("-",AU52)+1,99),"")))=SIGN((AW52)-(AX52)))+2*(((IFERROR(--LEFT(AU52,FIND("-",AU52)-1),""))-(IFERROR(--MID(AU52,FIND("-",AU52)+1,99),"")))=((AW52)-(AX52)))+2*((IFERROR(--LEFT(AU52,FIND("-",AU52)-1),""))=(AW52))+2*((IFERROR(--MID(AU52,FIND("-",AU52)+1,99),""))=(AX52))),""))</f>
        <v>2</v>
      </c>
      <c r="AW52" s="11">
        <f>IF($C52="","",IFERROR(--LEFT($C52,FIND("-",$C52)-1),""))</f>
        <v>0</v>
      </c>
      <c r="AX52" s="11">
        <f>IF($C52="","",IFERROR(--MID($C52,FIND("-",$C52)+1,99),""))</f>
        <v>1</v>
      </c>
    </row>
    <row r="53" spans="1:50" ht="18" customHeight="1" x14ac:dyDescent="0.3">
      <c r="A53" s="9">
        <v>1.125</v>
      </c>
      <c r="B53" s="18" t="s">
        <v>59</v>
      </c>
      <c r="C53" s="10" t="s">
        <v>38</v>
      </c>
      <c r="D53" s="1" t="s">
        <v>64</v>
      </c>
      <c r="E53" s="10" t="s">
        <v>63</v>
      </c>
      <c r="F53" s="11">
        <f>IF(OR($C53="",E53=""),"",IFERROR(IF(AND(IFERROR(--LEFT(E53,FIND("-",E53)-1),"")=AW53,IFERROR(--MID(E53,FIND("-",E53)+1,99),"")=AX53),10,5*(SIGN((IFERROR(--LEFT(E53,FIND("-",E53)-1),""))-(IFERROR(--MID(E53,FIND("-",E53)+1,99),"")))=SIGN((AW53)-(AX53)))+2*(((IFERROR(--LEFT(E53,FIND("-",E53)-1),""))-(IFERROR(--MID(E53,FIND("-",E53)+1,99),"")))=((AW53)-(AX53)))+2*((IFERROR(--LEFT(E53,FIND("-",E53)-1),""))=(AW53))+2*((IFERROR(--MID(E53,FIND("-",E53)+1,99),""))=(AX53))),""))</f>
        <v>7</v>
      </c>
      <c r="G53" s="10" t="s">
        <v>112</v>
      </c>
      <c r="H53" s="11">
        <f>IF(OR($C53="",G53=""),"",IFERROR(IF(AND(IFERROR(--LEFT(G53,FIND("-",G53)-1),"")=AW53,IFERROR(--MID(G53,FIND("-",G53)+1,99),"")=AX53),10,5*(SIGN((IFERROR(--LEFT(G53,FIND("-",G53)-1),""))-(IFERROR(--MID(G53,FIND("-",G53)+1,99),"")))=SIGN((AW53)-(AX53)))+2*(((IFERROR(--LEFT(G53,FIND("-",G53)-1),""))-(IFERROR(--MID(G53,FIND("-",G53)+1,99),"")))=((AW53)-(AX53)))+2*((IFERROR(--LEFT(G53,FIND("-",G53)-1),""))=(AW53))+2*((IFERROR(--MID(G53,FIND("-",G53)+1,99),""))=(AX53))),""))</f>
        <v>7</v>
      </c>
      <c r="I53" s="10" t="s">
        <v>36</v>
      </c>
      <c r="J53" s="11">
        <f>IF(OR($C53="",I53=""),"",IFERROR(IF(AND(IFERROR(--LEFT(I53,FIND("-",I53)-1),"")=AW53,IFERROR(--MID(I53,FIND("-",I53)+1,99),"")=AX53),10,5*(SIGN((IFERROR(--LEFT(I53,FIND("-",I53)-1),""))-(IFERROR(--MID(I53,FIND("-",I53)+1,99),"")))=SIGN((AW53)-(AX53)))+2*(((IFERROR(--LEFT(I53,FIND("-",I53)-1),""))-(IFERROR(--MID(I53,FIND("-",I53)+1,99),"")))=((AW53)-(AX53)))+2*((IFERROR(--LEFT(I53,FIND("-",I53)-1),""))=(AW53))+2*((IFERROR(--MID(I53,FIND("-",I53)+1,99),""))=(AX53))),""))</f>
        <v>7</v>
      </c>
      <c r="K53" s="10" t="s">
        <v>71</v>
      </c>
      <c r="L53" s="11">
        <f>IF(OR($C53="",K53=""),"",IFERROR(IF(AND(IFERROR(--LEFT(K53,FIND("-",K53)-1),"")=AW53,IFERROR(--MID(K53,FIND("-",K53)+1,99),"")=AX53),10,5*(SIGN((IFERROR(--LEFT(K53,FIND("-",K53)-1),""))-(IFERROR(--MID(K53,FIND("-",K53)+1,99),"")))=SIGN((AW53)-(AX53)))+2*(((IFERROR(--LEFT(K53,FIND("-",K53)-1),""))-(IFERROR(--MID(K53,FIND("-",K53)+1,99),"")))=((AW53)-(AX53)))+2*((IFERROR(--LEFT(K53,FIND("-",K53)-1),""))=(AW53))+2*((IFERROR(--MID(K53,FIND("-",K53)+1,99),""))=(AX53))),""))</f>
        <v>7</v>
      </c>
      <c r="M53" s="10" t="s">
        <v>38</v>
      </c>
      <c r="N53" s="11">
        <f>IF(OR($C53="",M53=""),"",IFERROR(IF(AND(IFERROR(--LEFT(M53,FIND("-",M53)-1),"")=AW53,IFERROR(--MID(M53,FIND("-",M53)+1,99),"")=AX53),10,5*(SIGN((IFERROR(--LEFT(M53,FIND("-",M53)-1),""))-(IFERROR(--MID(M53,FIND("-",M53)+1,99),"")))=SIGN((AW53)-(AX53)))+2*(((IFERROR(--LEFT(M53,FIND("-",M53)-1),""))-(IFERROR(--MID(M53,FIND("-",M53)+1,99),"")))=((AW53)-(AX53)))+2*((IFERROR(--LEFT(M53,FIND("-",M53)-1),""))=(AW53))+2*((IFERROR(--MID(M53,FIND("-",M53)+1,99),""))=(AX53))),""))</f>
        <v>10</v>
      </c>
      <c r="O53" s="10" t="s">
        <v>38</v>
      </c>
      <c r="P53" s="11">
        <f>IF(OR($C53="",O53=""),"",IFERROR(IF(AND(IFERROR(--LEFT(O53,FIND("-",O53)-1),"")=AW53,IFERROR(--MID(O53,FIND("-",O53)+1,99),"")=AX53),10,5*(SIGN((IFERROR(--LEFT(O53,FIND("-",O53)-1),""))-(IFERROR(--MID(O53,FIND("-",O53)+1,99),"")))=SIGN((AW53)-(AX53)))+2*(((IFERROR(--LEFT(O53,FIND("-",O53)-1),""))-(IFERROR(--MID(O53,FIND("-",O53)+1,99),"")))=((AW53)-(AX53)))+2*((IFERROR(--LEFT(O53,FIND("-",O53)-1),""))=(AW53))+2*((IFERROR(--MID(O53,FIND("-",O53)+1,99),""))=(AX53))),""))</f>
        <v>10</v>
      </c>
      <c r="Q53" s="10" t="s">
        <v>63</v>
      </c>
      <c r="R53" s="11">
        <f>IF(OR($C53="",Q53=""),"",IFERROR(IF(AND(IFERROR(--LEFT(Q53,FIND("-",Q53)-1),"")=AW53,IFERROR(--MID(Q53,FIND("-",Q53)+1,99),"")=AX53),10,5*(SIGN((IFERROR(--LEFT(Q53,FIND("-",Q53)-1),""))-(IFERROR(--MID(Q53,FIND("-",Q53)+1,99),"")))=SIGN((AW53)-(AX53)))+2*(((IFERROR(--LEFT(Q53,FIND("-",Q53)-1),""))-(IFERROR(--MID(Q53,FIND("-",Q53)+1,99),"")))=((AW53)-(AX53)))+2*((IFERROR(--LEFT(Q53,FIND("-",Q53)-1),""))=(AW53))+2*((IFERROR(--MID(Q53,FIND("-",Q53)+1,99),""))=(AX53))),""))</f>
        <v>7</v>
      </c>
      <c r="S53" s="10" t="s">
        <v>63</v>
      </c>
      <c r="T53" s="11">
        <f>IF(OR($C53="",S53=""),"",IFERROR(IF(AND(IFERROR(--LEFT(S53,FIND("-",S53)-1),"")=AW53,IFERROR(--MID(S53,FIND("-",S53)+1,99),"")=AX53),10,5*(SIGN((IFERROR(--LEFT(S53,FIND("-",S53)-1),""))-(IFERROR(--MID(S53,FIND("-",S53)+1,99),"")))=SIGN((AW53)-(AX53)))+2*(((IFERROR(--LEFT(S53,FIND("-",S53)-1),""))-(IFERROR(--MID(S53,FIND("-",S53)+1,99),"")))=((AW53)-(AX53)))+2*((IFERROR(--LEFT(S53,FIND("-",S53)-1),""))=(AW53))+2*((IFERROR(--MID(S53,FIND("-",S53)+1,99),""))=(AX53))),""))</f>
        <v>7</v>
      </c>
      <c r="U53" s="10" t="s">
        <v>38</v>
      </c>
      <c r="V53" s="11">
        <f>IF(OR($C53="",U53=""),"",IFERROR(IF(AND(IFERROR(--LEFT(U53,FIND("-",U53)-1),"")=AW53,IFERROR(--MID(U53,FIND("-",U53)+1,99),"")=AX53),10,5*(SIGN((IFERROR(--LEFT(U53,FIND("-",U53)-1),""))-(IFERROR(--MID(U53,FIND("-",U53)+1,99),"")))=SIGN((AW53)-(AX53)))+2*(((IFERROR(--LEFT(U53,FIND("-",U53)-1),""))-(IFERROR(--MID(U53,FIND("-",U53)+1,99),"")))=((AW53)-(AX53)))+2*((IFERROR(--LEFT(U53,FIND("-",U53)-1),""))=(AW53))+2*((IFERROR(--MID(U53,FIND("-",U53)+1,99),""))=(AX53))),""))</f>
        <v>10</v>
      </c>
      <c r="W53" s="10" t="s">
        <v>38</v>
      </c>
      <c r="X53" s="11">
        <f>IF(OR($C53="",W53=""),"",IFERROR(IF(AND(IFERROR(--LEFT(W53,FIND("-",W53)-1),"")=AW53,IFERROR(--MID(W53,FIND("-",W53)+1,99),"")=AX53),10,5*(SIGN((IFERROR(--LEFT(W53,FIND("-",W53)-1),""))-(IFERROR(--MID(W53,FIND("-",W53)+1,99),"")))=SIGN((AW53)-(AX53)))+2*(((IFERROR(--LEFT(W53,FIND("-",W53)-1),""))-(IFERROR(--MID(W53,FIND("-",W53)+1,99),"")))=((AW53)-(AX53)))+2*((IFERROR(--LEFT(W53,FIND("-",W53)-1),""))=(AW53))+2*((IFERROR(--MID(W53,FIND("-",W53)+1,99),""))=(AX53))),""))</f>
        <v>10</v>
      </c>
      <c r="Y53" s="10" t="s">
        <v>38</v>
      </c>
      <c r="Z53" s="11">
        <f>IF(OR($C53="",Y53=""),"",IFERROR(IF(AND(IFERROR(--LEFT(Y53,FIND("-",Y53)-1),"")=AW53,IFERROR(--MID(Y53,FIND("-",Y53)+1,99),"")=AX53),10,5*(SIGN((IFERROR(--LEFT(Y53,FIND("-",Y53)-1),""))-(IFERROR(--MID(Y53,FIND("-",Y53)+1,99),"")))=SIGN((AW53)-(AX53)))+2*(((IFERROR(--LEFT(Y53,FIND("-",Y53)-1),""))-(IFERROR(--MID(Y53,FIND("-",Y53)+1,99),"")))=((AW53)-(AX53)))+2*((IFERROR(--LEFT(Y53,FIND("-",Y53)-1),""))=(AW53))+2*((IFERROR(--MID(Y53,FIND("-",Y53)+1,99),""))=(AX53))),""))</f>
        <v>10</v>
      </c>
      <c r="AA53" s="10" t="s">
        <v>63</v>
      </c>
      <c r="AB53" s="11">
        <f>IF(OR($C53="",AA53=""),"",IFERROR(IF(AND(IFERROR(--LEFT(AA53,FIND("-",AA53)-1),"")=AW53,IFERROR(--MID(AA53,FIND("-",AA53)+1,99),"")=AX53),10,5*(SIGN((IFERROR(--LEFT(AA53,FIND("-",AA53)-1),""))-(IFERROR(--MID(AA53,FIND("-",AA53)+1,99),"")))=SIGN((AW53)-(AX53)))+2*(((IFERROR(--LEFT(AA53,FIND("-",AA53)-1),""))-(IFERROR(--MID(AA53,FIND("-",AA53)+1,99),"")))=((AW53)-(AX53)))+2*((IFERROR(--LEFT(AA53,FIND("-",AA53)-1),""))=(AW53))+2*((IFERROR(--MID(AA53,FIND("-",AA53)+1,99),""))=(AX53))),""))</f>
        <v>7</v>
      </c>
      <c r="AC53" s="10" t="s">
        <v>38</v>
      </c>
      <c r="AD53" s="11">
        <f>IF(OR($C53="",AC53=""),"",IFERROR(IF(AND(IFERROR(--LEFT(AC53,FIND("-",AC53)-1),"")=AW53,IFERROR(--MID(AC53,FIND("-",AC53)+1,99),"")=AX53),10,5*(SIGN((IFERROR(--LEFT(AC53,FIND("-",AC53)-1),""))-(IFERROR(--MID(AC53,FIND("-",AC53)+1,99),"")))=SIGN((AW53)-(AX53)))+2*(((IFERROR(--LEFT(AC53,FIND("-",AC53)-1),""))-(IFERROR(--MID(AC53,FIND("-",AC53)+1,99),"")))=((AW53)-(AX53)))+2*((IFERROR(--LEFT(AC53,FIND("-",AC53)-1),""))=(AW53))+2*((IFERROR(--MID(AC53,FIND("-",AC53)+1,99),""))=(AX53))),""))</f>
        <v>10</v>
      </c>
      <c r="AE53" s="10" t="s">
        <v>63</v>
      </c>
      <c r="AF53" s="11">
        <f>IF(OR($C53="",AE53=""),"",IFERROR(IF(AND(IFERROR(--LEFT(AE53,FIND("-",AE53)-1),"")=AW53,IFERROR(--MID(AE53,FIND("-",AE53)+1,99),"")=AX53),10,5*(SIGN((IFERROR(--LEFT(AE53,FIND("-",AE53)-1),""))-(IFERROR(--MID(AE53,FIND("-",AE53)+1,99),"")))=SIGN((AW53)-(AX53)))+2*(((IFERROR(--LEFT(AE53,FIND("-",AE53)-1),""))-(IFERROR(--MID(AE53,FIND("-",AE53)+1,99),"")))=((AW53)-(AX53)))+2*((IFERROR(--LEFT(AE53,FIND("-",AE53)-1),""))=(AW53))+2*((IFERROR(--MID(AE53,FIND("-",AE53)+1,99),""))=(AX53))),""))</f>
        <v>7</v>
      </c>
      <c r="AG53" s="10" t="s">
        <v>38</v>
      </c>
      <c r="AH53" s="11">
        <f>IF(OR($C53="",AG53=""),"",IFERROR(IF(AND(IFERROR(--LEFT(AG53,FIND("-",AG53)-1),"")=AW53,IFERROR(--MID(AG53,FIND("-",AG53)+1,99),"")=AX53),10,5*(SIGN((IFERROR(--LEFT(AG53,FIND("-",AG53)-1),""))-(IFERROR(--MID(AG53,FIND("-",AG53)+1,99),"")))=SIGN((AW53)-(AX53)))+2*(((IFERROR(--LEFT(AG53,FIND("-",AG53)-1),""))-(IFERROR(--MID(AG53,FIND("-",AG53)+1,99),"")))=((AW53)-(AX53)))+2*((IFERROR(--LEFT(AG53,FIND("-",AG53)-1),""))=(AW53))+2*((IFERROR(--MID(AG53,FIND("-",AG53)+1,99),""))=(AX53))),""))</f>
        <v>10</v>
      </c>
      <c r="AI53" s="10" t="s">
        <v>63</v>
      </c>
      <c r="AJ53" s="11">
        <f>IF(OR($C53="",AI53=""),"",IFERROR(IF(AND(IFERROR(--LEFT(AI53,FIND("-",AI53)-1),"")=AW53,IFERROR(--MID(AI53,FIND("-",AI53)+1,99),"")=AX53),10,5*(SIGN((IFERROR(--LEFT(AI53,FIND("-",AI53)-1),""))-(IFERROR(--MID(AI53,FIND("-",AI53)+1,99),"")))=SIGN((AW53)-(AX53)))+2*(((IFERROR(--LEFT(AI53,FIND("-",AI53)-1),""))-(IFERROR(--MID(AI53,FIND("-",AI53)+1,99),"")))=((AW53)-(AX53)))+2*((IFERROR(--LEFT(AI53,FIND("-",AI53)-1),""))=(AW53))+2*((IFERROR(--MID(AI53,FIND("-",AI53)+1,99),""))=(AX53))),""))</f>
        <v>7</v>
      </c>
      <c r="AK53" s="10" t="s">
        <v>34</v>
      </c>
      <c r="AL53" s="11">
        <f>IF(OR($C53="",AK53=""),"",IFERROR(IF(AND(IFERROR(--LEFT(AK53,FIND("-",AK53)-1),"")=AW53,IFERROR(--MID(AK53,FIND("-",AK53)+1,99),"")=AX53),10,5*(SIGN((IFERROR(--LEFT(AK53,FIND("-",AK53)-1),""))-(IFERROR(--MID(AK53,FIND("-",AK53)+1,99),"")))=SIGN((AW53)-(AX53)))+2*(((IFERROR(--LEFT(AK53,FIND("-",AK53)-1),""))-(IFERROR(--MID(AK53,FIND("-",AK53)+1,99),"")))=((AW53)-(AX53)))+2*((IFERROR(--LEFT(AK53,FIND("-",AK53)-1),""))=(AW53))+2*((IFERROR(--MID(AK53,FIND("-",AK53)+1,99),""))=(AX53))),""))</f>
        <v>7</v>
      </c>
      <c r="AM53" s="10" t="s">
        <v>38</v>
      </c>
      <c r="AN53" s="11">
        <f>IF(OR($C53="",AM53=""),"",IFERROR(IF(AND(IFERROR(--LEFT(AM53,FIND("-",AM53)-1),"")=AW53,IFERROR(--MID(AM53,FIND("-",AM53)+1,99),"")=AX53),10,5*(SIGN((IFERROR(--LEFT(AM53,FIND("-",AM53)-1),""))-(IFERROR(--MID(AM53,FIND("-",AM53)+1,99),"")))=SIGN((AW53)-(AX53)))+2*(((IFERROR(--LEFT(AM53,FIND("-",AM53)-1),""))-(IFERROR(--MID(AM53,FIND("-",AM53)+1,99),"")))=((AW53)-(AX53)))+2*((IFERROR(--LEFT(AM53,FIND("-",AM53)-1),""))=(AW53))+2*((IFERROR(--MID(AM53,FIND("-",AM53)+1,99),""))=(AX53))),""))</f>
        <v>10</v>
      </c>
      <c r="AO53" s="10" t="s">
        <v>38</v>
      </c>
      <c r="AP53" s="11">
        <f>IF(OR($C53="",AO53=""),"",IFERROR(IF(AND(IFERROR(--LEFT(AO53,FIND("-",AO53)-1),"")=AW53,IFERROR(--MID(AO53,FIND("-",AO53)+1,99),"")=AX53),10,5*(SIGN((IFERROR(--LEFT(AO53,FIND("-",AO53)-1),""))-(IFERROR(--MID(AO53,FIND("-",AO53)+1,99),"")))=SIGN((AW53)-(AX53)))+2*(((IFERROR(--LEFT(AO53,FIND("-",AO53)-1),""))-(IFERROR(--MID(AO53,FIND("-",AO53)+1,99),"")))=((AW53)-(AX53)))+2*((IFERROR(--LEFT(AO53,FIND("-",AO53)-1),""))=(AW53))+2*((IFERROR(--MID(AO53,FIND("-",AO53)+1,99),""))=(AX53))),""))</f>
        <v>10</v>
      </c>
      <c r="AQ53" s="10" t="s">
        <v>61</v>
      </c>
      <c r="AR53" s="11">
        <f t="shared" si="4"/>
        <v>7</v>
      </c>
      <c r="AS53" s="10" t="s">
        <v>71</v>
      </c>
      <c r="AT53" s="11">
        <f t="shared" si="5"/>
        <v>7</v>
      </c>
      <c r="AU53" s="10" t="s">
        <v>43</v>
      </c>
      <c r="AV53" s="11">
        <f>IF(OR($C53="",AU53=""),"",IFERROR(IF(AND(IFERROR(--LEFT(AU53,FIND("-",AU53)-1),"")=AW53,IFERROR(--MID(AU53,FIND("-",AU53)+1,99),"")=AX53),10,5*(SIGN((IFERROR(--LEFT(AU53,FIND("-",AU53)-1),""))-(IFERROR(--MID(AU53,FIND("-",AU53)+1,99),"")))=SIGN((AW53)-(AX53)))+2*(((IFERROR(--LEFT(AU53,FIND("-",AU53)-1),""))-(IFERROR(--MID(AU53,FIND("-",AU53)+1,99),"")))=((AW53)-(AX53)))+2*((IFERROR(--LEFT(AU53,FIND("-",AU53)-1),""))=(AW53))+2*((IFERROR(--MID(AU53,FIND("-",AU53)+1,99),""))=(AX53))),""))</f>
        <v>7</v>
      </c>
      <c r="AW53" s="11">
        <f>IF($C53="","",IFERROR(--LEFT($C53,FIND("-",$C53)-1),""))</f>
        <v>3</v>
      </c>
      <c r="AX53" s="11">
        <f>IF($C53="","",IFERROR(--MID($C53,FIND("-",$C53)+1,99),""))</f>
        <v>0</v>
      </c>
    </row>
    <row r="54" spans="1:50" ht="18" customHeight="1" x14ac:dyDescent="0.3">
      <c r="A54" s="9">
        <v>1.25</v>
      </c>
      <c r="B54" s="18" t="s">
        <v>68</v>
      </c>
      <c r="C54" s="10" t="s">
        <v>45</v>
      </c>
      <c r="D54" s="1" t="s">
        <v>53</v>
      </c>
      <c r="E54" s="10" t="s">
        <v>33</v>
      </c>
      <c r="F54" s="11">
        <f>IF(OR($C54="",E54=""),"",IFERROR(IF(AND(IFERROR(--LEFT(E54,FIND("-",E54)-1),"")=AW54,IFERROR(--MID(E54,FIND("-",E54)+1,99),"")=AX54),10,5*(SIGN((IFERROR(--LEFT(E54,FIND("-",E54)-1),""))-(IFERROR(--MID(E54,FIND("-",E54)+1,99),"")))=SIGN((AW54)-(AX54)))+2*(((IFERROR(--LEFT(E54,FIND("-",E54)-1),""))-(IFERROR(--MID(E54,FIND("-",E54)+1,99),"")))=((AW54)-(AX54)))+2*((IFERROR(--LEFT(E54,FIND("-",E54)-1),""))=(AW54))+2*((IFERROR(--MID(E54,FIND("-",E54)+1,99),""))=(AX54))),""))</f>
        <v>2</v>
      </c>
      <c r="G54" s="10" t="s">
        <v>33</v>
      </c>
      <c r="H54" s="11">
        <f>IF(OR($C54="",G54=""),"",IFERROR(IF(AND(IFERROR(--LEFT(G54,FIND("-",G54)-1),"")=AW54,IFERROR(--MID(G54,FIND("-",G54)+1,99),"")=AX54),10,5*(SIGN((IFERROR(--LEFT(G54,FIND("-",G54)-1),""))-(IFERROR(--MID(G54,FIND("-",G54)+1,99),"")))=SIGN((AW54)-(AX54)))+2*(((IFERROR(--LEFT(G54,FIND("-",G54)-1),""))-(IFERROR(--MID(G54,FIND("-",G54)+1,99),"")))=((AW54)-(AX54)))+2*((IFERROR(--LEFT(G54,FIND("-",G54)-1),""))=(AW54))+2*((IFERROR(--MID(G54,FIND("-",G54)+1,99),""))=(AX54))),""))</f>
        <v>2</v>
      </c>
      <c r="I54" s="10" t="s">
        <v>33</v>
      </c>
      <c r="J54" s="11">
        <f>IF(OR($C54="",I54=""),"",IFERROR(IF(AND(IFERROR(--LEFT(I54,FIND("-",I54)-1),"")=AW54,IFERROR(--MID(I54,FIND("-",I54)+1,99),"")=AX54),10,5*(SIGN((IFERROR(--LEFT(I54,FIND("-",I54)-1),""))-(IFERROR(--MID(I54,FIND("-",I54)+1,99),"")))=SIGN((AW54)-(AX54)))+2*(((IFERROR(--LEFT(I54,FIND("-",I54)-1),""))-(IFERROR(--MID(I54,FIND("-",I54)+1,99),"")))=((AW54)-(AX54)))+2*((IFERROR(--LEFT(I54,FIND("-",I54)-1),""))=(AW54))+2*((IFERROR(--MID(I54,FIND("-",I54)+1,99),""))=(AX54))),""))</f>
        <v>2</v>
      </c>
      <c r="K54" s="10" t="s">
        <v>37</v>
      </c>
      <c r="L54" s="11">
        <f>IF(OR($C54="",K54=""),"",IFERROR(IF(AND(IFERROR(--LEFT(K54,FIND("-",K54)-1),"")=AW54,IFERROR(--MID(K54,FIND("-",K54)+1,99),"")=AX54),10,5*(SIGN((IFERROR(--LEFT(K54,FIND("-",K54)-1),""))-(IFERROR(--MID(K54,FIND("-",K54)+1,99),"")))=SIGN((AW54)-(AX54)))+2*(((IFERROR(--LEFT(K54,FIND("-",K54)-1),""))-(IFERROR(--MID(K54,FIND("-",K54)+1,99),"")))=((AW54)-(AX54)))+2*((IFERROR(--LEFT(K54,FIND("-",K54)-1),""))=(AW54))+2*((IFERROR(--MID(K54,FIND("-",K54)+1,99),""))=(AX54))),""))</f>
        <v>7</v>
      </c>
      <c r="M54" s="10" t="s">
        <v>49</v>
      </c>
      <c r="N54" s="11">
        <f>IF(OR($C54="",M54=""),"",IFERROR(IF(AND(IFERROR(--LEFT(M54,FIND("-",M54)-1),"")=AW54,IFERROR(--MID(M54,FIND("-",M54)+1,99),"")=AX54),10,5*(SIGN((IFERROR(--LEFT(M54,FIND("-",M54)-1),""))-(IFERROR(--MID(M54,FIND("-",M54)+1,99),"")))=SIGN((AW54)-(AX54)))+2*(((IFERROR(--LEFT(M54,FIND("-",M54)-1),""))-(IFERROR(--MID(M54,FIND("-",M54)+1,99),"")))=((AW54)-(AX54)))+2*((IFERROR(--LEFT(M54,FIND("-",M54)-1),""))=(AW54))+2*((IFERROR(--MID(M54,FIND("-",M54)+1,99),""))=(AX54))),""))</f>
        <v>0</v>
      </c>
      <c r="O54" s="10" t="s">
        <v>35</v>
      </c>
      <c r="P54" s="11">
        <f>IF(OR($C54="",O54=""),"",IFERROR(IF(AND(IFERROR(--LEFT(O54,FIND("-",O54)-1),"")=AW54,IFERROR(--MID(O54,FIND("-",O54)+1,99),"")=AX54),10,5*(SIGN((IFERROR(--LEFT(O54,FIND("-",O54)-1),""))-(IFERROR(--MID(O54,FIND("-",O54)+1,99),"")))=SIGN((AW54)-(AX54)))+2*(((IFERROR(--LEFT(O54,FIND("-",O54)-1),""))-(IFERROR(--MID(O54,FIND("-",O54)+1,99),"")))=((AW54)-(AX54)))+2*((IFERROR(--LEFT(O54,FIND("-",O54)-1),""))=(AW54))+2*((IFERROR(--MID(O54,FIND("-",O54)+1,99),""))=(AX54))),""))</f>
        <v>2</v>
      </c>
      <c r="Q54" s="10" t="s">
        <v>43</v>
      </c>
      <c r="R54" s="11">
        <f>IF(OR($C54="",Q54=""),"",IFERROR(IF(AND(IFERROR(--LEFT(Q54,FIND("-",Q54)-1),"")=AW54,IFERROR(--MID(Q54,FIND("-",Q54)+1,99),"")=AX54),10,5*(SIGN((IFERROR(--LEFT(Q54,FIND("-",Q54)-1),""))-(IFERROR(--MID(Q54,FIND("-",Q54)+1,99),"")))=SIGN((AW54)-(AX54)))+2*(((IFERROR(--LEFT(Q54,FIND("-",Q54)-1),""))-(IFERROR(--MID(Q54,FIND("-",Q54)+1,99),"")))=((AW54)-(AX54)))+2*((IFERROR(--LEFT(Q54,FIND("-",Q54)-1),""))=(AW54))+2*((IFERROR(--MID(Q54,FIND("-",Q54)+1,99),""))=(AX54))),""))</f>
        <v>2</v>
      </c>
      <c r="S54" s="10" t="s">
        <v>49</v>
      </c>
      <c r="T54" s="11">
        <f>IF(OR($C54="",S54=""),"",IFERROR(IF(AND(IFERROR(--LEFT(S54,FIND("-",S54)-1),"")=AW54,IFERROR(--MID(S54,FIND("-",S54)+1,99),"")=AX54),10,5*(SIGN((IFERROR(--LEFT(S54,FIND("-",S54)-1),""))-(IFERROR(--MID(S54,FIND("-",S54)+1,99),"")))=SIGN((AW54)-(AX54)))+2*(((IFERROR(--LEFT(S54,FIND("-",S54)-1),""))-(IFERROR(--MID(S54,FIND("-",S54)+1,99),"")))=((AW54)-(AX54)))+2*((IFERROR(--LEFT(S54,FIND("-",S54)-1),""))=(AW54))+2*((IFERROR(--MID(S54,FIND("-",S54)+1,99),""))=(AX54))),""))</f>
        <v>0</v>
      </c>
      <c r="U54" s="10" t="s">
        <v>35</v>
      </c>
      <c r="V54" s="11">
        <f>IF(OR($C54="",U54=""),"",IFERROR(IF(AND(IFERROR(--LEFT(U54,FIND("-",U54)-1),"")=AW54,IFERROR(--MID(U54,FIND("-",U54)+1,99),"")=AX54),10,5*(SIGN((IFERROR(--LEFT(U54,FIND("-",U54)-1),""))-(IFERROR(--MID(U54,FIND("-",U54)+1,99),"")))=SIGN((AW54)-(AX54)))+2*(((IFERROR(--LEFT(U54,FIND("-",U54)-1),""))-(IFERROR(--MID(U54,FIND("-",U54)+1,99),"")))=((AW54)-(AX54)))+2*((IFERROR(--LEFT(U54,FIND("-",U54)-1),""))=(AW54))+2*((IFERROR(--MID(U54,FIND("-",U54)+1,99),""))=(AX54))),""))</f>
        <v>2</v>
      </c>
      <c r="W54" s="10" t="s">
        <v>35</v>
      </c>
      <c r="X54" s="11">
        <f>IF(OR($C54="",W54=""),"",IFERROR(IF(AND(IFERROR(--LEFT(W54,FIND("-",W54)-1),"")=AW54,IFERROR(--MID(W54,FIND("-",W54)+1,99),"")=AX54),10,5*(SIGN((IFERROR(--LEFT(W54,FIND("-",W54)-1),""))-(IFERROR(--MID(W54,FIND("-",W54)+1,99),"")))=SIGN((AW54)-(AX54)))+2*(((IFERROR(--LEFT(W54,FIND("-",W54)-1),""))-(IFERROR(--MID(W54,FIND("-",W54)+1,99),"")))=((AW54)-(AX54)))+2*((IFERROR(--LEFT(W54,FIND("-",W54)-1),""))=(AW54))+2*((IFERROR(--MID(W54,FIND("-",W54)+1,99),""))=(AX54))),""))</f>
        <v>2</v>
      </c>
      <c r="Y54" s="10" t="s">
        <v>35</v>
      </c>
      <c r="Z54" s="11">
        <f>IF(OR($C54="",Y54=""),"",IFERROR(IF(AND(IFERROR(--LEFT(Y54,FIND("-",Y54)-1),"")=AW54,IFERROR(--MID(Y54,FIND("-",Y54)+1,99),"")=AX54),10,5*(SIGN((IFERROR(--LEFT(Y54,FIND("-",Y54)-1),""))-(IFERROR(--MID(Y54,FIND("-",Y54)+1,99),"")))=SIGN((AW54)-(AX54)))+2*(((IFERROR(--LEFT(Y54,FIND("-",Y54)-1),""))-(IFERROR(--MID(Y54,FIND("-",Y54)+1,99),"")))=((AW54)-(AX54)))+2*((IFERROR(--LEFT(Y54,FIND("-",Y54)-1),""))=(AW54))+2*((IFERROR(--MID(Y54,FIND("-",Y54)+1,99),""))=(AX54))),""))</f>
        <v>2</v>
      </c>
      <c r="AA54" s="10" t="s">
        <v>33</v>
      </c>
      <c r="AB54" s="11">
        <f>IF(OR($C54="",AA54=""),"",IFERROR(IF(AND(IFERROR(--LEFT(AA54,FIND("-",AA54)-1),"")=AW54,IFERROR(--MID(AA54,FIND("-",AA54)+1,99),"")=AX54),10,5*(SIGN((IFERROR(--LEFT(AA54,FIND("-",AA54)-1),""))-(IFERROR(--MID(AA54,FIND("-",AA54)+1,99),"")))=SIGN((AW54)-(AX54)))+2*(((IFERROR(--LEFT(AA54,FIND("-",AA54)-1),""))-(IFERROR(--MID(AA54,FIND("-",AA54)+1,99),"")))=((AW54)-(AX54)))+2*((IFERROR(--LEFT(AA54,FIND("-",AA54)-1),""))=(AW54))+2*((IFERROR(--MID(AA54,FIND("-",AA54)+1,99),""))=(AX54))),""))</f>
        <v>2</v>
      </c>
      <c r="AC54" s="10" t="s">
        <v>36</v>
      </c>
      <c r="AD54" s="11">
        <f>IF(OR($C54="",AC54=""),"",IFERROR(IF(AND(IFERROR(--LEFT(AC54,FIND("-",AC54)-1),"")=AW54,IFERROR(--MID(AC54,FIND("-",AC54)+1,99),"")=AX54),10,5*(SIGN((IFERROR(--LEFT(AC54,FIND("-",AC54)-1),""))-(IFERROR(--MID(AC54,FIND("-",AC54)+1,99),"")))=SIGN((AW54)-(AX54)))+2*(((IFERROR(--LEFT(AC54,FIND("-",AC54)-1),""))-(IFERROR(--MID(AC54,FIND("-",AC54)+1,99),"")))=((AW54)-(AX54)))+2*((IFERROR(--LEFT(AC54,FIND("-",AC54)-1),""))=(AW54))+2*((IFERROR(--MID(AC54,FIND("-",AC54)+1,99),""))=(AX54))),""))</f>
        <v>0</v>
      </c>
      <c r="AE54" s="10" t="s">
        <v>35</v>
      </c>
      <c r="AF54" s="11">
        <f>IF(OR($C54="",AE54=""),"",IFERROR(IF(AND(IFERROR(--LEFT(AE54,FIND("-",AE54)-1),"")=AW54,IFERROR(--MID(AE54,FIND("-",AE54)+1,99),"")=AX54),10,5*(SIGN((IFERROR(--LEFT(AE54,FIND("-",AE54)-1),""))-(IFERROR(--MID(AE54,FIND("-",AE54)+1,99),"")))=SIGN((AW54)-(AX54)))+2*(((IFERROR(--LEFT(AE54,FIND("-",AE54)-1),""))-(IFERROR(--MID(AE54,FIND("-",AE54)+1,99),"")))=((AW54)-(AX54)))+2*((IFERROR(--LEFT(AE54,FIND("-",AE54)-1),""))=(AW54))+2*((IFERROR(--MID(AE54,FIND("-",AE54)+1,99),""))=(AX54))),""))</f>
        <v>2</v>
      </c>
      <c r="AG54" s="10" t="s">
        <v>39</v>
      </c>
      <c r="AH54" s="11">
        <f>IF(OR($C54="",AG54=""),"",IFERROR(IF(AND(IFERROR(--LEFT(AG54,FIND("-",AG54)-1),"")=AW54,IFERROR(--MID(AG54,FIND("-",AG54)+1,99),"")=AX54),10,5*(SIGN((IFERROR(--LEFT(AG54,FIND("-",AG54)-1),""))-(IFERROR(--MID(AG54,FIND("-",AG54)+1,99),"")))=SIGN((AW54)-(AX54)))+2*(((IFERROR(--LEFT(AG54,FIND("-",AG54)-1),""))-(IFERROR(--MID(AG54,FIND("-",AG54)+1,99),"")))=((AW54)-(AX54)))+2*((IFERROR(--LEFT(AG54,FIND("-",AG54)-1),""))=(AW54))+2*((IFERROR(--MID(AG54,FIND("-",AG54)+1,99),""))=(AX54))),""))</f>
        <v>0</v>
      </c>
      <c r="AI54" s="10" t="s">
        <v>36</v>
      </c>
      <c r="AJ54" s="11">
        <f>IF(OR($C54="",AI54=""),"",IFERROR(IF(AND(IFERROR(--LEFT(AI54,FIND("-",AI54)-1),"")=AW54,IFERROR(--MID(AI54,FIND("-",AI54)+1,99),"")=AX54),10,5*(SIGN((IFERROR(--LEFT(AI54,FIND("-",AI54)-1),""))-(IFERROR(--MID(AI54,FIND("-",AI54)+1,99),"")))=SIGN((AW54)-(AX54)))+2*(((IFERROR(--LEFT(AI54,FIND("-",AI54)-1),""))-(IFERROR(--MID(AI54,FIND("-",AI54)+1,99),"")))=((AW54)-(AX54)))+2*((IFERROR(--LEFT(AI54,FIND("-",AI54)-1),""))=(AW54))+2*((IFERROR(--MID(AI54,FIND("-",AI54)+1,99),""))=(AX54))),""))</f>
        <v>0</v>
      </c>
      <c r="AK54" s="10" t="s">
        <v>33</v>
      </c>
      <c r="AL54" s="11">
        <f>IF(OR($C54="",AK54=""),"",IFERROR(IF(AND(IFERROR(--LEFT(AK54,FIND("-",AK54)-1),"")=AW54,IFERROR(--MID(AK54,FIND("-",AK54)+1,99),"")=AX54),10,5*(SIGN((IFERROR(--LEFT(AK54,FIND("-",AK54)-1),""))-(IFERROR(--MID(AK54,FIND("-",AK54)+1,99),"")))=SIGN((AW54)-(AX54)))+2*(((IFERROR(--LEFT(AK54,FIND("-",AK54)-1),""))-(IFERROR(--MID(AK54,FIND("-",AK54)+1,99),"")))=((AW54)-(AX54)))+2*((IFERROR(--LEFT(AK54,FIND("-",AK54)-1),""))=(AW54))+2*((IFERROR(--MID(AK54,FIND("-",AK54)+1,99),""))=(AX54))),""))</f>
        <v>2</v>
      </c>
      <c r="AM54" s="10" t="s">
        <v>39</v>
      </c>
      <c r="AN54" s="11">
        <f>IF(OR($C54="",AM54=""),"",IFERROR(IF(AND(IFERROR(--LEFT(AM54,FIND("-",AM54)-1),"")=AW54,IFERROR(--MID(AM54,FIND("-",AM54)+1,99),"")=AX54),10,5*(SIGN((IFERROR(--LEFT(AM54,FIND("-",AM54)-1),""))-(IFERROR(--MID(AM54,FIND("-",AM54)+1,99),"")))=SIGN((AW54)-(AX54)))+2*(((IFERROR(--LEFT(AM54,FIND("-",AM54)-1),""))-(IFERROR(--MID(AM54,FIND("-",AM54)+1,99),"")))=((AW54)-(AX54)))+2*((IFERROR(--LEFT(AM54,FIND("-",AM54)-1),""))=(AW54))+2*((IFERROR(--MID(AM54,FIND("-",AM54)+1,99),""))=(AX54))),""))</f>
        <v>0</v>
      </c>
      <c r="AO54" s="10" t="s">
        <v>35</v>
      </c>
      <c r="AP54" s="11">
        <f>IF(OR($C54="",AO54=""),"",IFERROR(IF(AND(IFERROR(--LEFT(AO54,FIND("-",AO54)-1),"")=AW54,IFERROR(--MID(AO54,FIND("-",AO54)+1,99),"")=AX54),10,5*(SIGN((IFERROR(--LEFT(AO54,FIND("-",AO54)-1),""))-(IFERROR(--MID(AO54,FIND("-",AO54)+1,99),"")))=SIGN((AW54)-(AX54)))+2*(((IFERROR(--LEFT(AO54,FIND("-",AO54)-1),""))-(IFERROR(--MID(AO54,FIND("-",AO54)+1,99),"")))=((AW54)-(AX54)))+2*((IFERROR(--LEFT(AO54,FIND("-",AO54)-1),""))=(AW54))+2*((IFERROR(--MID(AO54,FIND("-",AO54)+1,99),""))=(AX54))),""))</f>
        <v>2</v>
      </c>
      <c r="AQ54" s="10" t="s">
        <v>35</v>
      </c>
      <c r="AR54" s="11">
        <f t="shared" si="4"/>
        <v>2</v>
      </c>
      <c r="AS54" s="10" t="s">
        <v>36</v>
      </c>
      <c r="AT54" s="11">
        <f t="shared" si="5"/>
        <v>0</v>
      </c>
      <c r="AU54" s="10" t="s">
        <v>45</v>
      </c>
      <c r="AV54" s="11">
        <f>IF(OR($C54="",AU54=""),"",IFERROR(IF(AND(IFERROR(--LEFT(AU54,FIND("-",AU54)-1),"")=AW54,IFERROR(--MID(AU54,FIND("-",AU54)+1,99),"")=AX54),10,5*(SIGN((IFERROR(--LEFT(AU54,FIND("-",AU54)-1),""))-(IFERROR(--MID(AU54,FIND("-",AU54)+1,99),"")))=SIGN((AW54)-(AX54)))+2*(((IFERROR(--LEFT(AU54,FIND("-",AU54)-1),""))-(IFERROR(--MID(AU54,FIND("-",AU54)+1,99),"")))=((AW54)-(AX54)))+2*((IFERROR(--LEFT(AU54,FIND("-",AU54)-1),""))=(AW54))+2*((IFERROR(--MID(AU54,FIND("-",AU54)+1,99),""))=(AX54))),""))</f>
        <v>10</v>
      </c>
      <c r="AW54" s="11">
        <f>IF($C54="","",IFERROR(--LEFT($C54,FIND("-",$C54)-1),""))</f>
        <v>0</v>
      </c>
      <c r="AX54" s="11">
        <f>IF($C54="","",IFERROR(--MID($C54,FIND("-",$C54)+1,99),""))</f>
        <v>1</v>
      </c>
    </row>
    <row r="55" spans="1:50" ht="18" customHeight="1" x14ac:dyDescent="0.3">
      <c r="A55" s="9">
        <v>1.791666666666667</v>
      </c>
      <c r="B55" s="18" t="s">
        <v>73</v>
      </c>
      <c r="C55" s="10" t="s">
        <v>113</v>
      </c>
      <c r="D55" s="1" t="s">
        <v>78</v>
      </c>
      <c r="E55" s="10" t="s">
        <v>33</v>
      </c>
      <c r="F55" s="11">
        <f>IF(OR($C55="",E55=""),"",IFERROR(IF(AND(IFERROR(--LEFT(E55,FIND("-",E55)-1),"")=AW55,IFERROR(--MID(E55,FIND("-",E55)+1,99),"")=AX55),10,5*(SIGN((IFERROR(--LEFT(E55,FIND("-",E55)-1),""))-(IFERROR(--MID(E55,FIND("-",E55)+1,99),"")))=SIGN((AW55)-(AX55)))+2*(((IFERROR(--LEFT(E55,FIND("-",E55)-1),""))-(IFERROR(--MID(E55,FIND("-",E55)+1,99),"")))=((AW55)-(AX55)))+2*((IFERROR(--LEFT(E55,FIND("-",E55)-1),""))=(AW55))+2*((IFERROR(--MID(E55,FIND("-",E55)+1,99),""))=(AX55))),""))</f>
        <v>7</v>
      </c>
      <c r="G55" s="10" t="s">
        <v>39</v>
      </c>
      <c r="H55" s="11">
        <f>IF(OR($C55="",G55=""),"",IFERROR(IF(AND(IFERROR(--LEFT(G55,FIND("-",G55)-1),"")=AW55,IFERROR(--MID(G55,FIND("-",G55)+1,99),"")=AX55),10,5*(SIGN((IFERROR(--LEFT(G55,FIND("-",G55)-1),""))-(IFERROR(--MID(G55,FIND("-",G55)+1,99),"")))=SIGN((AW55)-(AX55)))+2*(((IFERROR(--LEFT(G55,FIND("-",G55)-1),""))-(IFERROR(--MID(G55,FIND("-",G55)+1,99),"")))=((AW55)-(AX55)))+2*((IFERROR(--LEFT(G55,FIND("-",G55)-1),""))=(AW55))+2*((IFERROR(--MID(G55,FIND("-",G55)+1,99),""))=(AX55))),""))</f>
        <v>5</v>
      </c>
      <c r="I55" s="10" t="s">
        <v>33</v>
      </c>
      <c r="J55" s="11">
        <f>IF(OR($C55="",I55=""),"",IFERROR(IF(AND(IFERROR(--LEFT(I55,FIND("-",I55)-1),"")=AW55,IFERROR(--MID(I55,FIND("-",I55)+1,99),"")=AX55),10,5*(SIGN((IFERROR(--LEFT(I55,FIND("-",I55)-1),""))-(IFERROR(--MID(I55,FIND("-",I55)+1,99),"")))=SIGN((AW55)-(AX55)))+2*(((IFERROR(--LEFT(I55,FIND("-",I55)-1),""))-(IFERROR(--MID(I55,FIND("-",I55)+1,99),"")))=((AW55)-(AX55)))+2*((IFERROR(--LEFT(I55,FIND("-",I55)-1),""))=(AW55))+2*((IFERROR(--MID(I55,FIND("-",I55)+1,99),""))=(AX55))),""))</f>
        <v>7</v>
      </c>
      <c r="K55" s="10" t="s">
        <v>34</v>
      </c>
      <c r="L55" s="11">
        <f>IF(OR($C55="",K55=""),"",IFERROR(IF(AND(IFERROR(--LEFT(K55,FIND("-",K55)-1),"")=AW55,IFERROR(--MID(K55,FIND("-",K55)+1,99),"")=AX55),10,5*(SIGN((IFERROR(--LEFT(K55,FIND("-",K55)-1),""))-(IFERROR(--MID(K55,FIND("-",K55)+1,99),"")))=SIGN((AW55)-(AX55)))+2*(((IFERROR(--LEFT(K55,FIND("-",K55)-1),""))-(IFERROR(--MID(K55,FIND("-",K55)+1,99),"")))=((AW55)-(AX55)))+2*((IFERROR(--LEFT(K55,FIND("-",K55)-1),""))=(AW55))+2*((IFERROR(--MID(K55,FIND("-",K55)+1,99),""))=(AX55))),""))</f>
        <v>7</v>
      </c>
      <c r="M55" s="10" t="s">
        <v>33</v>
      </c>
      <c r="N55" s="11">
        <f>IF(OR($C55="",M55=""),"",IFERROR(IF(AND(IFERROR(--LEFT(M55,FIND("-",M55)-1),"")=AW55,IFERROR(--MID(M55,FIND("-",M55)+1,99),"")=AX55),10,5*(SIGN((IFERROR(--LEFT(M55,FIND("-",M55)-1),""))-(IFERROR(--MID(M55,FIND("-",M55)+1,99),"")))=SIGN((AW55)-(AX55)))+2*(((IFERROR(--LEFT(M55,FIND("-",M55)-1),""))-(IFERROR(--MID(M55,FIND("-",M55)+1,99),"")))=((AW55)-(AX55)))+2*((IFERROR(--LEFT(M55,FIND("-",M55)-1),""))=(AW55))+2*((IFERROR(--MID(M55,FIND("-",M55)+1,99),""))=(AX55))),""))</f>
        <v>7</v>
      </c>
      <c r="O55" s="10" t="s">
        <v>33</v>
      </c>
      <c r="P55" s="11">
        <f>IF(OR($C55="",O55=""),"",IFERROR(IF(AND(IFERROR(--LEFT(O55,FIND("-",O55)-1),"")=AW55,IFERROR(--MID(O55,FIND("-",O55)+1,99),"")=AX55),10,5*(SIGN((IFERROR(--LEFT(O55,FIND("-",O55)-1),""))-(IFERROR(--MID(O55,FIND("-",O55)+1,99),"")))=SIGN((AW55)-(AX55)))+2*(((IFERROR(--LEFT(O55,FIND("-",O55)-1),""))-(IFERROR(--MID(O55,FIND("-",O55)+1,99),"")))=((AW55)-(AX55)))+2*((IFERROR(--LEFT(O55,FIND("-",O55)-1),""))=(AW55))+2*((IFERROR(--MID(O55,FIND("-",O55)+1,99),""))=(AX55))),""))</f>
        <v>7</v>
      </c>
      <c r="Q55" s="10" t="s">
        <v>49</v>
      </c>
      <c r="R55" s="11">
        <f>IF(OR($C55="",Q55=""),"",IFERROR(IF(AND(IFERROR(--LEFT(Q55,FIND("-",Q55)-1),"")=AW55,IFERROR(--MID(Q55,FIND("-",Q55)+1,99),"")=AX55),10,5*(SIGN((IFERROR(--LEFT(Q55,FIND("-",Q55)-1),""))-(IFERROR(--MID(Q55,FIND("-",Q55)+1,99),"")))=SIGN((AW55)-(AX55)))+2*(((IFERROR(--LEFT(Q55,FIND("-",Q55)-1),""))-(IFERROR(--MID(Q55,FIND("-",Q55)+1,99),"")))=((AW55)-(AX55)))+2*((IFERROR(--LEFT(Q55,FIND("-",Q55)-1),""))=(AW55))+2*((IFERROR(--MID(Q55,FIND("-",Q55)+1,99),""))=(AX55))),""))</f>
        <v>0</v>
      </c>
      <c r="S55" s="10" t="s">
        <v>63</v>
      </c>
      <c r="T55" s="11">
        <f>IF(OR($C55="",S55=""),"",IFERROR(IF(AND(IFERROR(--LEFT(S55,FIND("-",S55)-1),"")=AW55,IFERROR(--MID(S55,FIND("-",S55)+1,99),"")=AX55),10,5*(SIGN((IFERROR(--LEFT(S55,FIND("-",S55)-1),""))-(IFERROR(--MID(S55,FIND("-",S55)+1,99),"")))=SIGN((AW55)-(AX55)))+2*(((IFERROR(--LEFT(S55,FIND("-",S55)-1),""))-(IFERROR(--MID(S55,FIND("-",S55)+1,99),"")))=((AW55)-(AX55)))+2*((IFERROR(--LEFT(S55,FIND("-",S55)-1),""))=(AW55))+2*((IFERROR(--MID(S55,FIND("-",S55)+1,99),""))=(AX55))),""))</f>
        <v>7</v>
      </c>
      <c r="U55" s="10" t="s">
        <v>33</v>
      </c>
      <c r="V55" s="11">
        <f>IF(OR($C55="",U55=""),"",IFERROR(IF(AND(IFERROR(--LEFT(U55,FIND("-",U55)-1),"")=AW55,IFERROR(--MID(U55,FIND("-",U55)+1,99),"")=AX55),10,5*(SIGN((IFERROR(--LEFT(U55,FIND("-",U55)-1),""))-(IFERROR(--MID(U55,FIND("-",U55)+1,99),"")))=SIGN((AW55)-(AX55)))+2*(((IFERROR(--LEFT(U55,FIND("-",U55)-1),""))-(IFERROR(--MID(U55,FIND("-",U55)+1,99),"")))=((AW55)-(AX55)))+2*((IFERROR(--LEFT(U55,FIND("-",U55)-1),""))=(AW55))+2*((IFERROR(--MID(U55,FIND("-",U55)+1,99),""))=(AX55))),""))</f>
        <v>7</v>
      </c>
      <c r="W55" s="10" t="s">
        <v>36</v>
      </c>
      <c r="X55" s="11">
        <f>IF(OR($C55="",W55=""),"",IFERROR(IF(AND(IFERROR(--LEFT(W55,FIND("-",W55)-1),"")=AW55,IFERROR(--MID(W55,FIND("-",W55)+1,99),"")=AX55),10,5*(SIGN((IFERROR(--LEFT(W55,FIND("-",W55)-1),""))-(IFERROR(--MID(W55,FIND("-",W55)+1,99),"")))=SIGN((AW55)-(AX55)))+2*(((IFERROR(--LEFT(W55,FIND("-",W55)-1),""))-(IFERROR(--MID(W55,FIND("-",W55)+1,99),"")))=((AW55)-(AX55)))+2*((IFERROR(--LEFT(W55,FIND("-",W55)-1),""))=(AW55))+2*((IFERROR(--MID(W55,FIND("-",W55)+1,99),""))=(AX55))),""))</f>
        <v>5</v>
      </c>
      <c r="Y55" s="10" t="s">
        <v>33</v>
      </c>
      <c r="Z55" s="11">
        <f>IF(OR($C55="",Y55=""),"",IFERROR(IF(AND(IFERROR(--LEFT(Y55,FIND("-",Y55)-1),"")=AW55,IFERROR(--MID(Y55,FIND("-",Y55)+1,99),"")=AX55),10,5*(SIGN((IFERROR(--LEFT(Y55,FIND("-",Y55)-1),""))-(IFERROR(--MID(Y55,FIND("-",Y55)+1,99),"")))=SIGN((AW55)-(AX55)))+2*(((IFERROR(--LEFT(Y55,FIND("-",Y55)-1),""))-(IFERROR(--MID(Y55,FIND("-",Y55)+1,99),"")))=((AW55)-(AX55)))+2*((IFERROR(--LEFT(Y55,FIND("-",Y55)-1),""))=(AW55))+2*((IFERROR(--MID(Y55,FIND("-",Y55)+1,99),""))=(AX55))),""))</f>
        <v>7</v>
      </c>
      <c r="AA55" s="10" t="s">
        <v>34</v>
      </c>
      <c r="AB55" s="11">
        <f>IF(OR($C55="",AA55=""),"",IFERROR(IF(AND(IFERROR(--LEFT(AA55,FIND("-",AA55)-1),"")=AW55,IFERROR(--MID(AA55,FIND("-",AA55)+1,99),"")=AX55),10,5*(SIGN((IFERROR(--LEFT(AA55,FIND("-",AA55)-1),""))-(IFERROR(--MID(AA55,FIND("-",AA55)+1,99),"")))=SIGN((AW55)-(AX55)))+2*(((IFERROR(--LEFT(AA55,FIND("-",AA55)-1),""))-(IFERROR(--MID(AA55,FIND("-",AA55)+1,99),"")))=((AW55)-(AX55)))+2*((IFERROR(--LEFT(AA55,FIND("-",AA55)-1),""))=(AW55))+2*((IFERROR(--MID(AA55,FIND("-",AA55)+1,99),""))=(AX55))),""))</f>
        <v>7</v>
      </c>
      <c r="AC55" s="10" t="s">
        <v>33</v>
      </c>
      <c r="AD55" s="11">
        <f>IF(OR($C55="",AC55=""),"",IFERROR(IF(AND(IFERROR(--LEFT(AC55,FIND("-",AC55)-1),"")=AW55,IFERROR(--MID(AC55,FIND("-",AC55)+1,99),"")=AX55),10,5*(SIGN((IFERROR(--LEFT(AC55,FIND("-",AC55)-1),""))-(IFERROR(--MID(AC55,FIND("-",AC55)+1,99),"")))=SIGN((AW55)-(AX55)))+2*(((IFERROR(--LEFT(AC55,FIND("-",AC55)-1),""))-(IFERROR(--MID(AC55,FIND("-",AC55)+1,99),"")))=((AW55)-(AX55)))+2*((IFERROR(--LEFT(AC55,FIND("-",AC55)-1),""))=(AW55))+2*((IFERROR(--MID(AC55,FIND("-",AC55)+1,99),""))=(AX55))),""))</f>
        <v>7</v>
      </c>
      <c r="AE55" s="10" t="s">
        <v>35</v>
      </c>
      <c r="AF55" s="11">
        <f>IF(OR($C55="",AE55=""),"",IFERROR(IF(AND(IFERROR(--LEFT(AE55,FIND("-",AE55)-1),"")=AW55,IFERROR(--MID(AE55,FIND("-",AE55)+1,99),"")=AX55),10,5*(SIGN((IFERROR(--LEFT(AE55,FIND("-",AE55)-1),""))-(IFERROR(--MID(AE55,FIND("-",AE55)+1,99),"")))=SIGN((AW55)-(AX55)))+2*(((IFERROR(--LEFT(AE55,FIND("-",AE55)-1),""))-(IFERROR(--MID(AE55,FIND("-",AE55)+1,99),"")))=((AW55)-(AX55)))+2*((IFERROR(--LEFT(AE55,FIND("-",AE55)-1),""))=(AW55))+2*((IFERROR(--MID(AE55,FIND("-",AE55)+1,99),""))=(AX55))),""))</f>
        <v>2</v>
      </c>
      <c r="AG55" s="10" t="s">
        <v>33</v>
      </c>
      <c r="AH55" s="11">
        <f>IF(OR($C55="",AG55=""),"",IFERROR(IF(AND(IFERROR(--LEFT(AG55,FIND("-",AG55)-1),"")=AW55,IFERROR(--MID(AG55,FIND("-",AG55)+1,99),"")=AX55),10,5*(SIGN((IFERROR(--LEFT(AG55,FIND("-",AG55)-1),""))-(IFERROR(--MID(AG55,FIND("-",AG55)+1,99),"")))=SIGN((AW55)-(AX55)))+2*(((IFERROR(--LEFT(AG55,FIND("-",AG55)-1),""))-(IFERROR(--MID(AG55,FIND("-",AG55)+1,99),"")))=((AW55)-(AX55)))+2*((IFERROR(--LEFT(AG55,FIND("-",AG55)-1),""))=(AW55))+2*((IFERROR(--MID(AG55,FIND("-",AG55)+1,99),""))=(AX55))),""))</f>
        <v>7</v>
      </c>
      <c r="AI55" s="10" t="s">
        <v>35</v>
      </c>
      <c r="AJ55" s="11">
        <f>IF(OR($C55="",AI55=""),"",IFERROR(IF(AND(IFERROR(--LEFT(AI55,FIND("-",AI55)-1),"")=AW55,IFERROR(--MID(AI55,FIND("-",AI55)+1,99),"")=AX55),10,5*(SIGN((IFERROR(--LEFT(AI55,FIND("-",AI55)-1),""))-(IFERROR(--MID(AI55,FIND("-",AI55)+1,99),"")))=SIGN((AW55)-(AX55)))+2*(((IFERROR(--LEFT(AI55,FIND("-",AI55)-1),""))-(IFERROR(--MID(AI55,FIND("-",AI55)+1,99),"")))=((AW55)-(AX55)))+2*((IFERROR(--LEFT(AI55,FIND("-",AI55)-1),""))=(AW55))+2*((IFERROR(--MID(AI55,FIND("-",AI55)+1,99),""))=(AX55))),""))</f>
        <v>2</v>
      </c>
      <c r="AK55" s="10" t="s">
        <v>36</v>
      </c>
      <c r="AL55" s="11">
        <f>IF(OR($C55="",AK55=""),"",IFERROR(IF(AND(IFERROR(--LEFT(AK55,FIND("-",AK55)-1),"")=AW55,IFERROR(--MID(AK55,FIND("-",AK55)+1,99),"")=AX55),10,5*(SIGN((IFERROR(--LEFT(AK55,FIND("-",AK55)-1),""))-(IFERROR(--MID(AK55,FIND("-",AK55)+1,99),"")))=SIGN((AW55)-(AX55)))+2*(((IFERROR(--LEFT(AK55,FIND("-",AK55)-1),""))-(IFERROR(--MID(AK55,FIND("-",AK55)+1,99),"")))=((AW55)-(AX55)))+2*((IFERROR(--LEFT(AK55,FIND("-",AK55)-1),""))=(AW55))+2*((IFERROR(--MID(AK55,FIND("-",AK55)+1,99),""))=(AX55))),""))</f>
        <v>5</v>
      </c>
      <c r="AM55" s="10" t="s">
        <v>36</v>
      </c>
      <c r="AN55" s="11">
        <f>IF(OR($C55="",AM55=""),"",IFERROR(IF(AND(IFERROR(--LEFT(AM55,FIND("-",AM55)-1),"")=AW55,IFERROR(--MID(AM55,FIND("-",AM55)+1,99),"")=AX55),10,5*(SIGN((IFERROR(--LEFT(AM55,FIND("-",AM55)-1),""))-(IFERROR(--MID(AM55,FIND("-",AM55)+1,99),"")))=SIGN((AW55)-(AX55)))+2*(((IFERROR(--LEFT(AM55,FIND("-",AM55)-1),""))-(IFERROR(--MID(AM55,FIND("-",AM55)+1,99),"")))=((AW55)-(AX55)))+2*((IFERROR(--LEFT(AM55,FIND("-",AM55)-1),""))=(AW55))+2*((IFERROR(--MID(AM55,FIND("-",AM55)+1,99),""))=(AX55))),""))</f>
        <v>5</v>
      </c>
      <c r="AO55" s="10" t="s">
        <v>36</v>
      </c>
      <c r="AP55" s="11">
        <f>IF(OR($C55="",AO55=""),"",IFERROR(IF(AND(IFERROR(--LEFT(AO55,FIND("-",AO55)-1),"")=AW55,IFERROR(--MID(AO55,FIND("-",AO55)+1,99),"")=AX55),10,5*(SIGN((IFERROR(--LEFT(AO55,FIND("-",AO55)-1),""))-(IFERROR(--MID(AO55,FIND("-",AO55)+1,99),"")))=SIGN((AW55)-(AX55)))+2*(((IFERROR(--LEFT(AO55,FIND("-",AO55)-1),""))-(IFERROR(--MID(AO55,FIND("-",AO55)+1,99),"")))=((AW55)-(AX55)))+2*((IFERROR(--LEFT(AO55,FIND("-",AO55)-1),""))=(AW55))+2*((IFERROR(--MID(AO55,FIND("-",AO55)+1,99),""))=(AX55))),""))</f>
        <v>5</v>
      </c>
      <c r="AQ55" s="10" t="s">
        <v>37</v>
      </c>
      <c r="AR55" s="11">
        <f t="shared" si="4"/>
        <v>0</v>
      </c>
      <c r="AS55" s="10" t="s">
        <v>39</v>
      </c>
      <c r="AT55" s="11">
        <f t="shared" si="5"/>
        <v>5</v>
      </c>
      <c r="AU55" s="10" t="s">
        <v>33</v>
      </c>
      <c r="AV55" s="11">
        <f>IF(OR($C55="",AU55=""),"",IFERROR(IF(AND(IFERROR(--LEFT(AU55,FIND("-",AU55)-1),"")=AW55,IFERROR(--MID(AU55,FIND("-",AU55)+1,99),"")=AX55),10,5*(SIGN((IFERROR(--LEFT(AU55,FIND("-",AU55)-1),""))-(IFERROR(--MID(AU55,FIND("-",AU55)+1,99),"")))=SIGN((AW55)-(AX55)))+2*(((IFERROR(--LEFT(AU55,FIND("-",AU55)-1),""))-(IFERROR(--MID(AU55,FIND("-",AU55)+1,99),"")))=((AW55)-(AX55)))+2*((IFERROR(--LEFT(AU55,FIND("-",AU55)-1),""))=(AW55))+2*((IFERROR(--MID(AU55,FIND("-",AU55)+1,99),""))=(AX55))),""))</f>
        <v>7</v>
      </c>
      <c r="AW55" s="11">
        <f>IF($C55="","",IFERROR(--LEFT($C55,FIND("-",$C55)-1),""))</f>
        <v>5</v>
      </c>
      <c r="AX55" s="11">
        <f>IF($C55="","",IFERROR(--MID($C55,FIND("-",$C55)+1,99),""))</f>
        <v>1</v>
      </c>
    </row>
    <row r="56" spans="1:50" ht="18" customHeight="1" x14ac:dyDescent="0.3">
      <c r="A56" s="9">
        <v>1.916666666666667</v>
      </c>
      <c r="B56" s="18" t="s">
        <v>69</v>
      </c>
      <c r="C56" s="10" t="s">
        <v>33</v>
      </c>
      <c r="D56" s="1" t="s">
        <v>76</v>
      </c>
      <c r="E56" s="10" t="s">
        <v>33</v>
      </c>
      <c r="F56" s="11">
        <f>IF(OR($C56="",E56=""),"",IFERROR(IF(AND(IFERROR(--LEFT(E56,FIND("-",E56)-1),"")=AW56,IFERROR(--MID(E56,FIND("-",E56)+1,99),"")=AX56),10,5*(SIGN((IFERROR(--LEFT(E56,FIND("-",E56)-1),""))-(IFERROR(--MID(E56,FIND("-",E56)+1,99),"")))=SIGN((AW56)-(AX56)))+2*(((IFERROR(--LEFT(E56,FIND("-",E56)-1),""))-(IFERROR(--MID(E56,FIND("-",E56)+1,99),"")))=((AW56)-(AX56)))+2*((IFERROR(--LEFT(E56,FIND("-",E56)-1),""))=(AW56))+2*((IFERROR(--MID(E56,FIND("-",E56)+1,99),""))=(AX56))),""))</f>
        <v>10</v>
      </c>
      <c r="G56" s="10" t="s">
        <v>63</v>
      </c>
      <c r="H56" s="11">
        <f>IF(OR($C56="",G56=""),"",IFERROR(IF(AND(IFERROR(--LEFT(G56,FIND("-",G56)-1),"")=AW56,IFERROR(--MID(G56,FIND("-",G56)+1,99),"")=AX56),10,5*(SIGN((IFERROR(--LEFT(G56,FIND("-",G56)-1),""))-(IFERROR(--MID(G56,FIND("-",G56)+1,99),"")))=SIGN((AW56)-(AX56)))+2*(((IFERROR(--LEFT(G56,FIND("-",G56)-1),""))-(IFERROR(--MID(G56,FIND("-",G56)+1,99),"")))=((AW56)-(AX56)))+2*((IFERROR(--LEFT(G56,FIND("-",G56)-1),""))=(AW56))+2*((IFERROR(--MID(G56,FIND("-",G56)+1,99),""))=(AX56))),""))</f>
        <v>5</v>
      </c>
      <c r="I56" s="10" t="s">
        <v>33</v>
      </c>
      <c r="J56" s="11">
        <f>IF(OR($C56="",I56=""),"",IFERROR(IF(AND(IFERROR(--LEFT(I56,FIND("-",I56)-1),"")=AW56,IFERROR(--MID(I56,FIND("-",I56)+1,99),"")=AX56),10,5*(SIGN((IFERROR(--LEFT(I56,FIND("-",I56)-1),""))-(IFERROR(--MID(I56,FIND("-",I56)+1,99),"")))=SIGN((AW56)-(AX56)))+2*(((IFERROR(--LEFT(I56,FIND("-",I56)-1),""))-(IFERROR(--MID(I56,FIND("-",I56)+1,99),"")))=((AW56)-(AX56)))+2*((IFERROR(--LEFT(I56,FIND("-",I56)-1),""))=(AW56))+2*((IFERROR(--MID(I56,FIND("-",I56)+1,99),""))=(AX56))),""))</f>
        <v>10</v>
      </c>
      <c r="K56" s="10" t="s">
        <v>43</v>
      </c>
      <c r="L56" s="11">
        <f>IF(OR($C56="",K56=""),"",IFERROR(IF(AND(IFERROR(--LEFT(K56,FIND("-",K56)-1),"")=AW56,IFERROR(--MID(K56,FIND("-",K56)+1,99),"")=AX56),10,5*(SIGN((IFERROR(--LEFT(K56,FIND("-",K56)-1),""))-(IFERROR(--MID(K56,FIND("-",K56)+1,99),"")))=SIGN((AW56)-(AX56)))+2*(((IFERROR(--LEFT(K56,FIND("-",K56)-1),""))-(IFERROR(--MID(K56,FIND("-",K56)+1,99),"")))=((AW56)-(AX56)))+2*((IFERROR(--LEFT(K56,FIND("-",K56)-1),""))=(AW56))+2*((IFERROR(--MID(K56,FIND("-",K56)+1,99),""))=(AX56))),""))</f>
        <v>7</v>
      </c>
      <c r="M56" s="10" t="s">
        <v>34</v>
      </c>
      <c r="N56" s="11">
        <f>IF(OR($C56="",M56=""),"",IFERROR(IF(AND(IFERROR(--LEFT(M56,FIND("-",M56)-1),"")=AW56,IFERROR(--MID(M56,FIND("-",M56)+1,99),"")=AX56),10,5*(SIGN((IFERROR(--LEFT(M56,FIND("-",M56)-1),""))-(IFERROR(--MID(M56,FIND("-",M56)+1,99),"")))=SIGN((AW56)-(AX56)))+2*(((IFERROR(--LEFT(M56,FIND("-",M56)-1),""))-(IFERROR(--MID(M56,FIND("-",M56)+1,99),"")))=((AW56)-(AX56)))+2*((IFERROR(--LEFT(M56,FIND("-",M56)-1),""))=(AW56))+2*((IFERROR(--MID(M56,FIND("-",M56)+1,99),""))=(AX56))),""))</f>
        <v>7</v>
      </c>
      <c r="O56" s="10" t="s">
        <v>34</v>
      </c>
      <c r="P56" s="11">
        <f>IF(OR($C56="",O56=""),"",IFERROR(IF(AND(IFERROR(--LEFT(O56,FIND("-",O56)-1),"")=AW56,IFERROR(--MID(O56,FIND("-",O56)+1,99),"")=AX56),10,5*(SIGN((IFERROR(--LEFT(O56,FIND("-",O56)-1),""))-(IFERROR(--MID(O56,FIND("-",O56)+1,99),"")))=SIGN((AW56)-(AX56)))+2*(((IFERROR(--LEFT(O56,FIND("-",O56)-1),""))-(IFERROR(--MID(O56,FIND("-",O56)+1,99),"")))=((AW56)-(AX56)))+2*((IFERROR(--LEFT(O56,FIND("-",O56)-1),""))=(AW56))+2*((IFERROR(--MID(O56,FIND("-",O56)+1,99),""))=(AX56))),""))</f>
        <v>7</v>
      </c>
      <c r="Q56" s="10" t="s">
        <v>113</v>
      </c>
      <c r="R56" s="11">
        <f>IF(OR($C56="",Q56=""),"",IFERROR(IF(AND(IFERROR(--LEFT(Q56,FIND("-",Q56)-1),"")=AW56,IFERROR(--MID(Q56,FIND("-",Q56)+1,99),"")=AX56),10,5*(SIGN((IFERROR(--LEFT(Q56,FIND("-",Q56)-1),""))-(IFERROR(--MID(Q56,FIND("-",Q56)+1,99),"")))=SIGN((AW56)-(AX56)))+2*(((IFERROR(--LEFT(Q56,FIND("-",Q56)-1),""))-(IFERROR(--MID(Q56,FIND("-",Q56)+1,99),"")))=((AW56)-(AX56)))+2*((IFERROR(--LEFT(Q56,FIND("-",Q56)-1),""))=(AW56))+2*((IFERROR(--MID(Q56,FIND("-",Q56)+1,99),""))=(AX56))),""))</f>
        <v>7</v>
      </c>
      <c r="S56" s="10" t="s">
        <v>63</v>
      </c>
      <c r="T56" s="11">
        <f>IF(OR($C56="",S56=""),"",IFERROR(IF(AND(IFERROR(--LEFT(S56,FIND("-",S56)-1),"")=AW56,IFERROR(--MID(S56,FIND("-",S56)+1,99),"")=AX56),10,5*(SIGN((IFERROR(--LEFT(S56,FIND("-",S56)-1),""))-(IFERROR(--MID(S56,FIND("-",S56)+1,99),"")))=SIGN((AW56)-(AX56)))+2*(((IFERROR(--LEFT(S56,FIND("-",S56)-1),""))-(IFERROR(--MID(S56,FIND("-",S56)+1,99),"")))=((AW56)-(AX56)))+2*((IFERROR(--LEFT(S56,FIND("-",S56)-1),""))=(AW56))+2*((IFERROR(--MID(S56,FIND("-",S56)+1,99),""))=(AX56))),""))</f>
        <v>5</v>
      </c>
      <c r="U56" s="10" t="s">
        <v>36</v>
      </c>
      <c r="V56" s="11">
        <f>IF(OR($C56="",U56=""),"",IFERROR(IF(AND(IFERROR(--LEFT(U56,FIND("-",U56)-1),"")=AW56,IFERROR(--MID(U56,FIND("-",U56)+1,99),"")=AX56),10,5*(SIGN((IFERROR(--LEFT(U56,FIND("-",U56)-1),""))-(IFERROR(--MID(U56,FIND("-",U56)+1,99),"")))=SIGN((AW56)-(AX56)))+2*(((IFERROR(--LEFT(U56,FIND("-",U56)-1),""))-(IFERROR(--MID(U56,FIND("-",U56)+1,99),"")))=((AW56)-(AX56)))+2*((IFERROR(--LEFT(U56,FIND("-",U56)-1),""))=(AW56))+2*((IFERROR(--MID(U56,FIND("-",U56)+1,99),""))=(AX56))),""))</f>
        <v>7</v>
      </c>
      <c r="W56" s="10" t="s">
        <v>33</v>
      </c>
      <c r="X56" s="11">
        <f>IF(OR($C56="",W56=""),"",IFERROR(IF(AND(IFERROR(--LEFT(W56,FIND("-",W56)-1),"")=AW56,IFERROR(--MID(W56,FIND("-",W56)+1,99),"")=AX56),10,5*(SIGN((IFERROR(--LEFT(W56,FIND("-",W56)-1),""))-(IFERROR(--MID(W56,FIND("-",W56)+1,99),"")))=SIGN((AW56)-(AX56)))+2*(((IFERROR(--LEFT(W56,FIND("-",W56)-1),""))-(IFERROR(--MID(W56,FIND("-",W56)+1,99),"")))=((AW56)-(AX56)))+2*((IFERROR(--LEFT(W56,FIND("-",W56)-1),""))=(AW56))+2*((IFERROR(--MID(W56,FIND("-",W56)+1,99),""))=(AX56))),""))</f>
        <v>10</v>
      </c>
      <c r="Y56" s="10" t="s">
        <v>33</v>
      </c>
      <c r="Z56" s="11">
        <f>IF(OR($C56="",Y56=""),"",IFERROR(IF(AND(IFERROR(--LEFT(Y56,FIND("-",Y56)-1),"")=AW56,IFERROR(--MID(Y56,FIND("-",Y56)+1,99),"")=AX56),10,5*(SIGN((IFERROR(--LEFT(Y56,FIND("-",Y56)-1),""))-(IFERROR(--MID(Y56,FIND("-",Y56)+1,99),"")))=SIGN((AW56)-(AX56)))+2*(((IFERROR(--LEFT(Y56,FIND("-",Y56)-1),""))-(IFERROR(--MID(Y56,FIND("-",Y56)+1,99),"")))=((AW56)-(AX56)))+2*((IFERROR(--LEFT(Y56,FIND("-",Y56)-1),""))=(AW56))+2*((IFERROR(--MID(Y56,FIND("-",Y56)+1,99),""))=(AX56))),""))</f>
        <v>10</v>
      </c>
      <c r="AA56" s="10" t="s">
        <v>34</v>
      </c>
      <c r="AB56" s="11">
        <f>IF(OR($C56="",AA56=""),"",IFERROR(IF(AND(IFERROR(--LEFT(AA56,FIND("-",AA56)-1),"")=AW56,IFERROR(--MID(AA56,FIND("-",AA56)+1,99),"")=AX56),10,5*(SIGN((IFERROR(--LEFT(AA56,FIND("-",AA56)-1),""))-(IFERROR(--MID(AA56,FIND("-",AA56)+1,99),"")))=SIGN((AW56)-(AX56)))+2*(((IFERROR(--LEFT(AA56,FIND("-",AA56)-1),""))-(IFERROR(--MID(AA56,FIND("-",AA56)+1,99),"")))=((AW56)-(AX56)))+2*((IFERROR(--LEFT(AA56,FIND("-",AA56)-1),""))=(AW56))+2*((IFERROR(--MID(AA56,FIND("-",AA56)+1,99),""))=(AX56))),""))</f>
        <v>7</v>
      </c>
      <c r="AC56" s="10" t="s">
        <v>61</v>
      </c>
      <c r="AD56" s="11">
        <f>IF(OR($C56="",AC56=""),"",IFERROR(IF(AND(IFERROR(--LEFT(AC56,FIND("-",AC56)-1),"")=AW56,IFERROR(--MID(AC56,FIND("-",AC56)+1,99),"")=AX56),10,5*(SIGN((IFERROR(--LEFT(AC56,FIND("-",AC56)-1),""))-(IFERROR(--MID(AC56,FIND("-",AC56)+1,99),"")))=SIGN((AW56)-(AX56)))+2*(((IFERROR(--LEFT(AC56,FIND("-",AC56)-1),""))-(IFERROR(--MID(AC56,FIND("-",AC56)+1,99),"")))=((AW56)-(AX56)))+2*((IFERROR(--LEFT(AC56,FIND("-",AC56)-1),""))=(AW56))+2*((IFERROR(--MID(AC56,FIND("-",AC56)+1,99),""))=(AX56))),""))</f>
        <v>7</v>
      </c>
      <c r="AE56" s="10" t="s">
        <v>33</v>
      </c>
      <c r="AF56" s="11">
        <f>IF(OR($C56="",AE56=""),"",IFERROR(IF(AND(IFERROR(--LEFT(AE56,FIND("-",AE56)-1),"")=AW56,IFERROR(--MID(AE56,FIND("-",AE56)+1,99),"")=AX56),10,5*(SIGN((IFERROR(--LEFT(AE56,FIND("-",AE56)-1),""))-(IFERROR(--MID(AE56,FIND("-",AE56)+1,99),"")))=SIGN((AW56)-(AX56)))+2*(((IFERROR(--LEFT(AE56,FIND("-",AE56)-1),""))-(IFERROR(--MID(AE56,FIND("-",AE56)+1,99),"")))=((AW56)-(AX56)))+2*((IFERROR(--LEFT(AE56,FIND("-",AE56)-1),""))=(AW56))+2*((IFERROR(--MID(AE56,FIND("-",AE56)+1,99),""))=(AX56))),""))</f>
        <v>10</v>
      </c>
      <c r="AG56" s="10" t="s">
        <v>36</v>
      </c>
      <c r="AH56" s="11">
        <f>IF(OR($C56="",AG56=""),"",IFERROR(IF(AND(IFERROR(--LEFT(AG56,FIND("-",AG56)-1),"")=AW56,IFERROR(--MID(AG56,FIND("-",AG56)+1,99),"")=AX56),10,5*(SIGN((IFERROR(--LEFT(AG56,FIND("-",AG56)-1),""))-(IFERROR(--MID(AG56,FIND("-",AG56)+1,99),"")))=SIGN((AW56)-(AX56)))+2*(((IFERROR(--LEFT(AG56,FIND("-",AG56)-1),""))-(IFERROR(--MID(AG56,FIND("-",AG56)+1,99),"")))=((AW56)-(AX56)))+2*((IFERROR(--LEFT(AG56,FIND("-",AG56)-1),""))=(AW56))+2*((IFERROR(--MID(AG56,FIND("-",AG56)+1,99),""))=(AX56))),""))</f>
        <v>7</v>
      </c>
      <c r="AI56" s="10" t="s">
        <v>38</v>
      </c>
      <c r="AJ56" s="11">
        <f>IF(OR($C56="",AI56=""),"",IFERROR(IF(AND(IFERROR(--LEFT(AI56,FIND("-",AI56)-1),"")=AW56,IFERROR(--MID(AI56,FIND("-",AI56)+1,99),"")=AX56),10,5*(SIGN((IFERROR(--LEFT(AI56,FIND("-",AI56)-1),""))-(IFERROR(--MID(AI56,FIND("-",AI56)+1,99),"")))=SIGN((AW56)-(AX56)))+2*(((IFERROR(--LEFT(AI56,FIND("-",AI56)-1),""))-(IFERROR(--MID(AI56,FIND("-",AI56)+1,99),"")))=((AW56)-(AX56)))+2*((IFERROR(--LEFT(AI56,FIND("-",AI56)-1),""))=(AW56))+2*((IFERROR(--MID(AI56,FIND("-",AI56)+1,99),""))=(AX56))),""))</f>
        <v>5</v>
      </c>
      <c r="AK56" s="10" t="s">
        <v>36</v>
      </c>
      <c r="AL56" s="11">
        <f>IF(OR($C56="",AK56=""),"",IFERROR(IF(AND(IFERROR(--LEFT(AK56,FIND("-",AK56)-1),"")=AW56,IFERROR(--MID(AK56,FIND("-",AK56)+1,99),"")=AX56),10,5*(SIGN((IFERROR(--LEFT(AK56,FIND("-",AK56)-1),""))-(IFERROR(--MID(AK56,FIND("-",AK56)+1,99),"")))=SIGN((AW56)-(AX56)))+2*(((IFERROR(--LEFT(AK56,FIND("-",AK56)-1),""))-(IFERROR(--MID(AK56,FIND("-",AK56)+1,99),"")))=((AW56)-(AX56)))+2*((IFERROR(--LEFT(AK56,FIND("-",AK56)-1),""))=(AW56))+2*((IFERROR(--MID(AK56,FIND("-",AK56)+1,99),""))=(AX56))),""))</f>
        <v>7</v>
      </c>
      <c r="AM56" s="10" t="s">
        <v>34</v>
      </c>
      <c r="AN56" s="11">
        <f>IF(OR($C56="",AM56=""),"",IFERROR(IF(AND(IFERROR(--LEFT(AM56,FIND("-",AM56)-1),"")=AW56,IFERROR(--MID(AM56,FIND("-",AM56)+1,99),"")=AX56),10,5*(SIGN((IFERROR(--LEFT(AM56,FIND("-",AM56)-1),""))-(IFERROR(--MID(AM56,FIND("-",AM56)+1,99),"")))=SIGN((AW56)-(AX56)))+2*(((IFERROR(--LEFT(AM56,FIND("-",AM56)-1),""))-(IFERROR(--MID(AM56,FIND("-",AM56)+1,99),"")))=((AW56)-(AX56)))+2*((IFERROR(--LEFT(AM56,FIND("-",AM56)-1),""))=(AW56))+2*((IFERROR(--MID(AM56,FIND("-",AM56)+1,99),""))=(AX56))),""))</f>
        <v>7</v>
      </c>
      <c r="AO56" s="10" t="s">
        <v>36</v>
      </c>
      <c r="AP56" s="11">
        <f>IF(OR($C56="",AO56=""),"",IFERROR(IF(AND(IFERROR(--LEFT(AO56,FIND("-",AO56)-1),"")=AW56,IFERROR(--MID(AO56,FIND("-",AO56)+1,99),"")=AX56),10,5*(SIGN((IFERROR(--LEFT(AO56,FIND("-",AO56)-1),""))-(IFERROR(--MID(AO56,FIND("-",AO56)+1,99),"")))=SIGN((AW56)-(AX56)))+2*(((IFERROR(--LEFT(AO56,FIND("-",AO56)-1),""))-(IFERROR(--MID(AO56,FIND("-",AO56)+1,99),"")))=((AW56)-(AX56)))+2*((IFERROR(--LEFT(AO56,FIND("-",AO56)-1),""))=(AW56))+2*((IFERROR(--MID(AO56,FIND("-",AO56)+1,99),""))=(AX56))),""))</f>
        <v>7</v>
      </c>
      <c r="AQ56" s="10" t="s">
        <v>34</v>
      </c>
      <c r="AR56" s="11">
        <f t="shared" si="4"/>
        <v>7</v>
      </c>
      <c r="AS56" s="10" t="s">
        <v>38</v>
      </c>
      <c r="AT56" s="11">
        <f t="shared" si="5"/>
        <v>5</v>
      </c>
      <c r="AU56" s="10" t="s">
        <v>38</v>
      </c>
      <c r="AV56" s="11">
        <f>IF(OR($C56="",AU56=""),"",IFERROR(IF(AND(IFERROR(--LEFT(AU56,FIND("-",AU56)-1),"")=AW56,IFERROR(--MID(AU56,FIND("-",AU56)+1,99),"")=AX56),10,5*(SIGN((IFERROR(--LEFT(AU56,FIND("-",AU56)-1),""))-(IFERROR(--MID(AU56,FIND("-",AU56)+1,99),"")))=SIGN((AW56)-(AX56)))+2*(((IFERROR(--LEFT(AU56,FIND("-",AU56)-1),""))-(IFERROR(--MID(AU56,FIND("-",AU56)+1,99),"")))=((AW56)-(AX56)))+2*((IFERROR(--LEFT(AU56,FIND("-",AU56)-1),""))=(AW56))+2*((IFERROR(--MID(AU56,FIND("-",AU56)+1,99),""))=(AX56))),""))</f>
        <v>5</v>
      </c>
      <c r="AW56" s="11">
        <f>IF($C56="","",IFERROR(--LEFT($C56,FIND("-",$C56)-1),""))</f>
        <v>2</v>
      </c>
      <c r="AX56" s="11">
        <f>IF($C56="","",IFERROR(--MID($C56,FIND("-",$C56)+1,99),""))</f>
        <v>1</v>
      </c>
    </row>
    <row r="57" spans="1:50" ht="18" customHeight="1" x14ac:dyDescent="0.3">
      <c r="A57" s="12"/>
      <c r="B57" s="18"/>
      <c r="C57" s="13"/>
      <c r="D57" s="1"/>
      <c r="E57" s="22"/>
      <c r="F57" s="12"/>
      <c r="G57" s="22"/>
      <c r="H57" s="12"/>
      <c r="I57" s="22"/>
      <c r="J57" s="12"/>
      <c r="K57" s="22"/>
      <c r="L57" s="12"/>
      <c r="M57" s="22"/>
      <c r="N57" s="12"/>
      <c r="O57" s="22"/>
      <c r="P57" s="12"/>
      <c r="Q57" s="22"/>
      <c r="R57" s="12"/>
      <c r="S57" s="22"/>
      <c r="T57" s="12"/>
      <c r="U57" s="13"/>
      <c r="V57" s="12"/>
      <c r="W57" s="22"/>
      <c r="X57" s="12"/>
      <c r="Y57" s="22"/>
      <c r="Z57" s="12"/>
      <c r="AA57" s="22"/>
      <c r="AB57" s="12"/>
      <c r="AC57" s="22"/>
      <c r="AD57" s="12"/>
      <c r="AE57" s="22"/>
      <c r="AF57" s="12"/>
      <c r="AG57" s="22"/>
      <c r="AH57" s="12"/>
      <c r="AI57" s="22"/>
      <c r="AJ57" s="12"/>
      <c r="AK57" s="22"/>
      <c r="AL57" s="12"/>
      <c r="AM57" s="22"/>
      <c r="AN57" s="12"/>
      <c r="AO57" s="22"/>
      <c r="AP57" s="12"/>
      <c r="AQ57" s="22"/>
      <c r="AR57" s="12" t="str">
        <f t="shared" si="4"/>
        <v/>
      </c>
      <c r="AS57" s="22"/>
      <c r="AT57" s="12" t="str">
        <f t="shared" si="5"/>
        <v/>
      </c>
      <c r="AU57" s="22"/>
      <c r="AV57" s="12"/>
      <c r="AW57" s="12"/>
      <c r="AX57" s="12"/>
    </row>
    <row r="58" spans="1:50" ht="20.100000000000001" customHeight="1" x14ac:dyDescent="0.3">
      <c r="A58" s="36" t="s">
        <v>114</v>
      </c>
      <c r="B58" s="37"/>
      <c r="C58" s="38"/>
      <c r="D58" s="37"/>
      <c r="E58" s="38"/>
      <c r="F58" s="37"/>
      <c r="G58" s="38"/>
      <c r="H58" s="37"/>
      <c r="I58" s="38"/>
      <c r="J58" s="37"/>
      <c r="K58" s="38"/>
      <c r="L58" s="37"/>
      <c r="M58" s="38"/>
      <c r="N58" s="37"/>
      <c r="O58" s="38"/>
      <c r="P58" s="37"/>
      <c r="Q58" s="38"/>
      <c r="R58" s="37"/>
      <c r="S58" s="38"/>
      <c r="T58" s="37"/>
      <c r="U58" s="38"/>
      <c r="V58" s="37"/>
      <c r="W58" s="38"/>
      <c r="X58" s="37"/>
      <c r="Y58" s="38"/>
      <c r="Z58" s="37"/>
      <c r="AA58" s="38"/>
      <c r="AB58" s="37"/>
      <c r="AC58" s="38"/>
      <c r="AD58" s="37"/>
      <c r="AE58" s="38"/>
      <c r="AF58" s="37"/>
      <c r="AG58" s="38"/>
      <c r="AH58" s="37"/>
      <c r="AI58" s="38"/>
      <c r="AJ58" s="37"/>
      <c r="AK58" s="38"/>
      <c r="AL58" s="37"/>
      <c r="AM58" s="38"/>
      <c r="AN58" s="37"/>
      <c r="AO58" s="38"/>
      <c r="AP58" s="37"/>
      <c r="AQ58" s="37"/>
      <c r="AR58" s="37"/>
      <c r="AS58" s="37"/>
      <c r="AT58" s="37"/>
      <c r="AU58" s="38"/>
      <c r="AV58" s="39"/>
      <c r="AW58" s="8"/>
      <c r="AX58" s="8"/>
    </row>
    <row r="59" spans="1:50" ht="18" customHeight="1" x14ac:dyDescent="0.3">
      <c r="A59" s="9">
        <v>1.083333333333333</v>
      </c>
      <c r="B59" s="18" t="s">
        <v>77</v>
      </c>
      <c r="C59" s="10" t="s">
        <v>50</v>
      </c>
      <c r="D59" s="1" t="s">
        <v>70</v>
      </c>
      <c r="E59" s="10" t="s">
        <v>38</v>
      </c>
      <c r="F59" s="11">
        <f>IF(OR($C59="",E59=""),"",IFERROR(IF(AND(IFERROR(--LEFT(E59,FIND("-",E59)-1),"")=AW59,IFERROR(--MID(E59,FIND("-",E59)+1,99),"")=AX59),10,5*(SIGN((IFERROR(--LEFT(E59,FIND("-",E59)-1),""))-(IFERROR(--MID(E59,FIND("-",E59)+1,99),"")))=SIGN((AW59)-(AX59)))+2*(((IFERROR(--LEFT(E59,FIND("-",E59)-1),""))-(IFERROR(--MID(E59,FIND("-",E59)+1,99),"")))=((AW59)-(AX59)))+2*((IFERROR(--LEFT(E59,FIND("-",E59)-1),""))=(AW59))+2*((IFERROR(--MID(E59,FIND("-",E59)+1,99),""))=(AX59))),""))</f>
        <v>2</v>
      </c>
      <c r="G59" s="10" t="s">
        <v>45</v>
      </c>
      <c r="H59" s="11">
        <f>IF(OR($C59="",G59=""),"",IFERROR(IF(AND(IFERROR(--LEFT(G59,FIND("-",G59)-1),"")=AW59,IFERROR(--MID(G59,FIND("-",G59)+1,99),"")=AX59),10,5*(SIGN((IFERROR(--LEFT(G59,FIND("-",G59)-1),""))-(IFERROR(--MID(G59,FIND("-",G59)+1,99),"")))=SIGN((AW59)-(AX59)))+2*(((IFERROR(--LEFT(G59,FIND("-",G59)-1),""))-(IFERROR(--MID(G59,FIND("-",G59)+1,99),"")))=((AW59)-(AX59)))+2*((IFERROR(--LEFT(G59,FIND("-",G59)-1),""))=(AW59))+2*((IFERROR(--MID(G59,FIND("-",G59)+1,99),""))=(AX59))),""))</f>
        <v>2</v>
      </c>
      <c r="I59" s="10" t="s">
        <v>38</v>
      </c>
      <c r="J59" s="11">
        <f>IF(OR($C59="",I59=""),"",IFERROR(IF(AND(IFERROR(--LEFT(I59,FIND("-",I59)-1),"")=AW59,IFERROR(--MID(I59,FIND("-",I59)+1,99),"")=AX59),10,5*(SIGN((IFERROR(--LEFT(I59,FIND("-",I59)-1),""))-(IFERROR(--MID(I59,FIND("-",I59)+1,99),"")))=SIGN((AW59)-(AX59)))+2*(((IFERROR(--LEFT(I59,FIND("-",I59)-1),""))-(IFERROR(--MID(I59,FIND("-",I59)+1,99),"")))=((AW59)-(AX59)))+2*((IFERROR(--LEFT(I59,FIND("-",I59)-1),""))=(AW59))+2*((IFERROR(--MID(I59,FIND("-",I59)+1,99),""))=(AX59))),""))</f>
        <v>2</v>
      </c>
      <c r="K59" s="10" t="s">
        <v>33</v>
      </c>
      <c r="L59" s="11">
        <f>IF(OR($C59="",K59=""),"",IFERROR(IF(AND(IFERROR(--LEFT(K59,FIND("-",K59)-1),"")=AW59,IFERROR(--MID(K59,FIND("-",K59)+1,99),"")=AX59),10,5*(SIGN((IFERROR(--LEFT(K59,FIND("-",K59)-1),""))-(IFERROR(--MID(K59,FIND("-",K59)+1,99),"")))=SIGN((AW59)-(AX59)))+2*(((IFERROR(--LEFT(K59,FIND("-",K59)-1),""))-(IFERROR(--MID(K59,FIND("-",K59)+1,99),"")))=((AW59)-(AX59)))+2*((IFERROR(--LEFT(K59,FIND("-",K59)-1),""))=(AW59))+2*((IFERROR(--MID(K59,FIND("-",K59)+1,99),""))=(AX59))),""))</f>
        <v>0</v>
      </c>
      <c r="M59" s="10" t="s">
        <v>37</v>
      </c>
      <c r="N59" s="11">
        <f>IF(OR($C59="",M59=""),"",IFERROR(IF(AND(IFERROR(--LEFT(M59,FIND("-",M59)-1),"")=AW59,IFERROR(--MID(M59,FIND("-",M59)+1,99),"")=AX59),10,5*(SIGN((IFERROR(--LEFT(M59,FIND("-",M59)-1),""))-(IFERROR(--MID(M59,FIND("-",M59)+1,99),"")))=SIGN((AW59)-(AX59)))+2*(((IFERROR(--LEFT(M59,FIND("-",M59)-1),""))-(IFERROR(--MID(M59,FIND("-",M59)+1,99),"")))=((AW59)-(AX59)))+2*((IFERROR(--LEFT(M59,FIND("-",M59)-1),""))=(AW59))+2*((IFERROR(--MID(M59,FIND("-",M59)+1,99),""))=(AX59))),""))</f>
        <v>0</v>
      </c>
      <c r="O59" s="10" t="s">
        <v>38</v>
      </c>
      <c r="P59" s="11">
        <f>IF(OR($C59="",O59=""),"",IFERROR(IF(AND(IFERROR(--LEFT(O59,FIND("-",O59)-1),"")=AW59,IFERROR(--MID(O59,FIND("-",O59)+1,99),"")=AX59),10,5*(SIGN((IFERROR(--LEFT(O59,FIND("-",O59)-1),""))-(IFERROR(--MID(O59,FIND("-",O59)+1,99),"")))=SIGN((AW59)-(AX59)))+2*(((IFERROR(--LEFT(O59,FIND("-",O59)-1),""))-(IFERROR(--MID(O59,FIND("-",O59)+1,99),"")))=((AW59)-(AX59)))+2*((IFERROR(--LEFT(O59,FIND("-",O59)-1),""))=(AW59))+2*((IFERROR(--MID(O59,FIND("-",O59)+1,99),""))=(AX59))),""))</f>
        <v>2</v>
      </c>
      <c r="Q59" s="10" t="s">
        <v>45</v>
      </c>
      <c r="R59" s="11">
        <f>IF(OR($C59="",Q59=""),"",IFERROR(IF(AND(IFERROR(--LEFT(Q59,FIND("-",Q59)-1),"")=AW59,IFERROR(--MID(Q59,FIND("-",Q59)+1,99),"")=AX59),10,5*(SIGN((IFERROR(--LEFT(Q59,FIND("-",Q59)-1),""))-(IFERROR(--MID(Q59,FIND("-",Q59)+1,99),"")))=SIGN((AW59)-(AX59)))+2*(((IFERROR(--LEFT(Q59,FIND("-",Q59)-1),""))-(IFERROR(--MID(Q59,FIND("-",Q59)+1,99),"")))=((AW59)-(AX59)))+2*((IFERROR(--LEFT(Q59,FIND("-",Q59)-1),""))=(AW59))+2*((IFERROR(--MID(Q59,FIND("-",Q59)+1,99),""))=(AX59))),""))</f>
        <v>2</v>
      </c>
      <c r="S59" s="10" t="s">
        <v>33</v>
      </c>
      <c r="T59" s="11">
        <f>IF(OR($C59="",S59=""),"",IFERROR(IF(AND(IFERROR(--LEFT(S59,FIND("-",S59)-1),"")=AW59,IFERROR(--MID(S59,FIND("-",S59)+1,99),"")=AX59),10,5*(SIGN((IFERROR(--LEFT(S59,FIND("-",S59)-1),""))-(IFERROR(--MID(S59,FIND("-",S59)+1,99),"")))=SIGN((AW59)-(AX59)))+2*(((IFERROR(--LEFT(S59,FIND("-",S59)-1),""))-(IFERROR(--MID(S59,FIND("-",S59)+1,99),"")))=((AW59)-(AX59)))+2*((IFERROR(--LEFT(S59,FIND("-",S59)-1),""))=(AW59))+2*((IFERROR(--MID(S59,FIND("-",S59)+1,99),""))=(AX59))),""))</f>
        <v>0</v>
      </c>
      <c r="U59" s="10" t="s">
        <v>36</v>
      </c>
      <c r="V59" s="11">
        <f>IF(OR($C59="",U59=""),"",IFERROR(IF(AND(IFERROR(--LEFT(U59,FIND("-",U59)-1),"")=AW59,IFERROR(--MID(U59,FIND("-",U59)+1,99),"")=AX59),10,5*(SIGN((IFERROR(--LEFT(U59,FIND("-",U59)-1),""))-(IFERROR(--MID(U59,FIND("-",U59)+1,99),"")))=SIGN((AW59)-(AX59)))+2*(((IFERROR(--LEFT(U59,FIND("-",U59)-1),""))-(IFERROR(--MID(U59,FIND("-",U59)+1,99),"")))=((AW59)-(AX59)))+2*((IFERROR(--LEFT(U59,FIND("-",U59)-1),""))=(AW59))+2*((IFERROR(--MID(U59,FIND("-",U59)+1,99),""))=(AX59))),""))</f>
        <v>2</v>
      </c>
      <c r="W59" s="10" t="s">
        <v>36</v>
      </c>
      <c r="X59" s="11">
        <f>IF(OR($C59="",W59=""),"",IFERROR(IF(AND(IFERROR(--LEFT(W59,FIND("-",W59)-1),"")=AW59,IFERROR(--MID(W59,FIND("-",W59)+1,99),"")=AX59),10,5*(SIGN((IFERROR(--LEFT(W59,FIND("-",W59)-1),""))-(IFERROR(--MID(W59,FIND("-",W59)+1,99),"")))=SIGN((AW59)-(AX59)))+2*(((IFERROR(--LEFT(W59,FIND("-",W59)-1),""))-(IFERROR(--MID(W59,FIND("-",W59)+1,99),"")))=((AW59)-(AX59)))+2*((IFERROR(--LEFT(W59,FIND("-",W59)-1),""))=(AW59))+2*((IFERROR(--MID(W59,FIND("-",W59)+1,99),""))=(AX59))),""))</f>
        <v>2</v>
      </c>
      <c r="Y59" s="10" t="s">
        <v>36</v>
      </c>
      <c r="Z59" s="11">
        <f>IF(OR($C59="",Y59=""),"",IFERROR(IF(AND(IFERROR(--LEFT(Y59,FIND("-",Y59)-1),"")=AW59,IFERROR(--MID(Y59,FIND("-",Y59)+1,99),"")=AX59),10,5*(SIGN((IFERROR(--LEFT(Y59,FIND("-",Y59)-1),""))-(IFERROR(--MID(Y59,FIND("-",Y59)+1,99),"")))=SIGN((AW59)-(AX59)))+2*(((IFERROR(--LEFT(Y59,FIND("-",Y59)-1),""))-(IFERROR(--MID(Y59,FIND("-",Y59)+1,99),"")))=((AW59)-(AX59)))+2*((IFERROR(--LEFT(Y59,FIND("-",Y59)-1),""))=(AW59))+2*((IFERROR(--MID(Y59,FIND("-",Y59)+1,99),""))=(AX59))),""))</f>
        <v>2</v>
      </c>
      <c r="AA59" s="10" t="s">
        <v>34</v>
      </c>
      <c r="AB59" s="11">
        <f>IF(OR($C59="",AA59=""),"",IFERROR(IF(AND(IFERROR(--LEFT(AA59,FIND("-",AA59)-1),"")=AW59,IFERROR(--MID(AA59,FIND("-",AA59)+1,99),"")=AX59),10,5*(SIGN((IFERROR(--LEFT(AA59,FIND("-",AA59)-1),""))-(IFERROR(--MID(AA59,FIND("-",AA59)+1,99),"")))=SIGN((AW59)-(AX59)))+2*(((IFERROR(--LEFT(AA59,FIND("-",AA59)-1),""))-(IFERROR(--MID(AA59,FIND("-",AA59)+1,99),"")))=((AW59)-(AX59)))+2*((IFERROR(--LEFT(AA59,FIND("-",AA59)-1),""))=(AW59))+2*((IFERROR(--MID(AA59,FIND("-",AA59)+1,99),""))=(AX59))),""))</f>
        <v>0</v>
      </c>
      <c r="AC59" s="10" t="s">
        <v>36</v>
      </c>
      <c r="AD59" s="11">
        <f>IF(OR($C59="",AC59=""),"",IFERROR(IF(AND(IFERROR(--LEFT(AC59,FIND("-",AC59)-1),"")=AW59,IFERROR(--MID(AC59,FIND("-",AC59)+1,99),"")=AX59),10,5*(SIGN((IFERROR(--LEFT(AC59,FIND("-",AC59)-1),""))-(IFERROR(--MID(AC59,FIND("-",AC59)+1,99),"")))=SIGN((AW59)-(AX59)))+2*(((IFERROR(--LEFT(AC59,FIND("-",AC59)-1),""))-(IFERROR(--MID(AC59,FIND("-",AC59)+1,99),"")))=((AW59)-(AX59)))+2*((IFERROR(--LEFT(AC59,FIND("-",AC59)-1),""))=(AW59))+2*((IFERROR(--MID(AC59,FIND("-",AC59)+1,99),""))=(AX59))),""))</f>
        <v>2</v>
      </c>
      <c r="AE59" s="10" t="s">
        <v>38</v>
      </c>
      <c r="AF59" s="11">
        <f>IF(OR($C59="",AE59=""),"",IFERROR(IF(AND(IFERROR(--LEFT(AE59,FIND("-",AE59)-1),"")=AW59,IFERROR(--MID(AE59,FIND("-",AE59)+1,99),"")=AX59),10,5*(SIGN((IFERROR(--LEFT(AE59,FIND("-",AE59)-1),""))-(IFERROR(--MID(AE59,FIND("-",AE59)+1,99),"")))=SIGN((AW59)-(AX59)))+2*(((IFERROR(--LEFT(AE59,FIND("-",AE59)-1),""))-(IFERROR(--MID(AE59,FIND("-",AE59)+1,99),"")))=((AW59)-(AX59)))+2*((IFERROR(--LEFT(AE59,FIND("-",AE59)-1),""))=(AW59))+2*((IFERROR(--MID(AE59,FIND("-",AE59)+1,99),""))=(AX59))),""))</f>
        <v>2</v>
      </c>
      <c r="AG59" s="10" t="s">
        <v>36</v>
      </c>
      <c r="AH59" s="11">
        <f>IF(OR($C59="",AG59=""),"",IFERROR(IF(AND(IFERROR(--LEFT(AG59,FIND("-",AG59)-1),"")=AW59,IFERROR(--MID(AG59,FIND("-",AG59)+1,99),"")=AX59),10,5*(SIGN((IFERROR(--LEFT(AG59,FIND("-",AG59)-1),""))-(IFERROR(--MID(AG59,FIND("-",AG59)+1,99),"")))=SIGN((AW59)-(AX59)))+2*(((IFERROR(--LEFT(AG59,FIND("-",AG59)-1),""))-(IFERROR(--MID(AG59,FIND("-",AG59)+1,99),"")))=((AW59)-(AX59)))+2*((IFERROR(--LEFT(AG59,FIND("-",AG59)-1),""))=(AW59))+2*((IFERROR(--MID(AG59,FIND("-",AG59)+1,99),""))=(AX59))),""))</f>
        <v>2</v>
      </c>
      <c r="AI59" s="10" t="s">
        <v>39</v>
      </c>
      <c r="AJ59" s="11">
        <f>IF(OR($C59="",AI59=""),"",IFERROR(IF(AND(IFERROR(--LEFT(AI59,FIND("-",AI59)-1),"")=AW59,IFERROR(--MID(AI59,FIND("-",AI59)+1,99),"")=AX59),10,5*(SIGN((IFERROR(--LEFT(AI59,FIND("-",AI59)-1),""))-(IFERROR(--MID(AI59,FIND("-",AI59)+1,99),"")))=SIGN((AW59)-(AX59)))+2*(((IFERROR(--LEFT(AI59,FIND("-",AI59)-1),""))-(IFERROR(--MID(AI59,FIND("-",AI59)+1,99),"")))=((AW59)-(AX59)))+2*((IFERROR(--LEFT(AI59,FIND("-",AI59)-1),""))=(AW59))+2*((IFERROR(--MID(AI59,FIND("-",AI59)+1,99),""))=(AX59))),""))</f>
        <v>2</v>
      </c>
      <c r="AK59" s="10" t="s">
        <v>36</v>
      </c>
      <c r="AL59" s="11">
        <f>IF(OR($C59="",AK59=""),"",IFERROR(IF(AND(IFERROR(--LEFT(AK59,FIND("-",AK59)-1),"")=AW59,IFERROR(--MID(AK59,FIND("-",AK59)+1,99),"")=AX59),10,5*(SIGN((IFERROR(--LEFT(AK59,FIND("-",AK59)-1),""))-(IFERROR(--MID(AK59,FIND("-",AK59)+1,99),"")))=SIGN((AW59)-(AX59)))+2*(((IFERROR(--LEFT(AK59,FIND("-",AK59)-1),""))-(IFERROR(--MID(AK59,FIND("-",AK59)+1,99),"")))=((AW59)-(AX59)))+2*((IFERROR(--LEFT(AK59,FIND("-",AK59)-1),""))=(AW59))+2*((IFERROR(--MID(AK59,FIND("-",AK59)+1,99),""))=(AX59))),""))</f>
        <v>2</v>
      </c>
      <c r="AM59" s="10" t="s">
        <v>36</v>
      </c>
      <c r="AN59" s="11">
        <f>IF(OR($C59="",AM59=""),"",IFERROR(IF(AND(IFERROR(--LEFT(AM59,FIND("-",AM59)-1),"")=AW59,IFERROR(--MID(AM59,FIND("-",AM59)+1,99),"")=AX59),10,5*(SIGN((IFERROR(--LEFT(AM59,FIND("-",AM59)-1),""))-(IFERROR(--MID(AM59,FIND("-",AM59)+1,99),"")))=SIGN((AW59)-(AX59)))+2*(((IFERROR(--LEFT(AM59,FIND("-",AM59)-1),""))-(IFERROR(--MID(AM59,FIND("-",AM59)+1,99),"")))=((AW59)-(AX59)))+2*((IFERROR(--LEFT(AM59,FIND("-",AM59)-1),""))=(AW59))+2*((IFERROR(--MID(AM59,FIND("-",AM59)+1,99),""))=(AX59))),""))</f>
        <v>2</v>
      </c>
      <c r="AO59" s="10" t="s">
        <v>35</v>
      </c>
      <c r="AP59" s="11">
        <f>IF(OR($C59="",AO59=""),"",IFERROR(IF(AND(IFERROR(--LEFT(AO59,FIND("-",AO59)-1),"")=AW59,IFERROR(--MID(AO59,FIND("-",AO59)+1,99),"")=AX59),10,5*(SIGN((IFERROR(--LEFT(AO59,FIND("-",AO59)-1),""))-(IFERROR(--MID(AO59,FIND("-",AO59)+1,99),"")))=SIGN((AW59)-(AX59)))+2*(((IFERROR(--LEFT(AO59,FIND("-",AO59)-1),""))-(IFERROR(--MID(AO59,FIND("-",AO59)+1,99),"")))=((AW59)-(AX59)))+2*((IFERROR(--LEFT(AO59,FIND("-",AO59)-1),""))=(AW59))+2*((IFERROR(--MID(AO59,FIND("-",AO59)+1,99),""))=(AX59))),""))</f>
        <v>7</v>
      </c>
      <c r="AQ59" s="10" t="s">
        <v>37</v>
      </c>
      <c r="AR59" s="11">
        <f>IF(OR($C59="",AQ59=""),"",IFERROR(IF(AND(IFERROR(--LEFT(AQ59,FIND("-",AQ59)-1),"")=AW59,IFERROR(--MID(AQ59,FIND("-",AQ59)+1,99),"")=AX59),10,5*(SIGN((IFERROR(--LEFT(AQ59,FIND("-",AQ59)-1),""))-(IFERROR(--MID(AQ59,FIND("-",AQ59)+1,99),"")))=SIGN((AW59)-(AX59)))+2*(((IFERROR(--LEFT(AQ59,FIND("-",AQ59)-1),""))-(IFERROR(--MID(AQ59,FIND("-",AQ59)+1,99),"")))=((AW59)-(AX59)))+2*((IFERROR(--LEFT(AQ59,FIND("-",AQ59)-1),""))=(AW59))+2*((IFERROR(--MID(AQ59,FIND("-",AQ59)+1,99),""))=(AX59))),""))</f>
        <v>0</v>
      </c>
      <c r="AS59" s="10" t="s">
        <v>34</v>
      </c>
      <c r="AT59" s="11">
        <f>IF(OR($C59="",AS59=""),"",IFERROR(IF(AND(IFERROR(--LEFT(AS59,FIND("-",AS59)-1),"")=AW59,IFERROR(--MID(AS59,FIND("-",AS59)+1,99),"")=AX59),10,5*(SIGN((IFERROR(--LEFT(AS59,FIND("-",AS59)-1),""))-(IFERROR(--MID(AS59,FIND("-",AS59)+1,99),"")))=SIGN((AW59)-(AX59)))+2*(((IFERROR(--LEFT(AS59,FIND("-",AS59)-1),""))-(IFERROR(--MID(AS59,FIND("-",AS59)+1,99),"")))=((AW59)-(AX59)))+2*((IFERROR(--LEFT(AS59,FIND("-",AS59)-1),""))=(AW59))+2*((IFERROR(--MID(AS59,FIND("-",AS59)+1,99),""))=(AX59))),""))</f>
        <v>0</v>
      </c>
      <c r="AU59" s="10" t="s">
        <v>45</v>
      </c>
      <c r="AV59" s="11">
        <f>IF(OR($C59="",AU59=""),"",IFERROR(IF(AND(IFERROR(--LEFT(AU59,FIND("-",AU59)-1),"")=AW59,IFERROR(--MID(AU59,FIND("-",AU59)+1,99),"")=AX59),10,5*(SIGN((IFERROR(--LEFT(AU59,FIND("-",AU59)-1),""))-(IFERROR(--MID(AU59,FIND("-",AU59)+1,99),"")))=SIGN((AW59)-(AX59)))+2*(((IFERROR(--LEFT(AU59,FIND("-",AU59)-1),""))-(IFERROR(--MID(AU59,FIND("-",AU59)+1,99),"")))=((AW59)-(AX59)))+2*((IFERROR(--LEFT(AU59,FIND("-",AU59)-1),""))=(AW59))+2*((IFERROR(--MID(AU59,FIND("-",AU59)+1,99),""))=(AX59))),""))</f>
        <v>2</v>
      </c>
      <c r="AW59" s="11">
        <f>IF($C59="","",IFERROR(--LEFT($C59,FIND("-",$C59)-1),""))</f>
        <v>0</v>
      </c>
      <c r="AX59" s="11">
        <f>IF($C59="","",IFERROR(--MID($C59,FIND("-",$C59)+1,99),""))</f>
        <v>0</v>
      </c>
    </row>
    <row r="60" spans="1:50" ht="18" customHeight="1" x14ac:dyDescent="0.3">
      <c r="A60" s="9">
        <v>1.25</v>
      </c>
      <c r="B60" s="18" t="s">
        <v>79</v>
      </c>
      <c r="C60" s="10" t="s">
        <v>66</v>
      </c>
      <c r="D60" s="1" t="s">
        <v>74</v>
      </c>
      <c r="E60" s="10" t="s">
        <v>48</v>
      </c>
      <c r="F60" s="11">
        <f>IF(OR($C60="",E60=""),"",IFERROR(IF(AND(IFERROR(--LEFT(E60,FIND("-",E60)-1),"")=AW60,IFERROR(--MID(E60,FIND("-",E60)+1,99),"")=AX60),10,5*(SIGN((IFERROR(--LEFT(E60,FIND("-",E60)-1),""))-(IFERROR(--MID(E60,FIND("-",E60)+1,99),"")))=SIGN((AW60)-(AX60)))+2*(((IFERROR(--LEFT(E60,FIND("-",E60)-1),""))-(IFERROR(--MID(E60,FIND("-",E60)+1,99),"")))=((AW60)-(AX60)))+2*((IFERROR(--LEFT(E60,FIND("-",E60)-1),""))=(AW60))+2*((IFERROR(--MID(E60,FIND("-",E60)+1,99),""))=(AX60))),""))</f>
        <v>7</v>
      </c>
      <c r="G60" s="10" t="s">
        <v>57</v>
      </c>
      <c r="H60" s="11">
        <f>IF(OR($C60="",G60=""),"",IFERROR(IF(AND(IFERROR(--LEFT(G60,FIND("-",G60)-1),"")=AW60,IFERROR(--MID(G60,FIND("-",G60)+1,99),"")=AX60),10,5*(SIGN((IFERROR(--LEFT(G60,FIND("-",G60)-1),""))-(IFERROR(--MID(G60,FIND("-",G60)+1,99),"")))=SIGN((AW60)-(AX60)))+2*(((IFERROR(--LEFT(G60,FIND("-",G60)-1),""))-(IFERROR(--MID(G60,FIND("-",G60)+1,99),"")))=((AW60)-(AX60)))+2*((IFERROR(--LEFT(G60,FIND("-",G60)-1),""))=(AW60))+2*((IFERROR(--MID(G60,FIND("-",G60)+1,99),""))=(AX60))),""))</f>
        <v>5</v>
      </c>
      <c r="I60" s="10" t="s">
        <v>45</v>
      </c>
      <c r="J60" s="11">
        <f>IF(OR($C60="",I60=""),"",IFERROR(IF(AND(IFERROR(--LEFT(I60,FIND("-",I60)-1),"")=AW60,IFERROR(--MID(I60,FIND("-",I60)+1,99),"")=AX60),10,5*(SIGN((IFERROR(--LEFT(I60,FIND("-",I60)-1),""))-(IFERROR(--MID(I60,FIND("-",I60)+1,99),"")))=SIGN((AW60)-(AX60)))+2*(((IFERROR(--LEFT(I60,FIND("-",I60)-1),""))-(IFERROR(--MID(I60,FIND("-",I60)+1,99),"")))=((AW60)-(AX60)))+2*((IFERROR(--LEFT(I60,FIND("-",I60)-1),""))=(AW60))+2*((IFERROR(--MID(I60,FIND("-",I60)+1,99),""))=(AX60))),""))</f>
        <v>7</v>
      </c>
      <c r="K60" s="10" t="s">
        <v>33</v>
      </c>
      <c r="L60" s="11">
        <f>IF(OR($C60="",K60=""),"",IFERROR(IF(AND(IFERROR(--LEFT(K60,FIND("-",K60)-1),"")=AW60,IFERROR(--MID(K60,FIND("-",K60)+1,99),"")=AX60),10,5*(SIGN((IFERROR(--LEFT(K60,FIND("-",K60)-1),""))-(IFERROR(--MID(K60,FIND("-",K60)+1,99),"")))=SIGN((AW60)-(AX60)))+2*(((IFERROR(--LEFT(K60,FIND("-",K60)-1),""))-(IFERROR(--MID(K60,FIND("-",K60)+1,99),"")))=((AW60)-(AX60)))+2*((IFERROR(--LEFT(K60,FIND("-",K60)-1),""))=(AW60))+2*((IFERROR(--MID(K60,FIND("-",K60)+1,99),""))=(AX60))),""))</f>
        <v>0</v>
      </c>
      <c r="M60" s="10" t="s">
        <v>48</v>
      </c>
      <c r="N60" s="11">
        <f>IF(OR($C60="",M60=""),"",IFERROR(IF(AND(IFERROR(--LEFT(M60,FIND("-",M60)-1),"")=AW60,IFERROR(--MID(M60,FIND("-",M60)+1,99),"")=AX60),10,5*(SIGN((IFERROR(--LEFT(M60,FIND("-",M60)-1),""))-(IFERROR(--MID(M60,FIND("-",M60)+1,99),"")))=SIGN((AW60)-(AX60)))+2*(((IFERROR(--LEFT(M60,FIND("-",M60)-1),""))-(IFERROR(--MID(M60,FIND("-",M60)+1,99),"")))=((AW60)-(AX60)))+2*((IFERROR(--LEFT(M60,FIND("-",M60)-1),""))=(AW60))+2*((IFERROR(--MID(M60,FIND("-",M60)+1,99),""))=(AX60))),""))</f>
        <v>7</v>
      </c>
      <c r="O60" s="10" t="s">
        <v>35</v>
      </c>
      <c r="P60" s="11">
        <f>IF(OR($C60="",O60=""),"",IFERROR(IF(AND(IFERROR(--LEFT(O60,FIND("-",O60)-1),"")=AW60,IFERROR(--MID(O60,FIND("-",O60)+1,99),"")=AX60),10,5*(SIGN((IFERROR(--LEFT(O60,FIND("-",O60)-1),""))-(IFERROR(--MID(O60,FIND("-",O60)+1,99),"")))=SIGN((AW60)-(AX60)))+2*(((IFERROR(--LEFT(O60,FIND("-",O60)-1),""))-(IFERROR(--MID(O60,FIND("-",O60)+1,99),"")))=((AW60)-(AX60)))+2*((IFERROR(--LEFT(O60,FIND("-",O60)-1),""))=(AW60))+2*((IFERROR(--MID(O60,FIND("-",O60)+1,99),""))=(AX60))),""))</f>
        <v>0</v>
      </c>
      <c r="Q60" s="10" t="s">
        <v>57</v>
      </c>
      <c r="R60" s="11">
        <f>IF(OR($C60="",Q60=""),"",IFERROR(IF(AND(IFERROR(--LEFT(Q60,FIND("-",Q60)-1),"")=AW60,IFERROR(--MID(Q60,FIND("-",Q60)+1,99),"")=AX60),10,5*(SIGN((IFERROR(--LEFT(Q60,FIND("-",Q60)-1),""))-(IFERROR(--MID(Q60,FIND("-",Q60)+1,99),"")))=SIGN((AW60)-(AX60)))+2*(((IFERROR(--LEFT(Q60,FIND("-",Q60)-1),""))-(IFERROR(--MID(Q60,FIND("-",Q60)+1,99),"")))=((AW60)-(AX60)))+2*((IFERROR(--LEFT(Q60,FIND("-",Q60)-1),""))=(AW60))+2*((IFERROR(--MID(Q60,FIND("-",Q60)+1,99),""))=(AX60))),""))</f>
        <v>5</v>
      </c>
      <c r="S60" s="10" t="s">
        <v>49</v>
      </c>
      <c r="T60" s="11">
        <f>IF(OR($C60="",S60=""),"",IFERROR(IF(AND(IFERROR(--LEFT(S60,FIND("-",S60)-1),"")=AW60,IFERROR(--MID(S60,FIND("-",S60)+1,99),"")=AX60),10,5*(SIGN((IFERROR(--LEFT(S60,FIND("-",S60)-1),""))-(IFERROR(--MID(S60,FIND("-",S60)+1,99),"")))=SIGN((AW60)-(AX60)))+2*(((IFERROR(--LEFT(S60,FIND("-",S60)-1),""))-(IFERROR(--MID(S60,FIND("-",S60)+1,99),"")))=((AW60)-(AX60)))+2*((IFERROR(--LEFT(S60,FIND("-",S60)-1),""))=(AW60))+2*((IFERROR(--MID(S60,FIND("-",S60)+1,99),""))=(AX60))),""))</f>
        <v>0</v>
      </c>
      <c r="U60" s="10" t="s">
        <v>48</v>
      </c>
      <c r="V60" s="11">
        <f>IF(OR($C60="",U60=""),"",IFERROR(IF(AND(IFERROR(--LEFT(U60,FIND("-",U60)-1),"")=AW60,IFERROR(--MID(U60,FIND("-",U60)+1,99),"")=AX60),10,5*(SIGN((IFERROR(--LEFT(U60,FIND("-",U60)-1),""))-(IFERROR(--MID(U60,FIND("-",U60)+1,99),"")))=SIGN((AW60)-(AX60)))+2*(((IFERROR(--LEFT(U60,FIND("-",U60)-1),""))-(IFERROR(--MID(U60,FIND("-",U60)+1,99),"")))=((AW60)-(AX60)))+2*((IFERROR(--LEFT(U60,FIND("-",U60)-1),""))=(AW60))+2*((IFERROR(--MID(U60,FIND("-",U60)+1,99),""))=(AX60))),""))</f>
        <v>7</v>
      </c>
      <c r="W60" s="10" t="s">
        <v>45</v>
      </c>
      <c r="X60" s="11">
        <f>IF(OR($C60="",W60=""),"",IFERROR(IF(AND(IFERROR(--LEFT(W60,FIND("-",W60)-1),"")=AW60,IFERROR(--MID(W60,FIND("-",W60)+1,99),"")=AX60),10,5*(SIGN((IFERROR(--LEFT(W60,FIND("-",W60)-1),""))-(IFERROR(--MID(W60,FIND("-",W60)+1,99),"")))=SIGN((AW60)-(AX60)))+2*(((IFERROR(--LEFT(W60,FIND("-",W60)-1),""))-(IFERROR(--MID(W60,FIND("-",W60)+1,99),"")))=((AW60)-(AX60)))+2*((IFERROR(--LEFT(W60,FIND("-",W60)-1),""))=(AW60))+2*((IFERROR(--MID(W60,FIND("-",W60)+1,99),""))=(AX60))),""))</f>
        <v>7</v>
      </c>
      <c r="Y60" s="10" t="s">
        <v>48</v>
      </c>
      <c r="Z60" s="11">
        <f>IF(OR($C60="",Y60=""),"",IFERROR(IF(AND(IFERROR(--LEFT(Y60,FIND("-",Y60)-1),"")=AW60,IFERROR(--MID(Y60,FIND("-",Y60)+1,99),"")=AX60),10,5*(SIGN((IFERROR(--LEFT(Y60,FIND("-",Y60)-1),""))-(IFERROR(--MID(Y60,FIND("-",Y60)+1,99),"")))=SIGN((AW60)-(AX60)))+2*(((IFERROR(--LEFT(Y60,FIND("-",Y60)-1),""))-(IFERROR(--MID(Y60,FIND("-",Y60)+1,99),"")))=((AW60)-(AX60)))+2*((IFERROR(--LEFT(Y60,FIND("-",Y60)-1),""))=(AW60))+2*((IFERROR(--MID(Y60,FIND("-",Y60)+1,99),""))=(AX60))),""))</f>
        <v>7</v>
      </c>
      <c r="AA60" s="10" t="s">
        <v>115</v>
      </c>
      <c r="AB60" s="11">
        <f>IF(OR($C60="",AA60=""),"",IFERROR(IF(AND(IFERROR(--LEFT(AA60,FIND("-",AA60)-1),"")=AW60,IFERROR(--MID(AA60,FIND("-",AA60)+1,99),"")=AX60),10,5*(SIGN((IFERROR(--LEFT(AA60,FIND("-",AA60)-1),""))-(IFERROR(--MID(AA60,FIND("-",AA60)+1,99),"")))=SIGN((AW60)-(AX60)))+2*(((IFERROR(--LEFT(AA60,FIND("-",AA60)-1),""))-(IFERROR(--MID(AA60,FIND("-",AA60)+1,99),"")))=((AW60)-(AX60)))+2*((IFERROR(--LEFT(AA60,FIND("-",AA60)-1),""))=(AW60))+2*((IFERROR(--MID(AA60,FIND("-",AA60)+1,99),""))=(AX60))),""))</f>
        <v>7</v>
      </c>
      <c r="AC60" s="10" t="s">
        <v>57</v>
      </c>
      <c r="AD60" s="11">
        <f>IF(OR($C60="",AC60=""),"",IFERROR(IF(AND(IFERROR(--LEFT(AC60,FIND("-",AC60)-1),"")=AW60,IFERROR(--MID(AC60,FIND("-",AC60)+1,99),"")=AX60),10,5*(SIGN((IFERROR(--LEFT(AC60,FIND("-",AC60)-1),""))-(IFERROR(--MID(AC60,FIND("-",AC60)+1,99),"")))=SIGN((AW60)-(AX60)))+2*(((IFERROR(--LEFT(AC60,FIND("-",AC60)-1),""))-(IFERROR(--MID(AC60,FIND("-",AC60)+1,99),"")))=((AW60)-(AX60)))+2*((IFERROR(--LEFT(AC60,FIND("-",AC60)-1),""))=(AW60))+2*((IFERROR(--MID(AC60,FIND("-",AC60)+1,99),""))=(AX60))),""))</f>
        <v>5</v>
      </c>
      <c r="AE60" s="10" t="s">
        <v>45</v>
      </c>
      <c r="AF60" s="11">
        <f>IF(OR($C60="",AE60=""),"",IFERROR(IF(AND(IFERROR(--LEFT(AE60,FIND("-",AE60)-1),"")=AW60,IFERROR(--MID(AE60,FIND("-",AE60)+1,99),"")=AX60),10,5*(SIGN((IFERROR(--LEFT(AE60,FIND("-",AE60)-1),""))-(IFERROR(--MID(AE60,FIND("-",AE60)+1,99),"")))=SIGN((AW60)-(AX60)))+2*(((IFERROR(--LEFT(AE60,FIND("-",AE60)-1),""))-(IFERROR(--MID(AE60,FIND("-",AE60)+1,99),"")))=((AW60)-(AX60)))+2*((IFERROR(--LEFT(AE60,FIND("-",AE60)-1),""))=(AW60))+2*((IFERROR(--MID(AE60,FIND("-",AE60)+1,99),""))=(AX60))),""))</f>
        <v>7</v>
      </c>
      <c r="AG60" s="10" t="s">
        <v>37</v>
      </c>
      <c r="AH60" s="11">
        <f>IF(OR($C60="",AG60=""),"",IFERROR(IF(AND(IFERROR(--LEFT(AG60,FIND("-",AG60)-1),"")=AW60,IFERROR(--MID(AG60,FIND("-",AG60)+1,99),"")=AX60),10,5*(SIGN((IFERROR(--LEFT(AG60,FIND("-",AG60)-1),""))-(IFERROR(--MID(AG60,FIND("-",AG60)+1,99),"")))=SIGN((AW60)-(AX60)))+2*(((IFERROR(--LEFT(AG60,FIND("-",AG60)-1),""))-(IFERROR(--MID(AG60,FIND("-",AG60)+1,99),"")))=((AW60)-(AX60)))+2*((IFERROR(--LEFT(AG60,FIND("-",AG60)-1),""))=(AW60))+2*((IFERROR(--MID(AG60,FIND("-",AG60)+1,99),""))=(AX60))),""))</f>
        <v>5</v>
      </c>
      <c r="AI60" s="10" t="s">
        <v>45</v>
      </c>
      <c r="AJ60" s="11">
        <f>IF(OR($C60="",AI60=""),"",IFERROR(IF(AND(IFERROR(--LEFT(AI60,FIND("-",AI60)-1),"")=AW60,IFERROR(--MID(AI60,FIND("-",AI60)+1,99),"")=AX60),10,5*(SIGN((IFERROR(--LEFT(AI60,FIND("-",AI60)-1),""))-(IFERROR(--MID(AI60,FIND("-",AI60)+1,99),"")))=SIGN((AW60)-(AX60)))+2*(((IFERROR(--LEFT(AI60,FIND("-",AI60)-1),""))-(IFERROR(--MID(AI60,FIND("-",AI60)+1,99),"")))=((AW60)-(AX60)))+2*((IFERROR(--LEFT(AI60,FIND("-",AI60)-1),""))=(AW60))+2*((IFERROR(--MID(AI60,FIND("-",AI60)+1,99),""))=(AX60))),""))</f>
        <v>7</v>
      </c>
      <c r="AK60" s="10" t="s">
        <v>33</v>
      </c>
      <c r="AL60" s="11">
        <f>IF(OR($C60="",AK60=""),"",IFERROR(IF(AND(IFERROR(--LEFT(AK60,FIND("-",AK60)-1),"")=AW60,IFERROR(--MID(AK60,FIND("-",AK60)+1,99),"")=AX60),10,5*(SIGN((IFERROR(--LEFT(AK60,FIND("-",AK60)-1),""))-(IFERROR(--MID(AK60,FIND("-",AK60)+1,99),"")))=SIGN((AW60)-(AX60)))+2*(((IFERROR(--LEFT(AK60,FIND("-",AK60)-1),""))-(IFERROR(--MID(AK60,FIND("-",AK60)+1,99),"")))=((AW60)-(AX60)))+2*((IFERROR(--LEFT(AK60,FIND("-",AK60)-1),""))=(AW60))+2*((IFERROR(--MID(AK60,FIND("-",AK60)+1,99),""))=(AX60))),""))</f>
        <v>0</v>
      </c>
      <c r="AM60" s="10" t="s">
        <v>45</v>
      </c>
      <c r="AN60" s="11">
        <f>IF(OR($C60="",AM60=""),"",IFERROR(IF(AND(IFERROR(--LEFT(AM60,FIND("-",AM60)-1),"")=AW60,IFERROR(--MID(AM60,FIND("-",AM60)+1,99),"")=AX60),10,5*(SIGN((IFERROR(--LEFT(AM60,FIND("-",AM60)-1),""))-(IFERROR(--MID(AM60,FIND("-",AM60)+1,99),"")))=SIGN((AW60)-(AX60)))+2*(((IFERROR(--LEFT(AM60,FIND("-",AM60)-1),""))-(IFERROR(--MID(AM60,FIND("-",AM60)+1,99),"")))=((AW60)-(AX60)))+2*((IFERROR(--LEFT(AM60,FIND("-",AM60)-1),""))=(AW60))+2*((IFERROR(--MID(AM60,FIND("-",AM60)+1,99),""))=(AX60))),""))</f>
        <v>7</v>
      </c>
      <c r="AO60" s="10" t="s">
        <v>48</v>
      </c>
      <c r="AP60" s="11">
        <f>IF(OR($C60="",AO60=""),"",IFERROR(IF(AND(IFERROR(--LEFT(AO60,FIND("-",AO60)-1),"")=AW60,IFERROR(--MID(AO60,FIND("-",AO60)+1,99),"")=AX60),10,5*(SIGN((IFERROR(--LEFT(AO60,FIND("-",AO60)-1),""))-(IFERROR(--MID(AO60,FIND("-",AO60)+1,99),"")))=SIGN((AW60)-(AX60)))+2*(((IFERROR(--LEFT(AO60,FIND("-",AO60)-1),""))-(IFERROR(--MID(AO60,FIND("-",AO60)+1,99),"")))=((AW60)-(AX60)))+2*((IFERROR(--LEFT(AO60,FIND("-",AO60)-1),""))=(AW60))+2*((IFERROR(--MID(AO60,FIND("-",AO60)+1,99),""))=(AX60))),""))</f>
        <v>7</v>
      </c>
      <c r="AQ60" s="10" t="s">
        <v>49</v>
      </c>
      <c r="AR60" s="11">
        <f>IF(OR($C60="",AQ60=""),"",IFERROR(IF(AND(IFERROR(--LEFT(AQ60,FIND("-",AQ60)-1),"")=AW60,IFERROR(--MID(AQ60,FIND("-",AQ60)+1,99),"")=AX60),10,5*(SIGN((IFERROR(--LEFT(AQ60,FIND("-",AQ60)-1),""))-(IFERROR(--MID(AQ60,FIND("-",AQ60)+1,99),"")))=SIGN((AW60)-(AX60)))+2*(((IFERROR(--LEFT(AQ60,FIND("-",AQ60)-1),""))-(IFERROR(--MID(AQ60,FIND("-",AQ60)+1,99),"")))=((AW60)-(AX60)))+2*((IFERROR(--LEFT(AQ60,FIND("-",AQ60)-1),""))=(AW60))+2*((IFERROR(--MID(AQ60,FIND("-",AQ60)+1,99),""))=(AX60))),""))</f>
        <v>0</v>
      </c>
      <c r="AS60" s="10" t="s">
        <v>37</v>
      </c>
      <c r="AT60" s="11">
        <f>IF(OR($C60="",AS60=""),"",IFERROR(IF(AND(IFERROR(--LEFT(AS60,FIND("-",AS60)-1),"")=AW60,IFERROR(--MID(AS60,FIND("-",AS60)+1,99),"")=AX60),10,5*(SIGN((IFERROR(--LEFT(AS60,FIND("-",AS60)-1),""))-(IFERROR(--MID(AS60,FIND("-",AS60)+1,99),"")))=SIGN((AW60)-(AX60)))+2*(((IFERROR(--LEFT(AS60,FIND("-",AS60)-1),""))-(IFERROR(--MID(AS60,FIND("-",AS60)+1,99),"")))=((AW60)-(AX60)))+2*((IFERROR(--LEFT(AS60,FIND("-",AS60)-1),""))=(AW60))+2*((IFERROR(--MID(AS60,FIND("-",AS60)+1,99),""))=(AX60))),""))</f>
        <v>5</v>
      </c>
      <c r="AU60" s="10" t="s">
        <v>45</v>
      </c>
      <c r="AV60" s="11">
        <f>IF(OR($C60="",AU60=""),"",IFERROR(IF(AND(IFERROR(--LEFT(AU60,FIND("-",AU60)-1),"")=AW60,IFERROR(--MID(AU60,FIND("-",AU60)+1,99),"")=AX60),10,5*(SIGN((IFERROR(--LEFT(AU60,FIND("-",AU60)-1),""))-(IFERROR(--MID(AU60,FIND("-",AU60)+1,99),"")))=SIGN((AW60)-(AX60)))+2*(((IFERROR(--LEFT(AU60,FIND("-",AU60)-1),""))-(IFERROR(--MID(AU60,FIND("-",AU60)+1,99),"")))=((AW60)-(AX60)))+2*((IFERROR(--LEFT(AU60,FIND("-",AU60)-1),""))=(AW60))+2*((IFERROR(--MID(AU60,FIND("-",AU60)+1,99),""))=(AX60))),""))</f>
        <v>7</v>
      </c>
      <c r="AW60" s="11">
        <f>IF($C60="","",IFERROR(--LEFT($C60,FIND("-",$C60)-1),""))</f>
        <v>0</v>
      </c>
      <c r="AX60" s="11">
        <f>IF($C60="","",IFERROR(--MID($C60,FIND("-",$C60)+1,99),""))</f>
        <v>4</v>
      </c>
    </row>
    <row r="61" spans="1:50" ht="18" customHeight="1" x14ac:dyDescent="0.3">
      <c r="A61" s="9">
        <v>1.75</v>
      </c>
      <c r="B61" s="18" t="s">
        <v>80</v>
      </c>
      <c r="C61" s="10" t="s">
        <v>63</v>
      </c>
      <c r="D61" s="1" t="s">
        <v>85</v>
      </c>
      <c r="E61" s="10" t="s">
        <v>34</v>
      </c>
      <c r="F61" s="11">
        <f>IF(OR($C61="",E61=""),"",IFERROR(IF(AND(IFERROR(--LEFT(E61,FIND("-",E61)-1),"")=AW61,IFERROR(--MID(E61,FIND("-",E61)+1,99),"")=AX61),10,5*(SIGN((IFERROR(--LEFT(E61,FIND("-",E61)-1),""))-(IFERROR(--MID(E61,FIND("-",E61)+1,99),"")))=SIGN((AW61)-(AX61)))+2*(((IFERROR(--LEFT(E61,FIND("-",E61)-1),""))-(IFERROR(--MID(E61,FIND("-",E61)+1,99),"")))=((AW61)-(AX61)))+2*((IFERROR(--LEFT(E61,FIND("-",E61)-1),""))=(AW61))+2*((IFERROR(--MID(E61,FIND("-",E61)+1,99),""))=(AX61))),""))</f>
        <v>5</v>
      </c>
      <c r="G61" s="10" t="s">
        <v>62</v>
      </c>
      <c r="H61" s="11">
        <f>IF(OR($C61="",G61=""),"",IFERROR(IF(AND(IFERROR(--LEFT(G61,FIND("-",G61)-1),"")=AW61,IFERROR(--MID(G61,FIND("-",G61)+1,99),"")=AX61),10,5*(SIGN((IFERROR(--LEFT(G61,FIND("-",G61)-1),""))-(IFERROR(--MID(G61,FIND("-",G61)+1,99),"")))=SIGN((AW61)-(AX61)))+2*(((IFERROR(--LEFT(G61,FIND("-",G61)-1),""))-(IFERROR(--MID(G61,FIND("-",G61)+1,99),"")))=((AW61)-(AX61)))+2*((IFERROR(--LEFT(G61,FIND("-",G61)-1),""))=(AW61))+2*((IFERROR(--MID(G61,FIND("-",G61)+1,99),""))=(AX61))),""))</f>
        <v>7</v>
      </c>
      <c r="I61" s="10" t="s">
        <v>36</v>
      </c>
      <c r="J61" s="11">
        <f>IF(OR($C61="",I61=""),"",IFERROR(IF(AND(IFERROR(--LEFT(I61,FIND("-",I61)-1),"")=AW61,IFERROR(--MID(I61,FIND("-",I61)+1,99),"")=AX61),10,5*(SIGN((IFERROR(--LEFT(I61,FIND("-",I61)-1),""))-(IFERROR(--MID(I61,FIND("-",I61)+1,99),"")))=SIGN((AW61)-(AX61)))+2*(((IFERROR(--LEFT(I61,FIND("-",I61)-1),""))-(IFERROR(--MID(I61,FIND("-",I61)+1,99),"")))=((AW61)-(AX61)))+2*((IFERROR(--LEFT(I61,FIND("-",I61)-1),""))=(AW61))+2*((IFERROR(--MID(I61,FIND("-",I61)+1,99),""))=(AX61))),""))</f>
        <v>7</v>
      </c>
      <c r="K61" s="10" t="s">
        <v>43</v>
      </c>
      <c r="L61" s="11">
        <f>IF(OR($C61="",K61=""),"",IFERROR(IF(AND(IFERROR(--LEFT(K61,FIND("-",K61)-1),"")=AW61,IFERROR(--MID(K61,FIND("-",K61)+1,99),"")=AX61),10,5*(SIGN((IFERROR(--LEFT(K61,FIND("-",K61)-1),""))-(IFERROR(--MID(K61,FIND("-",K61)+1,99),"")))=SIGN((AW61)-(AX61)))+2*(((IFERROR(--LEFT(K61,FIND("-",K61)-1),""))-(IFERROR(--MID(K61,FIND("-",K61)+1,99),"")))=((AW61)-(AX61)))+2*((IFERROR(--LEFT(K61,FIND("-",K61)-1),""))=(AW61))+2*((IFERROR(--MID(K61,FIND("-",K61)+1,99),""))=(AX61))),""))</f>
        <v>7</v>
      </c>
      <c r="M61" s="10" t="s">
        <v>34</v>
      </c>
      <c r="N61" s="11">
        <f>IF(OR($C61="",M61=""),"",IFERROR(IF(AND(IFERROR(--LEFT(M61,FIND("-",M61)-1),"")=AW61,IFERROR(--MID(M61,FIND("-",M61)+1,99),"")=AX61),10,5*(SIGN((IFERROR(--LEFT(M61,FIND("-",M61)-1),""))-(IFERROR(--MID(M61,FIND("-",M61)+1,99),"")))=SIGN((AW61)-(AX61)))+2*(((IFERROR(--LEFT(M61,FIND("-",M61)-1),""))-(IFERROR(--MID(M61,FIND("-",M61)+1,99),"")))=((AW61)-(AX61)))+2*((IFERROR(--LEFT(M61,FIND("-",M61)-1),""))=(AW61))+2*((IFERROR(--MID(M61,FIND("-",M61)+1,99),""))=(AX61))),""))</f>
        <v>5</v>
      </c>
      <c r="O61" s="10" t="s">
        <v>36</v>
      </c>
      <c r="P61" s="11">
        <f>IF(OR($C61="",O61=""),"",IFERROR(IF(AND(IFERROR(--LEFT(O61,FIND("-",O61)-1),"")=AW61,IFERROR(--MID(O61,FIND("-",O61)+1,99),"")=AX61),10,5*(SIGN((IFERROR(--LEFT(O61,FIND("-",O61)-1),""))-(IFERROR(--MID(O61,FIND("-",O61)+1,99),"")))=SIGN((AW61)-(AX61)))+2*(((IFERROR(--LEFT(O61,FIND("-",O61)-1),""))-(IFERROR(--MID(O61,FIND("-",O61)+1,99),"")))=((AW61)-(AX61)))+2*((IFERROR(--LEFT(O61,FIND("-",O61)-1),""))=(AW61))+2*((IFERROR(--MID(O61,FIND("-",O61)+1,99),""))=(AX61))),""))</f>
        <v>7</v>
      </c>
      <c r="Q61" s="10" t="s">
        <v>63</v>
      </c>
      <c r="R61" s="11">
        <f>IF(OR($C61="",Q61=""),"",IFERROR(IF(AND(IFERROR(--LEFT(Q61,FIND("-",Q61)-1),"")=AW61,IFERROR(--MID(Q61,FIND("-",Q61)+1,99),"")=AX61),10,5*(SIGN((IFERROR(--LEFT(Q61,FIND("-",Q61)-1),""))-(IFERROR(--MID(Q61,FIND("-",Q61)+1,99),"")))=SIGN((AW61)-(AX61)))+2*(((IFERROR(--LEFT(Q61,FIND("-",Q61)-1),""))-(IFERROR(--MID(Q61,FIND("-",Q61)+1,99),"")))=((AW61)-(AX61)))+2*((IFERROR(--LEFT(Q61,FIND("-",Q61)-1),""))=(AW61))+2*((IFERROR(--MID(Q61,FIND("-",Q61)+1,99),""))=(AX61))),""))</f>
        <v>10</v>
      </c>
      <c r="S61" s="10" t="s">
        <v>43</v>
      </c>
      <c r="T61" s="11">
        <f>IF(OR($C61="",S61=""),"",IFERROR(IF(AND(IFERROR(--LEFT(S61,FIND("-",S61)-1),"")=AW61,IFERROR(--MID(S61,FIND("-",S61)+1,99),"")=AX61),10,5*(SIGN((IFERROR(--LEFT(S61,FIND("-",S61)-1),""))-(IFERROR(--MID(S61,FIND("-",S61)+1,99),"")))=SIGN((AW61)-(AX61)))+2*(((IFERROR(--LEFT(S61,FIND("-",S61)-1),""))-(IFERROR(--MID(S61,FIND("-",S61)+1,99),"")))=((AW61)-(AX61)))+2*((IFERROR(--LEFT(S61,FIND("-",S61)-1),""))=(AW61))+2*((IFERROR(--MID(S61,FIND("-",S61)+1,99),""))=(AX61))),""))</f>
        <v>7</v>
      </c>
      <c r="U61" s="10" t="s">
        <v>38</v>
      </c>
      <c r="V61" s="11">
        <f>IF(OR($C61="",U61=""),"",IFERROR(IF(AND(IFERROR(--LEFT(U61,FIND("-",U61)-1),"")=AW61,IFERROR(--MID(U61,FIND("-",U61)+1,99),"")=AX61),10,5*(SIGN((IFERROR(--LEFT(U61,FIND("-",U61)-1),""))-(IFERROR(--MID(U61,FIND("-",U61)+1,99),"")))=SIGN((AW61)-(AX61)))+2*(((IFERROR(--LEFT(U61,FIND("-",U61)-1),""))-(IFERROR(--MID(U61,FIND("-",U61)+1,99),"")))=((AW61)-(AX61)))+2*((IFERROR(--LEFT(U61,FIND("-",U61)-1),""))=(AW61))+2*((IFERROR(--MID(U61,FIND("-",U61)+1,99),""))=(AX61))),""))</f>
        <v>7</v>
      </c>
      <c r="W61" s="10" t="s">
        <v>36</v>
      </c>
      <c r="X61" s="11">
        <f>IF(OR($C61="",W61=""),"",IFERROR(IF(AND(IFERROR(--LEFT(W61,FIND("-",W61)-1),"")=AW61,IFERROR(--MID(W61,FIND("-",W61)+1,99),"")=AX61),10,5*(SIGN((IFERROR(--LEFT(W61,FIND("-",W61)-1),""))-(IFERROR(--MID(W61,FIND("-",W61)+1,99),"")))=SIGN((AW61)-(AX61)))+2*(((IFERROR(--LEFT(W61,FIND("-",W61)-1),""))-(IFERROR(--MID(W61,FIND("-",W61)+1,99),"")))=((AW61)-(AX61)))+2*((IFERROR(--LEFT(W61,FIND("-",W61)-1),""))=(AW61))+2*((IFERROR(--MID(W61,FIND("-",W61)+1,99),""))=(AX61))),""))</f>
        <v>7</v>
      </c>
      <c r="Y61" s="10" t="s">
        <v>36</v>
      </c>
      <c r="Z61" s="11">
        <f>IF(OR($C61="",Y61=""),"",IFERROR(IF(AND(IFERROR(--LEFT(Y61,FIND("-",Y61)-1),"")=AW61,IFERROR(--MID(Y61,FIND("-",Y61)+1,99),"")=AX61),10,5*(SIGN((IFERROR(--LEFT(Y61,FIND("-",Y61)-1),""))-(IFERROR(--MID(Y61,FIND("-",Y61)+1,99),"")))=SIGN((AW61)-(AX61)))+2*(((IFERROR(--LEFT(Y61,FIND("-",Y61)-1),""))-(IFERROR(--MID(Y61,FIND("-",Y61)+1,99),"")))=((AW61)-(AX61)))+2*((IFERROR(--LEFT(Y61,FIND("-",Y61)-1),""))=(AW61))+2*((IFERROR(--MID(Y61,FIND("-",Y61)+1,99),""))=(AX61))),""))</f>
        <v>7</v>
      </c>
      <c r="AA61" s="10" t="s">
        <v>62</v>
      </c>
      <c r="AB61" s="11">
        <f>IF(OR($C61="",AA61=""),"",IFERROR(IF(AND(IFERROR(--LEFT(AA61,FIND("-",AA61)-1),"")=AW61,IFERROR(--MID(AA61,FIND("-",AA61)+1,99),"")=AX61),10,5*(SIGN((IFERROR(--LEFT(AA61,FIND("-",AA61)-1),""))-(IFERROR(--MID(AA61,FIND("-",AA61)+1,99),"")))=SIGN((AW61)-(AX61)))+2*(((IFERROR(--LEFT(AA61,FIND("-",AA61)-1),""))-(IFERROR(--MID(AA61,FIND("-",AA61)+1,99),"")))=((AW61)-(AX61)))+2*((IFERROR(--LEFT(AA61,FIND("-",AA61)-1),""))=(AW61))+2*((IFERROR(--MID(AA61,FIND("-",AA61)+1,99),""))=(AX61))),""))</f>
        <v>7</v>
      </c>
      <c r="AC61" s="10" t="s">
        <v>38</v>
      </c>
      <c r="AD61" s="11">
        <f>IF(OR($C61="",AC61=""),"",IFERROR(IF(AND(IFERROR(--LEFT(AC61,FIND("-",AC61)-1),"")=AW61,IFERROR(--MID(AC61,FIND("-",AC61)+1,99),"")=AX61),10,5*(SIGN((IFERROR(--LEFT(AC61,FIND("-",AC61)-1),""))-(IFERROR(--MID(AC61,FIND("-",AC61)+1,99),"")))=SIGN((AW61)-(AX61)))+2*(((IFERROR(--LEFT(AC61,FIND("-",AC61)-1),""))-(IFERROR(--MID(AC61,FIND("-",AC61)+1,99),"")))=((AW61)-(AX61)))+2*((IFERROR(--LEFT(AC61,FIND("-",AC61)-1),""))=(AW61))+2*((IFERROR(--MID(AC61,FIND("-",AC61)+1,99),""))=(AX61))),""))</f>
        <v>7</v>
      </c>
      <c r="AE61" s="10" t="s">
        <v>38</v>
      </c>
      <c r="AF61" s="11">
        <f>IF(OR($C61="",AE61=""),"",IFERROR(IF(AND(IFERROR(--LEFT(AE61,FIND("-",AE61)-1),"")=AW61,IFERROR(--MID(AE61,FIND("-",AE61)+1,99),"")=AX61),10,5*(SIGN((IFERROR(--LEFT(AE61,FIND("-",AE61)-1),""))-(IFERROR(--MID(AE61,FIND("-",AE61)+1,99),"")))=SIGN((AW61)-(AX61)))+2*(((IFERROR(--LEFT(AE61,FIND("-",AE61)-1),""))-(IFERROR(--MID(AE61,FIND("-",AE61)+1,99),"")))=((AW61)-(AX61)))+2*((IFERROR(--LEFT(AE61,FIND("-",AE61)-1),""))=(AW61))+2*((IFERROR(--MID(AE61,FIND("-",AE61)+1,99),""))=(AX61))),""))</f>
        <v>7</v>
      </c>
      <c r="AG61" s="10" t="s">
        <v>38</v>
      </c>
      <c r="AH61" s="11">
        <f>IF(OR($C61="",AG61=""),"",IFERROR(IF(AND(IFERROR(--LEFT(AG61,FIND("-",AG61)-1),"")=AW61,IFERROR(--MID(AG61,FIND("-",AG61)+1,99),"")=AX61),10,5*(SIGN((IFERROR(--LEFT(AG61,FIND("-",AG61)-1),""))-(IFERROR(--MID(AG61,FIND("-",AG61)+1,99),"")))=SIGN((AW61)-(AX61)))+2*(((IFERROR(--LEFT(AG61,FIND("-",AG61)-1),""))-(IFERROR(--MID(AG61,FIND("-",AG61)+1,99),"")))=((AW61)-(AX61)))+2*((IFERROR(--LEFT(AG61,FIND("-",AG61)-1),""))=(AW61))+2*((IFERROR(--MID(AG61,FIND("-",AG61)+1,99),""))=(AX61))),""))</f>
        <v>7</v>
      </c>
      <c r="AI61" s="10" t="s">
        <v>36</v>
      </c>
      <c r="AJ61" s="11">
        <f>IF(OR($C61="",AI61=""),"",IFERROR(IF(AND(IFERROR(--LEFT(AI61,FIND("-",AI61)-1),"")=AW61,IFERROR(--MID(AI61,FIND("-",AI61)+1,99),"")=AX61),10,5*(SIGN((IFERROR(--LEFT(AI61,FIND("-",AI61)-1),""))-(IFERROR(--MID(AI61,FIND("-",AI61)+1,99),"")))=SIGN((AW61)-(AX61)))+2*(((IFERROR(--LEFT(AI61,FIND("-",AI61)-1),""))-(IFERROR(--MID(AI61,FIND("-",AI61)+1,99),"")))=((AW61)-(AX61)))+2*((IFERROR(--LEFT(AI61,FIND("-",AI61)-1),""))=(AW61))+2*((IFERROR(--MID(AI61,FIND("-",AI61)+1,99),""))=(AX61))),""))</f>
        <v>7</v>
      </c>
      <c r="AK61" s="10" t="s">
        <v>36</v>
      </c>
      <c r="AL61" s="11">
        <f>IF(OR($C61="",AK61=""),"",IFERROR(IF(AND(IFERROR(--LEFT(AK61,FIND("-",AK61)-1),"")=AW61,IFERROR(--MID(AK61,FIND("-",AK61)+1,99),"")=AX61),10,5*(SIGN((IFERROR(--LEFT(AK61,FIND("-",AK61)-1),""))-(IFERROR(--MID(AK61,FIND("-",AK61)+1,99),"")))=SIGN((AW61)-(AX61)))+2*(((IFERROR(--LEFT(AK61,FIND("-",AK61)-1),""))-(IFERROR(--MID(AK61,FIND("-",AK61)+1,99),"")))=((AW61)-(AX61)))+2*((IFERROR(--LEFT(AK61,FIND("-",AK61)-1),""))=(AW61))+2*((IFERROR(--MID(AK61,FIND("-",AK61)+1,99),""))=(AX61))),""))</f>
        <v>7</v>
      </c>
      <c r="AM61" s="10" t="s">
        <v>63</v>
      </c>
      <c r="AN61" s="11">
        <f>IF(OR($C61="",AM61=""),"",IFERROR(IF(AND(IFERROR(--LEFT(AM61,FIND("-",AM61)-1),"")=AW61,IFERROR(--MID(AM61,FIND("-",AM61)+1,99),"")=AX61),10,5*(SIGN((IFERROR(--LEFT(AM61,FIND("-",AM61)-1),""))-(IFERROR(--MID(AM61,FIND("-",AM61)+1,99),"")))=SIGN((AW61)-(AX61)))+2*(((IFERROR(--LEFT(AM61,FIND("-",AM61)-1),""))-(IFERROR(--MID(AM61,FIND("-",AM61)+1,99),"")))=((AW61)-(AX61)))+2*((IFERROR(--LEFT(AM61,FIND("-",AM61)-1),""))=(AW61))+2*((IFERROR(--MID(AM61,FIND("-",AM61)+1,99),""))=(AX61))),""))</f>
        <v>10</v>
      </c>
      <c r="AO61" s="10" t="s">
        <v>63</v>
      </c>
      <c r="AP61" s="11">
        <f>IF(OR($C61="",AO61=""),"",IFERROR(IF(AND(IFERROR(--LEFT(AO61,FIND("-",AO61)-1),"")=AW61,IFERROR(--MID(AO61,FIND("-",AO61)+1,99),"")=AX61),10,5*(SIGN((IFERROR(--LEFT(AO61,FIND("-",AO61)-1),""))-(IFERROR(--MID(AO61,FIND("-",AO61)+1,99),"")))=SIGN((AW61)-(AX61)))+2*(((IFERROR(--LEFT(AO61,FIND("-",AO61)-1),""))-(IFERROR(--MID(AO61,FIND("-",AO61)+1,99),"")))=((AW61)-(AX61)))+2*((IFERROR(--LEFT(AO61,FIND("-",AO61)-1),""))=(AW61))+2*((IFERROR(--MID(AO61,FIND("-",AO61)+1,99),""))=(AX61))),""))</f>
        <v>10</v>
      </c>
      <c r="AQ61" s="10" t="s">
        <v>34</v>
      </c>
      <c r="AR61" s="11">
        <f>IF(OR($C61="",AQ61=""),"",IFERROR(IF(AND(IFERROR(--LEFT(AQ61,FIND("-",AQ61)-1),"")=AW61,IFERROR(--MID(AQ61,FIND("-",AQ61)+1,99),"")=AX61),10,5*(SIGN((IFERROR(--LEFT(AQ61,FIND("-",AQ61)-1),""))-(IFERROR(--MID(AQ61,FIND("-",AQ61)+1,99),"")))=SIGN((AW61)-(AX61)))+2*(((IFERROR(--LEFT(AQ61,FIND("-",AQ61)-1),""))-(IFERROR(--MID(AQ61,FIND("-",AQ61)+1,99),"")))=((AW61)-(AX61)))+2*((IFERROR(--LEFT(AQ61,FIND("-",AQ61)-1),""))=(AW61))+2*((IFERROR(--MID(AQ61,FIND("-",AQ61)+1,99),""))=(AX61))),""))</f>
        <v>5</v>
      </c>
      <c r="AS61" s="10" t="s">
        <v>63</v>
      </c>
      <c r="AT61" s="11">
        <f>IF(OR($C61="",AS61=""),"",IFERROR(IF(AND(IFERROR(--LEFT(AS61,FIND("-",AS61)-1),"")=AW61,IFERROR(--MID(AS61,FIND("-",AS61)+1,99),"")=AX61),10,5*(SIGN((IFERROR(--LEFT(AS61,FIND("-",AS61)-1),""))-(IFERROR(--MID(AS61,FIND("-",AS61)+1,99),"")))=SIGN((AW61)-(AX61)))+2*(((IFERROR(--LEFT(AS61,FIND("-",AS61)-1),""))-(IFERROR(--MID(AS61,FIND("-",AS61)+1,99),"")))=((AW61)-(AX61)))+2*((IFERROR(--LEFT(AS61,FIND("-",AS61)-1),""))=(AW61))+2*((IFERROR(--MID(AS61,FIND("-",AS61)+1,99),""))=(AX61))),""))</f>
        <v>10</v>
      </c>
      <c r="AU61" s="10" t="s">
        <v>33</v>
      </c>
      <c r="AV61" s="11">
        <f>IF(OR($C61="",AU61=""),"",IFERROR(IF(AND(IFERROR(--LEFT(AU61,FIND("-",AU61)-1),"")=AW61,IFERROR(--MID(AU61,FIND("-",AU61)+1,99),"")=AX61),10,5*(SIGN((IFERROR(--LEFT(AU61,FIND("-",AU61)-1),""))-(IFERROR(--MID(AU61,FIND("-",AU61)+1,99),"")))=SIGN((AW61)-(AX61)))+2*(((IFERROR(--LEFT(AU61,FIND("-",AU61)-1),""))-(IFERROR(--MID(AU61,FIND("-",AU61)+1,99),"")))=((AW61)-(AX61)))+2*((IFERROR(--LEFT(AU61,FIND("-",AU61)-1),""))=(AW61))+2*((IFERROR(--MID(AU61,FIND("-",AU61)+1,99),""))=(AX61))),""))</f>
        <v>5</v>
      </c>
      <c r="AW61" s="11">
        <f>IF($C61="","",IFERROR(--LEFT($C61,FIND("-",$C61)-1),""))</f>
        <v>4</v>
      </c>
      <c r="AX61" s="11">
        <f>IF($C61="","",IFERROR(--MID($C61,FIND("-",$C61)+1,99),""))</f>
        <v>0</v>
      </c>
    </row>
    <row r="62" spans="1:50" ht="18" customHeight="1" x14ac:dyDescent="0.3">
      <c r="A62" s="9">
        <v>1.875</v>
      </c>
      <c r="B62" s="18" t="s">
        <v>82</v>
      </c>
      <c r="C62" s="10" t="s">
        <v>50</v>
      </c>
      <c r="D62" s="1" t="s">
        <v>87</v>
      </c>
      <c r="E62" s="10" t="s">
        <v>39</v>
      </c>
      <c r="F62" s="11">
        <f>IF(OR($C62="",E62=""),"",IFERROR(IF(AND(IFERROR(--LEFT(E62,FIND("-",E62)-1),"")=AW62,IFERROR(--MID(E62,FIND("-",E62)+1,99),"")=AX62),10,5*(SIGN((IFERROR(--LEFT(E62,FIND("-",E62)-1),""))-(IFERROR(--MID(E62,FIND("-",E62)+1,99),"")))=SIGN((AW62)-(AX62)))+2*(((IFERROR(--LEFT(E62,FIND("-",E62)-1),""))-(IFERROR(--MID(E62,FIND("-",E62)+1,99),"")))=((AW62)-(AX62)))+2*((IFERROR(--LEFT(E62,FIND("-",E62)-1),""))=(AW62))+2*((IFERROR(--MID(E62,FIND("-",E62)+1,99),""))=(AX62))),""))</f>
        <v>2</v>
      </c>
      <c r="G62" s="10" t="s">
        <v>36</v>
      </c>
      <c r="H62" s="11">
        <f>IF(OR($C62="",G62=""),"",IFERROR(IF(AND(IFERROR(--LEFT(G62,FIND("-",G62)-1),"")=AW62,IFERROR(--MID(G62,FIND("-",G62)+1,99),"")=AX62),10,5*(SIGN((IFERROR(--LEFT(G62,FIND("-",G62)-1),""))-(IFERROR(--MID(G62,FIND("-",G62)+1,99),"")))=SIGN((AW62)-(AX62)))+2*(((IFERROR(--LEFT(G62,FIND("-",G62)-1),""))-(IFERROR(--MID(G62,FIND("-",G62)+1,99),"")))=((AW62)-(AX62)))+2*((IFERROR(--LEFT(G62,FIND("-",G62)-1),""))=(AW62))+2*((IFERROR(--MID(G62,FIND("-",G62)+1,99),""))=(AX62))),""))</f>
        <v>2</v>
      </c>
      <c r="I62" s="10" t="s">
        <v>39</v>
      </c>
      <c r="J62" s="11">
        <f>IF(OR($C62="",I62=""),"",IFERROR(IF(AND(IFERROR(--LEFT(I62,FIND("-",I62)-1),"")=AW62,IFERROR(--MID(I62,FIND("-",I62)+1,99),"")=AX62),10,5*(SIGN((IFERROR(--LEFT(I62,FIND("-",I62)-1),""))-(IFERROR(--MID(I62,FIND("-",I62)+1,99),"")))=SIGN((AW62)-(AX62)))+2*(((IFERROR(--LEFT(I62,FIND("-",I62)-1),""))-(IFERROR(--MID(I62,FIND("-",I62)+1,99),"")))=((AW62)-(AX62)))+2*((IFERROR(--LEFT(I62,FIND("-",I62)-1),""))=(AW62))+2*((IFERROR(--MID(I62,FIND("-",I62)+1,99),""))=(AX62))),""))</f>
        <v>2</v>
      </c>
      <c r="K62" s="10" t="s">
        <v>63</v>
      </c>
      <c r="L62" s="11">
        <f>IF(OR($C62="",K62=""),"",IFERROR(IF(AND(IFERROR(--LEFT(K62,FIND("-",K62)-1),"")=AW62,IFERROR(--MID(K62,FIND("-",K62)+1,99),"")=AX62),10,5*(SIGN((IFERROR(--LEFT(K62,FIND("-",K62)-1),""))-(IFERROR(--MID(K62,FIND("-",K62)+1,99),"")))=SIGN((AW62)-(AX62)))+2*(((IFERROR(--LEFT(K62,FIND("-",K62)-1),""))-(IFERROR(--MID(K62,FIND("-",K62)+1,99),"")))=((AW62)-(AX62)))+2*((IFERROR(--LEFT(K62,FIND("-",K62)-1),""))=(AW62))+2*((IFERROR(--MID(K62,FIND("-",K62)+1,99),""))=(AX62))),""))</f>
        <v>2</v>
      </c>
      <c r="M62" s="10" t="s">
        <v>36</v>
      </c>
      <c r="N62" s="11">
        <f>IF(OR($C62="",M62=""),"",IFERROR(IF(AND(IFERROR(--LEFT(M62,FIND("-",M62)-1),"")=AW62,IFERROR(--MID(M62,FIND("-",M62)+1,99),"")=AX62),10,5*(SIGN((IFERROR(--LEFT(M62,FIND("-",M62)-1),""))-(IFERROR(--MID(M62,FIND("-",M62)+1,99),"")))=SIGN((AW62)-(AX62)))+2*(((IFERROR(--LEFT(M62,FIND("-",M62)-1),""))-(IFERROR(--MID(M62,FIND("-",M62)+1,99),"")))=((AW62)-(AX62)))+2*((IFERROR(--LEFT(M62,FIND("-",M62)-1),""))=(AW62))+2*((IFERROR(--MID(M62,FIND("-",M62)+1,99),""))=(AX62))),""))</f>
        <v>2</v>
      </c>
      <c r="O62" s="10" t="s">
        <v>34</v>
      </c>
      <c r="P62" s="11">
        <f>IF(OR($C62="",O62=""),"",IFERROR(IF(AND(IFERROR(--LEFT(O62,FIND("-",O62)-1),"")=AW62,IFERROR(--MID(O62,FIND("-",O62)+1,99),"")=AX62),10,5*(SIGN((IFERROR(--LEFT(O62,FIND("-",O62)-1),""))-(IFERROR(--MID(O62,FIND("-",O62)+1,99),"")))=SIGN((AW62)-(AX62)))+2*(((IFERROR(--LEFT(O62,FIND("-",O62)-1),""))-(IFERROR(--MID(O62,FIND("-",O62)+1,99),"")))=((AW62)-(AX62)))+2*((IFERROR(--LEFT(O62,FIND("-",O62)-1),""))=(AW62))+2*((IFERROR(--MID(O62,FIND("-",O62)+1,99),""))=(AX62))),""))</f>
        <v>0</v>
      </c>
      <c r="Q62" s="10" t="s">
        <v>38</v>
      </c>
      <c r="R62" s="11">
        <f>IF(OR($C62="",Q62=""),"",IFERROR(IF(AND(IFERROR(--LEFT(Q62,FIND("-",Q62)-1),"")=AW62,IFERROR(--MID(Q62,FIND("-",Q62)+1,99),"")=AX62),10,5*(SIGN((IFERROR(--LEFT(Q62,FIND("-",Q62)-1),""))-(IFERROR(--MID(Q62,FIND("-",Q62)+1,99),"")))=SIGN((AW62)-(AX62)))+2*(((IFERROR(--LEFT(Q62,FIND("-",Q62)-1),""))-(IFERROR(--MID(Q62,FIND("-",Q62)+1,99),"")))=((AW62)-(AX62)))+2*((IFERROR(--LEFT(Q62,FIND("-",Q62)-1),""))=(AW62))+2*((IFERROR(--MID(Q62,FIND("-",Q62)+1,99),""))=(AX62))),""))</f>
        <v>2</v>
      </c>
      <c r="S62" s="10" t="s">
        <v>43</v>
      </c>
      <c r="T62" s="11">
        <f>IF(OR($C62="",S62=""),"",IFERROR(IF(AND(IFERROR(--LEFT(S62,FIND("-",S62)-1),"")=AW62,IFERROR(--MID(S62,FIND("-",S62)+1,99),"")=AX62),10,5*(SIGN((IFERROR(--LEFT(S62,FIND("-",S62)-1),""))-(IFERROR(--MID(S62,FIND("-",S62)+1,99),"")))=SIGN((AW62)-(AX62)))+2*(((IFERROR(--LEFT(S62,FIND("-",S62)-1),""))-(IFERROR(--MID(S62,FIND("-",S62)+1,99),"")))=((AW62)-(AX62)))+2*((IFERROR(--LEFT(S62,FIND("-",S62)-1),""))=(AW62))+2*((IFERROR(--MID(S62,FIND("-",S62)+1,99),""))=(AX62))),""))</f>
        <v>0</v>
      </c>
      <c r="U62" s="10" t="s">
        <v>36</v>
      </c>
      <c r="V62" s="11">
        <f>IF(OR($C62="",U62=""),"",IFERROR(IF(AND(IFERROR(--LEFT(U62,FIND("-",U62)-1),"")=AW62,IFERROR(--MID(U62,FIND("-",U62)+1,99),"")=AX62),10,5*(SIGN((IFERROR(--LEFT(U62,FIND("-",U62)-1),""))-(IFERROR(--MID(U62,FIND("-",U62)+1,99),"")))=SIGN((AW62)-(AX62)))+2*(((IFERROR(--LEFT(U62,FIND("-",U62)-1),""))-(IFERROR(--MID(U62,FIND("-",U62)+1,99),"")))=((AW62)-(AX62)))+2*((IFERROR(--LEFT(U62,FIND("-",U62)-1),""))=(AW62))+2*((IFERROR(--MID(U62,FIND("-",U62)+1,99),""))=(AX62))),""))</f>
        <v>2</v>
      </c>
      <c r="W62" s="10" t="s">
        <v>36</v>
      </c>
      <c r="X62" s="11">
        <f>IF(OR($C62="",W62=""),"",IFERROR(IF(AND(IFERROR(--LEFT(W62,FIND("-",W62)-1),"")=AW62,IFERROR(--MID(W62,FIND("-",W62)+1,99),"")=AX62),10,5*(SIGN((IFERROR(--LEFT(W62,FIND("-",W62)-1),""))-(IFERROR(--MID(W62,FIND("-",W62)+1,99),"")))=SIGN((AW62)-(AX62)))+2*(((IFERROR(--LEFT(W62,FIND("-",W62)-1),""))-(IFERROR(--MID(W62,FIND("-",W62)+1,99),"")))=((AW62)-(AX62)))+2*((IFERROR(--LEFT(W62,FIND("-",W62)-1),""))=(AW62))+2*((IFERROR(--MID(W62,FIND("-",W62)+1,99),""))=(AX62))),""))</f>
        <v>2</v>
      </c>
      <c r="Y62" s="10" t="s">
        <v>33</v>
      </c>
      <c r="Z62" s="11">
        <f>IF(OR($C62="",Y62=""),"",IFERROR(IF(AND(IFERROR(--LEFT(Y62,FIND("-",Y62)-1),"")=AW62,IFERROR(--MID(Y62,FIND("-",Y62)+1,99),"")=AX62),10,5*(SIGN((IFERROR(--LEFT(Y62,FIND("-",Y62)-1),""))-(IFERROR(--MID(Y62,FIND("-",Y62)+1,99),"")))=SIGN((AW62)-(AX62)))+2*(((IFERROR(--LEFT(Y62,FIND("-",Y62)-1),""))-(IFERROR(--MID(Y62,FIND("-",Y62)+1,99),"")))=((AW62)-(AX62)))+2*((IFERROR(--LEFT(Y62,FIND("-",Y62)-1),""))=(AW62))+2*((IFERROR(--MID(Y62,FIND("-",Y62)+1,99),""))=(AX62))),""))</f>
        <v>0</v>
      </c>
      <c r="AA62" s="10" t="s">
        <v>36</v>
      </c>
      <c r="AB62" s="11">
        <f>IF(OR($C62="",AA62=""),"",IFERROR(IF(AND(IFERROR(--LEFT(AA62,FIND("-",AA62)-1),"")=AW62,IFERROR(--MID(AA62,FIND("-",AA62)+1,99),"")=AX62),10,5*(SIGN((IFERROR(--LEFT(AA62,FIND("-",AA62)-1),""))-(IFERROR(--MID(AA62,FIND("-",AA62)+1,99),"")))=SIGN((AW62)-(AX62)))+2*(((IFERROR(--LEFT(AA62,FIND("-",AA62)-1),""))-(IFERROR(--MID(AA62,FIND("-",AA62)+1,99),"")))=((AW62)-(AX62)))+2*((IFERROR(--LEFT(AA62,FIND("-",AA62)-1),""))=(AW62))+2*((IFERROR(--MID(AA62,FIND("-",AA62)+1,99),""))=(AX62))),""))</f>
        <v>2</v>
      </c>
      <c r="AC62" s="10" t="s">
        <v>36</v>
      </c>
      <c r="AD62" s="11">
        <f>IF(OR($C62="",AC62=""),"",IFERROR(IF(AND(IFERROR(--LEFT(AC62,FIND("-",AC62)-1),"")=AW62,IFERROR(--MID(AC62,FIND("-",AC62)+1,99),"")=AX62),10,5*(SIGN((IFERROR(--LEFT(AC62,FIND("-",AC62)-1),""))-(IFERROR(--MID(AC62,FIND("-",AC62)+1,99),"")))=SIGN((AW62)-(AX62)))+2*(((IFERROR(--LEFT(AC62,FIND("-",AC62)-1),""))-(IFERROR(--MID(AC62,FIND("-",AC62)+1,99),"")))=((AW62)-(AX62)))+2*((IFERROR(--LEFT(AC62,FIND("-",AC62)-1),""))=(AW62))+2*((IFERROR(--MID(AC62,FIND("-",AC62)+1,99),""))=(AX62))),""))</f>
        <v>2</v>
      </c>
      <c r="AE62" s="10" t="s">
        <v>36</v>
      </c>
      <c r="AF62" s="11">
        <f>IF(OR($C62="",AE62=""),"",IFERROR(IF(AND(IFERROR(--LEFT(AE62,FIND("-",AE62)-1),"")=AW62,IFERROR(--MID(AE62,FIND("-",AE62)+1,99),"")=AX62),10,5*(SIGN((IFERROR(--LEFT(AE62,FIND("-",AE62)-1),""))-(IFERROR(--MID(AE62,FIND("-",AE62)+1,99),"")))=SIGN((AW62)-(AX62)))+2*(((IFERROR(--LEFT(AE62,FIND("-",AE62)-1),""))-(IFERROR(--MID(AE62,FIND("-",AE62)+1,99),"")))=((AW62)-(AX62)))+2*((IFERROR(--LEFT(AE62,FIND("-",AE62)-1),""))=(AW62))+2*((IFERROR(--MID(AE62,FIND("-",AE62)+1,99),""))=(AX62))),""))</f>
        <v>2</v>
      </c>
      <c r="AG62" s="10" t="s">
        <v>36</v>
      </c>
      <c r="AH62" s="11">
        <f>IF(OR($C62="",AG62=""),"",IFERROR(IF(AND(IFERROR(--LEFT(AG62,FIND("-",AG62)-1),"")=AW62,IFERROR(--MID(AG62,FIND("-",AG62)+1,99),"")=AX62),10,5*(SIGN((IFERROR(--LEFT(AG62,FIND("-",AG62)-1),""))-(IFERROR(--MID(AG62,FIND("-",AG62)+1,99),"")))=SIGN((AW62)-(AX62)))+2*(((IFERROR(--LEFT(AG62,FIND("-",AG62)-1),""))-(IFERROR(--MID(AG62,FIND("-",AG62)+1,99),"")))=((AW62)-(AX62)))+2*((IFERROR(--LEFT(AG62,FIND("-",AG62)-1),""))=(AW62))+2*((IFERROR(--MID(AG62,FIND("-",AG62)+1,99),""))=(AX62))),""))</f>
        <v>2</v>
      </c>
      <c r="AI62" s="10" t="s">
        <v>38</v>
      </c>
      <c r="AJ62" s="11">
        <f>IF(OR($C62="",AI62=""),"",IFERROR(IF(AND(IFERROR(--LEFT(AI62,FIND("-",AI62)-1),"")=AW62,IFERROR(--MID(AI62,FIND("-",AI62)+1,99),"")=AX62),10,5*(SIGN((IFERROR(--LEFT(AI62,FIND("-",AI62)-1),""))-(IFERROR(--MID(AI62,FIND("-",AI62)+1,99),"")))=SIGN((AW62)-(AX62)))+2*(((IFERROR(--LEFT(AI62,FIND("-",AI62)-1),""))-(IFERROR(--MID(AI62,FIND("-",AI62)+1,99),"")))=((AW62)-(AX62)))+2*((IFERROR(--LEFT(AI62,FIND("-",AI62)-1),""))=(AW62))+2*((IFERROR(--MID(AI62,FIND("-",AI62)+1,99),""))=(AX62))),""))</f>
        <v>2</v>
      </c>
      <c r="AK62" s="10" t="s">
        <v>36</v>
      </c>
      <c r="AL62" s="11">
        <f>IF(OR($C62="",AK62=""),"",IFERROR(IF(AND(IFERROR(--LEFT(AK62,FIND("-",AK62)-1),"")=AW62,IFERROR(--MID(AK62,FIND("-",AK62)+1,99),"")=AX62),10,5*(SIGN((IFERROR(--LEFT(AK62,FIND("-",AK62)-1),""))-(IFERROR(--MID(AK62,FIND("-",AK62)+1,99),"")))=SIGN((AW62)-(AX62)))+2*(((IFERROR(--LEFT(AK62,FIND("-",AK62)-1),""))-(IFERROR(--MID(AK62,FIND("-",AK62)+1,99),"")))=((AW62)-(AX62)))+2*((IFERROR(--LEFT(AK62,FIND("-",AK62)-1),""))=(AW62))+2*((IFERROR(--MID(AK62,FIND("-",AK62)+1,99),""))=(AX62))),""))</f>
        <v>2</v>
      </c>
      <c r="AM62" s="10" t="s">
        <v>35</v>
      </c>
      <c r="AN62" s="11">
        <f>IF(OR($C62="",AM62=""),"",IFERROR(IF(AND(IFERROR(--LEFT(AM62,FIND("-",AM62)-1),"")=AW62,IFERROR(--MID(AM62,FIND("-",AM62)+1,99),"")=AX62),10,5*(SIGN((IFERROR(--LEFT(AM62,FIND("-",AM62)-1),""))-(IFERROR(--MID(AM62,FIND("-",AM62)+1,99),"")))=SIGN((AW62)-(AX62)))+2*(((IFERROR(--LEFT(AM62,FIND("-",AM62)-1),""))-(IFERROR(--MID(AM62,FIND("-",AM62)+1,99),"")))=((AW62)-(AX62)))+2*((IFERROR(--LEFT(AM62,FIND("-",AM62)-1),""))=(AW62))+2*((IFERROR(--MID(AM62,FIND("-",AM62)+1,99),""))=(AX62))),""))</f>
        <v>7</v>
      </c>
      <c r="AO62" s="10" t="s">
        <v>35</v>
      </c>
      <c r="AP62" s="11">
        <f>IF(OR($C62="",AO62=""),"",IFERROR(IF(AND(IFERROR(--LEFT(AO62,FIND("-",AO62)-1),"")=AW62,IFERROR(--MID(AO62,FIND("-",AO62)+1,99),"")=AX62),10,5*(SIGN((IFERROR(--LEFT(AO62,FIND("-",AO62)-1),""))-(IFERROR(--MID(AO62,FIND("-",AO62)+1,99),"")))=SIGN((AW62)-(AX62)))+2*(((IFERROR(--LEFT(AO62,FIND("-",AO62)-1),""))-(IFERROR(--MID(AO62,FIND("-",AO62)+1,99),"")))=((AW62)-(AX62)))+2*((IFERROR(--LEFT(AO62,FIND("-",AO62)-1),""))=(AW62))+2*((IFERROR(--MID(AO62,FIND("-",AO62)+1,99),""))=(AX62))),""))</f>
        <v>7</v>
      </c>
      <c r="AQ62" s="10" t="s">
        <v>33</v>
      </c>
      <c r="AR62" s="11">
        <f>IF(OR($C62="",AQ62=""),"",IFERROR(IF(AND(IFERROR(--LEFT(AQ62,FIND("-",AQ62)-1),"")=AW62,IFERROR(--MID(AQ62,FIND("-",AQ62)+1,99),"")=AX62),10,5*(SIGN((IFERROR(--LEFT(AQ62,FIND("-",AQ62)-1),""))-(IFERROR(--MID(AQ62,FIND("-",AQ62)+1,99),"")))=SIGN((AW62)-(AX62)))+2*(((IFERROR(--LEFT(AQ62,FIND("-",AQ62)-1),""))-(IFERROR(--MID(AQ62,FIND("-",AQ62)+1,99),"")))=((AW62)-(AX62)))+2*((IFERROR(--LEFT(AQ62,FIND("-",AQ62)-1),""))=(AW62))+2*((IFERROR(--MID(AQ62,FIND("-",AQ62)+1,99),""))=(AX62))),""))</f>
        <v>0</v>
      </c>
      <c r="AS62" s="10" t="s">
        <v>45</v>
      </c>
      <c r="AT62" s="11">
        <f>IF(OR($C62="",AS62=""),"",IFERROR(IF(AND(IFERROR(--LEFT(AS62,FIND("-",AS62)-1),"")=AW62,IFERROR(--MID(AS62,FIND("-",AS62)+1,99),"")=AX62),10,5*(SIGN((IFERROR(--LEFT(AS62,FIND("-",AS62)-1),""))-(IFERROR(--MID(AS62,FIND("-",AS62)+1,99),"")))=SIGN((AW62)-(AX62)))+2*(((IFERROR(--LEFT(AS62,FIND("-",AS62)-1),""))-(IFERROR(--MID(AS62,FIND("-",AS62)+1,99),"")))=((AW62)-(AX62)))+2*((IFERROR(--LEFT(AS62,FIND("-",AS62)-1),""))=(AW62))+2*((IFERROR(--MID(AS62,FIND("-",AS62)+1,99),""))=(AX62))),""))</f>
        <v>2</v>
      </c>
      <c r="AU62" s="10" t="s">
        <v>36</v>
      </c>
      <c r="AV62" s="11">
        <f>IF(OR($C62="",AU62=""),"",IFERROR(IF(AND(IFERROR(--LEFT(AU62,FIND("-",AU62)-1),"")=AW62,IFERROR(--MID(AU62,FIND("-",AU62)+1,99),"")=AX62),10,5*(SIGN((IFERROR(--LEFT(AU62,FIND("-",AU62)-1),""))-(IFERROR(--MID(AU62,FIND("-",AU62)+1,99),"")))=SIGN((AW62)-(AX62)))+2*(((IFERROR(--LEFT(AU62,FIND("-",AU62)-1),""))-(IFERROR(--MID(AU62,FIND("-",AU62)+1,99),"")))=((AW62)-(AX62)))+2*((IFERROR(--LEFT(AU62,FIND("-",AU62)-1),""))=(AW62))+2*((IFERROR(--MID(AU62,FIND("-",AU62)+1,99),""))=(AX62))),""))</f>
        <v>2</v>
      </c>
      <c r="AW62" s="11">
        <f>IF($C62="","",IFERROR(--LEFT($C62,FIND("-",$C62)-1),""))</f>
        <v>0</v>
      </c>
      <c r="AX62" s="11">
        <f>IF($C62="","",IFERROR(--MID($C62,FIND("-",$C62)+1,99),""))</f>
        <v>0</v>
      </c>
    </row>
    <row r="63" spans="1:50" ht="18" customHeight="1" x14ac:dyDescent="0.3">
      <c r="A63" s="12"/>
      <c r="B63" s="18"/>
      <c r="C63" s="13"/>
      <c r="D63" s="1"/>
      <c r="E63" s="22"/>
      <c r="F63" s="12"/>
      <c r="G63" s="22"/>
      <c r="H63" s="12"/>
      <c r="I63" s="22"/>
      <c r="J63" s="12"/>
      <c r="K63" s="22"/>
      <c r="L63" s="12"/>
      <c r="M63" s="22"/>
      <c r="N63" s="12"/>
      <c r="O63" s="22"/>
      <c r="P63" s="12"/>
      <c r="Q63" s="22"/>
      <c r="R63" s="12"/>
      <c r="S63" s="22"/>
      <c r="T63" s="12"/>
      <c r="U63" s="13"/>
      <c r="V63" s="12"/>
      <c r="W63" s="22"/>
      <c r="X63" s="12"/>
      <c r="Y63" s="22"/>
      <c r="Z63" s="12"/>
      <c r="AA63" s="22"/>
      <c r="AB63" s="12"/>
      <c r="AC63" s="22"/>
      <c r="AD63" s="12"/>
      <c r="AE63" s="22"/>
      <c r="AF63" s="12"/>
      <c r="AG63" s="22"/>
      <c r="AH63" s="12"/>
      <c r="AI63" s="22"/>
      <c r="AJ63" s="12"/>
      <c r="AK63" s="22"/>
      <c r="AL63" s="12"/>
      <c r="AM63" s="22"/>
      <c r="AN63" s="12"/>
      <c r="AO63" s="22"/>
      <c r="AP63" s="12"/>
      <c r="AQ63" s="22"/>
      <c r="AR63" s="12" t="str">
        <f>IF(OR($C63="",AQ63=""),"",IFERROR(IF(AND(IFERROR(--LEFT(AQ63,FIND("-",AQ63)-1),"")=AW63,IFERROR(--MID(AQ63,FIND("-",AQ63)+1,99),"")=AX63),10,5*(SIGN((IFERROR(--LEFT(AQ63,FIND("-",AQ63)-1),""))-(IFERROR(--MID(AQ63,FIND("-",AQ63)+1,99),"")))=SIGN((AW63)-(AX63)))+2*(((IFERROR(--LEFT(AQ63,FIND("-",AQ63)-1),""))-(IFERROR(--MID(AQ63,FIND("-",AQ63)+1,99),"")))=((AW63)-(AX63)))+2*((IFERROR(--LEFT(AQ63,FIND("-",AQ63)-1),""))=(AW63))+2*((IFERROR(--MID(AQ63,FIND("-",AQ63)+1,99),""))=(AX63))),""))</f>
        <v/>
      </c>
      <c r="AS63" s="22"/>
      <c r="AT63" s="12" t="str">
        <f>IF(OR($C63="",AS63=""),"",IFERROR(IF(AND(IFERROR(--LEFT(AS63,FIND("-",AS63)-1),"")=AW63,IFERROR(--MID(AS63,FIND("-",AS63)+1,99),"")=AX63),10,5*(SIGN((IFERROR(--LEFT(AS63,FIND("-",AS63)-1),""))-(IFERROR(--MID(AS63,FIND("-",AS63)+1,99),"")))=SIGN((AW63)-(AX63)))+2*(((IFERROR(--LEFT(AS63,FIND("-",AS63)-1),""))-(IFERROR(--MID(AS63,FIND("-",AS63)+1,99),"")))=((AW63)-(AX63)))+2*((IFERROR(--LEFT(AS63,FIND("-",AS63)-1),""))=(AW63))+2*((IFERROR(--MID(AS63,FIND("-",AS63)+1,99),""))=(AX63))),""))</f>
        <v/>
      </c>
      <c r="AU63" s="22"/>
      <c r="AV63" s="12"/>
      <c r="AW63" s="12"/>
      <c r="AX63" s="12"/>
    </row>
    <row r="64" spans="1:50" ht="20.100000000000001" customHeight="1" x14ac:dyDescent="0.3">
      <c r="A64" s="36" t="s">
        <v>116</v>
      </c>
      <c r="B64" s="37"/>
      <c r="C64" s="38"/>
      <c r="D64" s="37"/>
      <c r="E64" s="38"/>
      <c r="F64" s="37"/>
      <c r="G64" s="38"/>
      <c r="H64" s="37"/>
      <c r="I64" s="38"/>
      <c r="J64" s="37"/>
      <c r="K64" s="38"/>
      <c r="L64" s="37"/>
      <c r="M64" s="38"/>
      <c r="N64" s="37"/>
      <c r="O64" s="38"/>
      <c r="P64" s="37"/>
      <c r="Q64" s="38"/>
      <c r="R64" s="37"/>
      <c r="S64" s="38"/>
      <c r="T64" s="37"/>
      <c r="U64" s="38"/>
      <c r="V64" s="37"/>
      <c r="W64" s="38"/>
      <c r="X64" s="37"/>
      <c r="Y64" s="38"/>
      <c r="Z64" s="37"/>
      <c r="AA64" s="38"/>
      <c r="AB64" s="37"/>
      <c r="AC64" s="38"/>
      <c r="AD64" s="37"/>
      <c r="AE64" s="38"/>
      <c r="AF64" s="37"/>
      <c r="AG64" s="38"/>
      <c r="AH64" s="37"/>
      <c r="AI64" s="38"/>
      <c r="AJ64" s="37"/>
      <c r="AK64" s="38"/>
      <c r="AL64" s="37"/>
      <c r="AM64" s="38"/>
      <c r="AN64" s="37"/>
      <c r="AO64" s="38"/>
      <c r="AP64" s="37"/>
      <c r="AQ64" s="37"/>
      <c r="AR64" s="37"/>
      <c r="AS64" s="37"/>
      <c r="AT64" s="37"/>
      <c r="AU64" s="38"/>
      <c r="AV64" s="39"/>
      <c r="AW64" s="8"/>
      <c r="AX64" s="8"/>
    </row>
    <row r="65" spans="1:50" ht="18" customHeight="1" x14ac:dyDescent="0.3">
      <c r="A65" s="9">
        <v>1</v>
      </c>
      <c r="B65" s="18" t="s">
        <v>86</v>
      </c>
      <c r="C65" s="10" t="s">
        <v>49</v>
      </c>
      <c r="D65" s="1" t="s">
        <v>81</v>
      </c>
      <c r="E65" s="10" t="s">
        <v>36</v>
      </c>
      <c r="F65" s="11">
        <f>IF(OR($C65="",E65=""),"",IFERROR(IF(AND(IFERROR(--LEFT(E65,FIND("-",E65)-1),"")=AW65,IFERROR(--MID(E65,FIND("-",E65)+1,99),"")=AX65),10,5*(SIGN((IFERROR(--LEFT(E65,FIND("-",E65)-1),""))-(IFERROR(--MID(E65,FIND("-",E65)+1,99),"")))=SIGN((AW65)-(AX65)))+2*(((IFERROR(--LEFT(E65,FIND("-",E65)-1),""))-(IFERROR(--MID(E65,FIND("-",E65)+1,99),"")))=((AW65)-(AX65)))+2*((IFERROR(--LEFT(E65,FIND("-",E65)-1),""))=(AW65))+2*((IFERROR(--MID(E65,FIND("-",E65)+1,99),""))=(AX65))),""))</f>
        <v>2</v>
      </c>
      <c r="G65" s="10" t="s">
        <v>61</v>
      </c>
      <c r="H65" s="11">
        <f>IF(OR($C65="",G65=""),"",IFERROR(IF(AND(IFERROR(--LEFT(G65,FIND("-",G65)-1),"")=AW65,IFERROR(--MID(G65,FIND("-",G65)+1,99),"")=AX65),10,5*(SIGN((IFERROR(--LEFT(G65,FIND("-",G65)-1),""))-(IFERROR(--MID(G65,FIND("-",G65)+1,99),"")))=SIGN((AW65)-(AX65)))+2*(((IFERROR(--LEFT(G65,FIND("-",G65)-1),""))-(IFERROR(--MID(G65,FIND("-",G65)+1,99),"")))=((AW65)-(AX65)))+2*((IFERROR(--LEFT(G65,FIND("-",G65)-1),""))=(AW65))+2*((IFERROR(--MID(G65,FIND("-",G65)+1,99),""))=(AX65))),""))</f>
        <v>2</v>
      </c>
      <c r="I65" s="10" t="s">
        <v>36</v>
      </c>
      <c r="J65" s="11">
        <f>IF(OR($C65="",I65=""),"",IFERROR(IF(AND(IFERROR(--LEFT(I65,FIND("-",I65)-1),"")=AW65,IFERROR(--MID(I65,FIND("-",I65)+1,99),"")=AX65),10,5*(SIGN((IFERROR(--LEFT(I65,FIND("-",I65)-1),""))-(IFERROR(--MID(I65,FIND("-",I65)+1,99),"")))=SIGN((AW65)-(AX65)))+2*(((IFERROR(--LEFT(I65,FIND("-",I65)-1),""))-(IFERROR(--MID(I65,FIND("-",I65)+1,99),"")))=((AW65)-(AX65)))+2*((IFERROR(--LEFT(I65,FIND("-",I65)-1),""))=(AW65))+2*((IFERROR(--MID(I65,FIND("-",I65)+1,99),""))=(AX65))),""))</f>
        <v>2</v>
      </c>
      <c r="K65" s="10" t="s">
        <v>33</v>
      </c>
      <c r="L65" s="11">
        <f>IF(OR($C65="",K65=""),"",IFERROR(IF(AND(IFERROR(--LEFT(K65,FIND("-",K65)-1),"")=AW65,IFERROR(--MID(K65,FIND("-",K65)+1,99),"")=AX65),10,5*(SIGN((IFERROR(--LEFT(K65,FIND("-",K65)-1),""))-(IFERROR(--MID(K65,FIND("-",K65)+1,99),"")))=SIGN((AW65)-(AX65)))+2*(((IFERROR(--LEFT(K65,FIND("-",K65)-1),""))-(IFERROR(--MID(K65,FIND("-",K65)+1,99),"")))=((AW65)-(AX65)))+2*((IFERROR(--LEFT(K65,FIND("-",K65)-1),""))=(AW65))+2*((IFERROR(--MID(K65,FIND("-",K65)+1,99),""))=(AX65))),""))</f>
        <v>2</v>
      </c>
      <c r="M65" s="10" t="s">
        <v>33</v>
      </c>
      <c r="N65" s="11">
        <f>IF(OR($C65="",M65=""),"",IFERROR(IF(AND(IFERROR(--LEFT(M65,FIND("-",M65)-1),"")=AW65,IFERROR(--MID(M65,FIND("-",M65)+1,99),"")=AX65),10,5*(SIGN((IFERROR(--LEFT(M65,FIND("-",M65)-1),""))-(IFERROR(--MID(M65,FIND("-",M65)+1,99),"")))=SIGN((AW65)-(AX65)))+2*(((IFERROR(--LEFT(M65,FIND("-",M65)-1),""))-(IFERROR(--MID(M65,FIND("-",M65)+1,99),"")))=((AW65)-(AX65)))+2*((IFERROR(--LEFT(M65,FIND("-",M65)-1),""))=(AW65))+2*((IFERROR(--MID(M65,FIND("-",M65)+1,99),""))=(AX65))),""))</f>
        <v>2</v>
      </c>
      <c r="O65" s="10" t="s">
        <v>38</v>
      </c>
      <c r="P65" s="11">
        <f>IF(OR($C65="",O65=""),"",IFERROR(IF(AND(IFERROR(--LEFT(O65,FIND("-",O65)-1),"")=AW65,IFERROR(--MID(O65,FIND("-",O65)+1,99),"")=AX65),10,5*(SIGN((IFERROR(--LEFT(O65,FIND("-",O65)-1),""))-(IFERROR(--MID(O65,FIND("-",O65)+1,99),"")))=SIGN((AW65)-(AX65)))+2*(((IFERROR(--LEFT(O65,FIND("-",O65)-1),""))-(IFERROR(--MID(O65,FIND("-",O65)+1,99),"")))=((AW65)-(AX65)))+2*((IFERROR(--LEFT(O65,FIND("-",O65)-1),""))=(AW65))+2*((IFERROR(--MID(O65,FIND("-",O65)+1,99),""))=(AX65))),""))</f>
        <v>0</v>
      </c>
      <c r="Q65" s="10" t="s">
        <v>39</v>
      </c>
      <c r="R65" s="11">
        <f>IF(OR($C65="",Q65=""),"",IFERROR(IF(AND(IFERROR(--LEFT(Q65,FIND("-",Q65)-1),"")=AW65,IFERROR(--MID(Q65,FIND("-",Q65)+1,99),"")=AX65),10,5*(SIGN((IFERROR(--LEFT(Q65,FIND("-",Q65)-1),""))-(IFERROR(--MID(Q65,FIND("-",Q65)+1,99),"")))=SIGN((AW65)-(AX65)))+2*(((IFERROR(--LEFT(Q65,FIND("-",Q65)-1),""))-(IFERROR(--MID(Q65,FIND("-",Q65)+1,99),"")))=((AW65)-(AX65)))+2*((IFERROR(--LEFT(Q65,FIND("-",Q65)-1),""))=(AW65))+2*((IFERROR(--MID(Q65,FIND("-",Q65)+1,99),""))=(AX65))),""))</f>
        <v>0</v>
      </c>
      <c r="S65" s="10" t="s">
        <v>37</v>
      </c>
      <c r="T65" s="11">
        <f>IF(OR($C65="",S65=""),"",IFERROR(IF(AND(IFERROR(--LEFT(S65,FIND("-",S65)-1),"")=AW65,IFERROR(--MID(S65,FIND("-",S65)+1,99),"")=AX65),10,5*(SIGN((IFERROR(--LEFT(S65,FIND("-",S65)-1),""))-(IFERROR(--MID(S65,FIND("-",S65)+1,99),"")))=SIGN((AW65)-(AX65)))+2*(((IFERROR(--LEFT(S65,FIND("-",S65)-1),""))-(IFERROR(--MID(S65,FIND("-",S65)+1,99),"")))=((AW65)-(AX65)))+2*((IFERROR(--LEFT(S65,FIND("-",S65)-1),""))=(AW65))+2*((IFERROR(--MID(S65,FIND("-",S65)+1,99),""))=(AX65))),""))</f>
        <v>2</v>
      </c>
      <c r="U65" s="10" t="s">
        <v>39</v>
      </c>
      <c r="V65" s="11">
        <f>IF(OR($C65="",U65=""),"",IFERROR(IF(AND(IFERROR(--LEFT(U65,FIND("-",U65)-1),"")=AW65,IFERROR(--MID(U65,FIND("-",U65)+1,99),"")=AX65),10,5*(SIGN((IFERROR(--LEFT(U65,FIND("-",U65)-1),""))-(IFERROR(--MID(U65,FIND("-",U65)+1,99),"")))=SIGN((AW65)-(AX65)))+2*(((IFERROR(--LEFT(U65,FIND("-",U65)-1),""))-(IFERROR(--MID(U65,FIND("-",U65)+1,99),"")))=((AW65)-(AX65)))+2*((IFERROR(--LEFT(U65,FIND("-",U65)-1),""))=(AW65))+2*((IFERROR(--MID(U65,FIND("-",U65)+1,99),""))=(AX65))),""))</f>
        <v>0</v>
      </c>
      <c r="W65" s="10" t="s">
        <v>36</v>
      </c>
      <c r="X65" s="11">
        <f>IF(OR($C65="",W65=""),"",IFERROR(IF(AND(IFERROR(--LEFT(W65,FIND("-",W65)-1),"")=AW65,IFERROR(--MID(W65,FIND("-",W65)+1,99),"")=AX65),10,5*(SIGN((IFERROR(--LEFT(W65,FIND("-",W65)-1),""))-(IFERROR(--MID(W65,FIND("-",W65)+1,99),"")))=SIGN((AW65)-(AX65)))+2*(((IFERROR(--LEFT(W65,FIND("-",W65)-1),""))-(IFERROR(--MID(W65,FIND("-",W65)+1,99),"")))=((AW65)-(AX65)))+2*((IFERROR(--LEFT(W65,FIND("-",W65)-1),""))=(AW65))+2*((IFERROR(--MID(W65,FIND("-",W65)+1,99),""))=(AX65))),""))</f>
        <v>2</v>
      </c>
      <c r="Y65" s="10" t="s">
        <v>36</v>
      </c>
      <c r="Z65" s="11">
        <f>IF(OR($C65="",Y65=""),"",IFERROR(IF(AND(IFERROR(--LEFT(Y65,FIND("-",Y65)-1),"")=AW65,IFERROR(--MID(Y65,FIND("-",Y65)+1,99),"")=AX65),10,5*(SIGN((IFERROR(--LEFT(Y65,FIND("-",Y65)-1),""))-(IFERROR(--MID(Y65,FIND("-",Y65)+1,99),"")))=SIGN((AW65)-(AX65)))+2*(((IFERROR(--LEFT(Y65,FIND("-",Y65)-1),""))-(IFERROR(--MID(Y65,FIND("-",Y65)+1,99),"")))=((AW65)-(AX65)))+2*((IFERROR(--LEFT(Y65,FIND("-",Y65)-1),""))=(AW65))+2*((IFERROR(--MID(Y65,FIND("-",Y65)+1,99),""))=(AX65))),""))</f>
        <v>2</v>
      </c>
      <c r="AA65" s="10" t="s">
        <v>50</v>
      </c>
      <c r="AB65" s="11">
        <f>IF(OR($C65="",AA65=""),"",IFERROR(IF(AND(IFERROR(--LEFT(AA65,FIND("-",AA65)-1),"")=AW65,IFERROR(--MID(AA65,FIND("-",AA65)+1,99),"")=AX65),10,5*(SIGN((IFERROR(--LEFT(AA65,FIND("-",AA65)-1),""))-(IFERROR(--MID(AA65,FIND("-",AA65)+1,99),"")))=SIGN((AW65)-(AX65)))+2*(((IFERROR(--LEFT(AA65,FIND("-",AA65)-1),""))-(IFERROR(--MID(AA65,FIND("-",AA65)+1,99),"")))=((AW65)-(AX65)))+2*((IFERROR(--LEFT(AA65,FIND("-",AA65)-1),""))=(AW65))+2*((IFERROR(--MID(AA65,FIND("-",AA65)+1,99),""))=(AX65))),""))</f>
        <v>7</v>
      </c>
      <c r="AC65" s="10" t="s">
        <v>36</v>
      </c>
      <c r="AD65" s="11">
        <f>IF(OR($C65="",AC65=""),"",IFERROR(IF(AND(IFERROR(--LEFT(AC65,FIND("-",AC65)-1),"")=AW65,IFERROR(--MID(AC65,FIND("-",AC65)+1,99),"")=AX65),10,5*(SIGN((IFERROR(--LEFT(AC65,FIND("-",AC65)-1),""))-(IFERROR(--MID(AC65,FIND("-",AC65)+1,99),"")))=SIGN((AW65)-(AX65)))+2*(((IFERROR(--LEFT(AC65,FIND("-",AC65)-1),""))-(IFERROR(--MID(AC65,FIND("-",AC65)+1,99),"")))=((AW65)-(AX65)))+2*((IFERROR(--LEFT(AC65,FIND("-",AC65)-1),""))=(AW65))+2*((IFERROR(--MID(AC65,FIND("-",AC65)+1,99),""))=(AX65))),""))</f>
        <v>2</v>
      </c>
      <c r="AE65" s="10" t="s">
        <v>36</v>
      </c>
      <c r="AF65" s="11">
        <f>IF(OR($C65="",AE65=""),"",IFERROR(IF(AND(IFERROR(--LEFT(AE65,FIND("-",AE65)-1),"")=AW65,IFERROR(--MID(AE65,FIND("-",AE65)+1,99),"")=AX65),10,5*(SIGN((IFERROR(--LEFT(AE65,FIND("-",AE65)-1),""))-(IFERROR(--MID(AE65,FIND("-",AE65)+1,99),"")))=SIGN((AW65)-(AX65)))+2*(((IFERROR(--LEFT(AE65,FIND("-",AE65)-1),""))-(IFERROR(--MID(AE65,FIND("-",AE65)+1,99),"")))=((AW65)-(AX65)))+2*((IFERROR(--LEFT(AE65,FIND("-",AE65)-1),""))=(AW65))+2*((IFERROR(--MID(AE65,FIND("-",AE65)+1,99),""))=(AX65))),""))</f>
        <v>2</v>
      </c>
      <c r="AG65" s="10" t="s">
        <v>36</v>
      </c>
      <c r="AH65" s="11">
        <f>IF(OR($C65="",AG65=""),"",IFERROR(IF(AND(IFERROR(--LEFT(AG65,FIND("-",AG65)-1),"")=AW65,IFERROR(--MID(AG65,FIND("-",AG65)+1,99),"")=AX65),10,5*(SIGN((IFERROR(--LEFT(AG65,FIND("-",AG65)-1),""))-(IFERROR(--MID(AG65,FIND("-",AG65)+1,99),"")))=SIGN((AW65)-(AX65)))+2*(((IFERROR(--LEFT(AG65,FIND("-",AG65)-1),""))-(IFERROR(--MID(AG65,FIND("-",AG65)+1,99),"")))=((AW65)-(AX65)))+2*((IFERROR(--LEFT(AG65,FIND("-",AG65)-1),""))=(AW65))+2*((IFERROR(--MID(AG65,FIND("-",AG65)+1,99),""))=(AX65))),""))</f>
        <v>2</v>
      </c>
      <c r="AI65" s="10" t="s">
        <v>39</v>
      </c>
      <c r="AJ65" s="11">
        <f>IF(OR($C65="",AI65=""),"",IFERROR(IF(AND(IFERROR(--LEFT(AI65,FIND("-",AI65)-1),"")=AW65,IFERROR(--MID(AI65,FIND("-",AI65)+1,99),"")=AX65),10,5*(SIGN((IFERROR(--LEFT(AI65,FIND("-",AI65)-1),""))-(IFERROR(--MID(AI65,FIND("-",AI65)+1,99),"")))=SIGN((AW65)-(AX65)))+2*(((IFERROR(--LEFT(AI65,FIND("-",AI65)-1),""))-(IFERROR(--MID(AI65,FIND("-",AI65)+1,99),"")))=((AW65)-(AX65)))+2*((IFERROR(--LEFT(AI65,FIND("-",AI65)-1),""))=(AW65))+2*((IFERROR(--MID(AI65,FIND("-",AI65)+1,99),""))=(AX65))),""))</f>
        <v>0</v>
      </c>
      <c r="AK65" s="10" t="s">
        <v>34</v>
      </c>
      <c r="AL65" s="11">
        <f>IF(OR($C65="",AK65=""),"",IFERROR(IF(AND(IFERROR(--LEFT(AK65,FIND("-",AK65)-1),"")=AW65,IFERROR(--MID(AK65,FIND("-",AK65)+1,99),"")=AX65),10,5*(SIGN((IFERROR(--LEFT(AK65,FIND("-",AK65)-1),""))-(IFERROR(--MID(AK65,FIND("-",AK65)+1,99),"")))=SIGN((AW65)-(AX65)))+2*(((IFERROR(--LEFT(AK65,FIND("-",AK65)-1),""))-(IFERROR(--MID(AK65,FIND("-",AK65)+1,99),"")))=((AW65)-(AX65)))+2*((IFERROR(--LEFT(AK65,FIND("-",AK65)-1),""))=(AW65))+2*((IFERROR(--MID(AK65,FIND("-",AK65)+1,99),""))=(AX65))),""))</f>
        <v>0</v>
      </c>
      <c r="AM65" s="10" t="s">
        <v>35</v>
      </c>
      <c r="AN65" s="11">
        <f>IF(OR($C65="",AM65=""),"",IFERROR(IF(AND(IFERROR(--LEFT(AM65,FIND("-",AM65)-1),"")=AW65,IFERROR(--MID(AM65,FIND("-",AM65)+1,99),"")=AX65),10,5*(SIGN((IFERROR(--LEFT(AM65,FIND("-",AM65)-1),""))-(IFERROR(--MID(AM65,FIND("-",AM65)+1,99),"")))=SIGN((AW65)-(AX65)))+2*(((IFERROR(--LEFT(AM65,FIND("-",AM65)-1),""))-(IFERROR(--MID(AM65,FIND("-",AM65)+1,99),"")))=((AW65)-(AX65)))+2*((IFERROR(--LEFT(AM65,FIND("-",AM65)-1),""))=(AW65))+2*((IFERROR(--MID(AM65,FIND("-",AM65)+1,99),""))=(AX65))),""))</f>
        <v>7</v>
      </c>
      <c r="AO65" s="10" t="s">
        <v>36</v>
      </c>
      <c r="AP65" s="11">
        <f>IF(OR($C65="",AO65=""),"",IFERROR(IF(AND(IFERROR(--LEFT(AO65,FIND("-",AO65)-1),"")=AW65,IFERROR(--MID(AO65,FIND("-",AO65)+1,99),"")=AX65),10,5*(SIGN((IFERROR(--LEFT(AO65,FIND("-",AO65)-1),""))-(IFERROR(--MID(AO65,FIND("-",AO65)+1,99),"")))=SIGN((AW65)-(AX65)))+2*(((IFERROR(--LEFT(AO65,FIND("-",AO65)-1),""))-(IFERROR(--MID(AO65,FIND("-",AO65)+1,99),"")))=((AW65)-(AX65)))+2*((IFERROR(--LEFT(AO65,FIND("-",AO65)-1),""))=(AW65))+2*((IFERROR(--MID(AO65,FIND("-",AO65)+1,99),""))=(AX65))),""))</f>
        <v>2</v>
      </c>
      <c r="AQ65" s="10" t="s">
        <v>35</v>
      </c>
      <c r="AR65" s="11">
        <f>IF(OR($C65="",AQ65=""),"",IFERROR(IF(AND(IFERROR(--LEFT(AQ65,FIND("-",AQ65)-1),"")=AW65,IFERROR(--MID(AQ65,FIND("-",AQ65)+1,99),"")=AX65),10,5*(SIGN((IFERROR(--LEFT(AQ65,FIND("-",AQ65)-1),""))-(IFERROR(--MID(AQ65,FIND("-",AQ65)+1,99),"")))=SIGN((AW65)-(AX65)))+2*(((IFERROR(--LEFT(AQ65,FIND("-",AQ65)-1),""))-(IFERROR(--MID(AQ65,FIND("-",AQ65)+1,99),"")))=((AW65)-(AX65)))+2*((IFERROR(--LEFT(AQ65,FIND("-",AQ65)-1),""))=(AW65))+2*((IFERROR(--MID(AQ65,FIND("-",AQ65)+1,99),""))=(AX65))),""))</f>
        <v>7</v>
      </c>
      <c r="AS65" s="10" t="s">
        <v>38</v>
      </c>
      <c r="AT65" s="11">
        <f>IF(OR($C65="",AS65=""),"",IFERROR(IF(AND(IFERROR(--LEFT(AS65,FIND("-",AS65)-1),"")=AW65,IFERROR(--MID(AS65,FIND("-",AS65)+1,99),"")=AX65),10,5*(SIGN((IFERROR(--LEFT(AS65,FIND("-",AS65)-1),""))-(IFERROR(--MID(AS65,FIND("-",AS65)+1,99),"")))=SIGN((AW65)-(AX65)))+2*(((IFERROR(--LEFT(AS65,FIND("-",AS65)-1),""))-(IFERROR(--MID(AS65,FIND("-",AS65)+1,99),"")))=((AW65)-(AX65)))+2*((IFERROR(--LEFT(AS65,FIND("-",AS65)-1),""))=(AW65))+2*((IFERROR(--MID(AS65,FIND("-",AS65)+1,99),""))=(AX65))),""))</f>
        <v>0</v>
      </c>
      <c r="AU65" s="10" t="s">
        <v>36</v>
      </c>
      <c r="AV65" s="11">
        <f>IF(OR($C65="",AU65=""),"",IFERROR(IF(AND(IFERROR(--LEFT(AU65,FIND("-",AU65)-1),"")=AW65,IFERROR(--MID(AU65,FIND("-",AU65)+1,99),"")=AX65),10,5*(SIGN((IFERROR(--LEFT(AU65,FIND("-",AU65)-1),""))-(IFERROR(--MID(AU65,FIND("-",AU65)+1,99),"")))=SIGN((AW65)-(AX65)))+2*(((IFERROR(--LEFT(AU65,FIND("-",AU65)-1),""))-(IFERROR(--MID(AU65,FIND("-",AU65)+1,99),"")))=((AW65)-(AX65)))+2*((IFERROR(--LEFT(AU65,FIND("-",AU65)-1),""))=(AW65))+2*((IFERROR(--MID(AU65,FIND("-",AU65)+1,99),""))=(AX65))),""))</f>
        <v>2</v>
      </c>
      <c r="AW65" s="11">
        <f>IF($C65="","",IFERROR(--LEFT($C65,FIND("-",$C65)-1),""))</f>
        <v>2</v>
      </c>
      <c r="AX65" s="11">
        <f>IF($C65="","",IFERROR(--MID($C65,FIND("-",$C65)+1,99),""))</f>
        <v>2</v>
      </c>
    </row>
    <row r="66" spans="1:50" ht="18" customHeight="1" x14ac:dyDescent="0.3">
      <c r="A66" s="9">
        <v>1.125</v>
      </c>
      <c r="B66" s="18" t="s">
        <v>88</v>
      </c>
      <c r="C66" s="10" t="s">
        <v>57</v>
      </c>
      <c r="D66" s="1" t="s">
        <v>83</v>
      </c>
      <c r="E66" s="10" t="s">
        <v>48</v>
      </c>
      <c r="F66" s="11">
        <f>IF(OR($C66="",E66=""),"",IFERROR(IF(AND(IFERROR(--LEFT(E66,FIND("-",E66)-1),"")=AW66,IFERROR(--MID(E66,FIND("-",E66)+1,99),"")=AX66),10,5*(SIGN((IFERROR(--LEFT(E66,FIND("-",E66)-1),""))-(IFERROR(--MID(E66,FIND("-",E66)+1,99),"")))=SIGN((AW66)-(AX66)))+2*(((IFERROR(--LEFT(E66,FIND("-",E66)-1),""))-(IFERROR(--MID(E66,FIND("-",E66)+1,99),"")))=((AW66)-(AX66)))+2*((IFERROR(--LEFT(E66,FIND("-",E66)-1),""))=(AW66))+2*((IFERROR(--MID(E66,FIND("-",E66)+1,99),""))=(AX66))),""))</f>
        <v>7</v>
      </c>
      <c r="G66" s="10" t="s">
        <v>48</v>
      </c>
      <c r="H66" s="11">
        <f>IF(OR($C66="",G66=""),"",IFERROR(IF(AND(IFERROR(--LEFT(G66,FIND("-",G66)-1),"")=AW66,IFERROR(--MID(G66,FIND("-",G66)+1,99),"")=AX66),10,5*(SIGN((IFERROR(--LEFT(G66,FIND("-",G66)-1),""))-(IFERROR(--MID(G66,FIND("-",G66)+1,99),"")))=SIGN((AW66)-(AX66)))+2*(((IFERROR(--LEFT(G66,FIND("-",G66)-1),""))-(IFERROR(--MID(G66,FIND("-",G66)+1,99),"")))=((AW66)-(AX66)))+2*((IFERROR(--LEFT(G66,FIND("-",G66)-1),""))=(AW66))+2*((IFERROR(--MID(G66,FIND("-",G66)+1,99),""))=(AX66))),""))</f>
        <v>7</v>
      </c>
      <c r="I66" s="10" t="s">
        <v>45</v>
      </c>
      <c r="J66" s="11">
        <f>IF(OR($C66="",I66=""),"",IFERROR(IF(AND(IFERROR(--LEFT(I66,FIND("-",I66)-1),"")=AW66,IFERROR(--MID(I66,FIND("-",I66)+1,99),"")=AX66),10,5*(SIGN((IFERROR(--LEFT(I66,FIND("-",I66)-1),""))-(IFERROR(--MID(I66,FIND("-",I66)+1,99),"")))=SIGN((AW66)-(AX66)))+2*(((IFERROR(--LEFT(I66,FIND("-",I66)-1),""))-(IFERROR(--MID(I66,FIND("-",I66)+1,99),"")))=((AW66)-(AX66)))+2*((IFERROR(--LEFT(I66,FIND("-",I66)-1),""))=(AW66))+2*((IFERROR(--MID(I66,FIND("-",I66)+1,99),""))=(AX66))),""))</f>
        <v>5</v>
      </c>
      <c r="K66" s="10" t="s">
        <v>37</v>
      </c>
      <c r="L66" s="11">
        <f>IF(OR($C66="",K66=""),"",IFERROR(IF(AND(IFERROR(--LEFT(K66,FIND("-",K66)-1),"")=AW66,IFERROR(--MID(K66,FIND("-",K66)+1,99),"")=AX66),10,5*(SIGN((IFERROR(--LEFT(K66,FIND("-",K66)-1),""))-(IFERROR(--MID(K66,FIND("-",K66)+1,99),"")))=SIGN((AW66)-(AX66)))+2*(((IFERROR(--LEFT(K66,FIND("-",K66)-1),""))-(IFERROR(--MID(K66,FIND("-",K66)+1,99),"")))=((AW66)-(AX66)))+2*((IFERROR(--LEFT(K66,FIND("-",K66)-1),""))=(AW66))+2*((IFERROR(--MID(K66,FIND("-",K66)+1,99),""))=(AX66))),""))</f>
        <v>7</v>
      </c>
      <c r="M66" s="10" t="s">
        <v>37</v>
      </c>
      <c r="N66" s="11">
        <f>IF(OR($C66="",M66=""),"",IFERROR(IF(AND(IFERROR(--LEFT(M66,FIND("-",M66)-1),"")=AW66,IFERROR(--MID(M66,FIND("-",M66)+1,99),"")=AX66),10,5*(SIGN((IFERROR(--LEFT(M66,FIND("-",M66)-1),""))-(IFERROR(--MID(M66,FIND("-",M66)+1,99),"")))=SIGN((AW66)-(AX66)))+2*(((IFERROR(--LEFT(M66,FIND("-",M66)-1),""))-(IFERROR(--MID(M66,FIND("-",M66)+1,99),"")))=((AW66)-(AX66)))+2*((IFERROR(--LEFT(M66,FIND("-",M66)-1),""))=(AW66))+2*((IFERROR(--MID(M66,FIND("-",M66)+1,99),""))=(AX66))),""))</f>
        <v>7</v>
      </c>
      <c r="O66" s="10" t="s">
        <v>37</v>
      </c>
      <c r="P66" s="11">
        <f>IF(OR($C66="",O66=""),"",IFERROR(IF(AND(IFERROR(--LEFT(O66,FIND("-",O66)-1),"")=AW66,IFERROR(--MID(O66,FIND("-",O66)+1,99),"")=AX66),10,5*(SIGN((IFERROR(--LEFT(O66,FIND("-",O66)-1),""))-(IFERROR(--MID(O66,FIND("-",O66)+1,99),"")))=SIGN((AW66)-(AX66)))+2*(((IFERROR(--LEFT(O66,FIND("-",O66)-1),""))-(IFERROR(--MID(O66,FIND("-",O66)+1,99),"")))=((AW66)-(AX66)))+2*((IFERROR(--LEFT(O66,FIND("-",O66)-1),""))=(AW66))+2*((IFERROR(--MID(O66,FIND("-",O66)+1,99),""))=(AX66))),""))</f>
        <v>7</v>
      </c>
      <c r="Q66" s="10" t="s">
        <v>33</v>
      </c>
      <c r="R66" s="11">
        <f>IF(OR($C66="",Q66=""),"",IFERROR(IF(AND(IFERROR(--LEFT(Q66,FIND("-",Q66)-1),"")=AW66,IFERROR(--MID(Q66,FIND("-",Q66)+1,99),"")=AX66),10,5*(SIGN((IFERROR(--LEFT(Q66,FIND("-",Q66)-1),""))-(IFERROR(--MID(Q66,FIND("-",Q66)+1,99),"")))=SIGN((AW66)-(AX66)))+2*(((IFERROR(--LEFT(Q66,FIND("-",Q66)-1),""))-(IFERROR(--MID(Q66,FIND("-",Q66)+1,99),"")))=((AW66)-(AX66)))+2*((IFERROR(--LEFT(Q66,FIND("-",Q66)-1),""))=(AW66))+2*((IFERROR(--MID(Q66,FIND("-",Q66)+1,99),""))=(AX66))),""))</f>
        <v>0</v>
      </c>
      <c r="S66" s="10" t="s">
        <v>33</v>
      </c>
      <c r="T66" s="11">
        <f>IF(OR($C66="",S66=""),"",IFERROR(IF(AND(IFERROR(--LEFT(S66,FIND("-",S66)-1),"")=AW66,IFERROR(--MID(S66,FIND("-",S66)+1,99),"")=AX66),10,5*(SIGN((IFERROR(--LEFT(S66,FIND("-",S66)-1),""))-(IFERROR(--MID(S66,FIND("-",S66)+1,99),"")))=SIGN((AW66)-(AX66)))+2*(((IFERROR(--LEFT(S66,FIND("-",S66)-1),""))-(IFERROR(--MID(S66,FIND("-",S66)+1,99),"")))=((AW66)-(AX66)))+2*((IFERROR(--LEFT(S66,FIND("-",S66)-1),""))=(AW66))+2*((IFERROR(--MID(S66,FIND("-",S66)+1,99),""))=(AX66))),""))</f>
        <v>0</v>
      </c>
      <c r="U66" s="10" t="s">
        <v>48</v>
      </c>
      <c r="V66" s="11">
        <f>IF(OR($C66="",U66=""),"",IFERROR(IF(AND(IFERROR(--LEFT(U66,FIND("-",U66)-1),"")=AW66,IFERROR(--MID(U66,FIND("-",U66)+1,99),"")=AX66),10,5*(SIGN((IFERROR(--LEFT(U66,FIND("-",U66)-1),""))-(IFERROR(--MID(U66,FIND("-",U66)+1,99),"")))=SIGN((AW66)-(AX66)))+2*(((IFERROR(--LEFT(U66,FIND("-",U66)-1),""))-(IFERROR(--MID(U66,FIND("-",U66)+1,99),"")))=((AW66)-(AX66)))+2*((IFERROR(--LEFT(U66,FIND("-",U66)-1),""))=(AW66))+2*((IFERROR(--MID(U66,FIND("-",U66)+1,99),""))=(AX66))),""))</f>
        <v>7</v>
      </c>
      <c r="W66" s="10" t="s">
        <v>48</v>
      </c>
      <c r="X66" s="11">
        <f>IF(OR($C66="",W66=""),"",IFERROR(IF(AND(IFERROR(--LEFT(W66,FIND("-",W66)-1),"")=AW66,IFERROR(--MID(W66,FIND("-",W66)+1,99),"")=AX66),10,5*(SIGN((IFERROR(--LEFT(W66,FIND("-",W66)-1),""))-(IFERROR(--MID(W66,FIND("-",W66)+1,99),"")))=SIGN((AW66)-(AX66)))+2*(((IFERROR(--LEFT(W66,FIND("-",W66)-1),""))-(IFERROR(--MID(W66,FIND("-",W66)+1,99),"")))=((AW66)-(AX66)))+2*((IFERROR(--LEFT(W66,FIND("-",W66)-1),""))=(AW66))+2*((IFERROR(--MID(W66,FIND("-",W66)+1,99),""))=(AX66))),""))</f>
        <v>7</v>
      </c>
      <c r="Y66" s="10" t="s">
        <v>45</v>
      </c>
      <c r="Z66" s="11">
        <f>IF(OR($C66="",Y66=""),"",IFERROR(IF(AND(IFERROR(--LEFT(Y66,FIND("-",Y66)-1),"")=AW66,IFERROR(--MID(Y66,FIND("-",Y66)+1,99),"")=AX66),10,5*(SIGN((IFERROR(--LEFT(Y66,FIND("-",Y66)-1),""))-(IFERROR(--MID(Y66,FIND("-",Y66)+1,99),"")))=SIGN((AW66)-(AX66)))+2*(((IFERROR(--LEFT(Y66,FIND("-",Y66)-1),""))-(IFERROR(--MID(Y66,FIND("-",Y66)+1,99),"")))=((AW66)-(AX66)))+2*((IFERROR(--LEFT(Y66,FIND("-",Y66)-1),""))=(AW66))+2*((IFERROR(--MID(Y66,FIND("-",Y66)+1,99),""))=(AX66))),""))</f>
        <v>5</v>
      </c>
      <c r="AA66" s="10" t="s">
        <v>37</v>
      </c>
      <c r="AB66" s="11">
        <f>IF(OR($C66="",AA66=""),"",IFERROR(IF(AND(IFERROR(--LEFT(AA66,FIND("-",AA66)-1),"")=AW66,IFERROR(--MID(AA66,FIND("-",AA66)+1,99),"")=AX66),10,5*(SIGN((IFERROR(--LEFT(AA66,FIND("-",AA66)-1),""))-(IFERROR(--MID(AA66,FIND("-",AA66)+1,99),"")))=SIGN((AW66)-(AX66)))+2*(((IFERROR(--LEFT(AA66,FIND("-",AA66)-1),""))-(IFERROR(--MID(AA66,FIND("-",AA66)+1,99),"")))=((AW66)-(AX66)))+2*((IFERROR(--LEFT(AA66,FIND("-",AA66)-1),""))=(AW66))+2*((IFERROR(--MID(AA66,FIND("-",AA66)+1,99),""))=(AX66))),""))</f>
        <v>7</v>
      </c>
      <c r="AC66" s="10" t="s">
        <v>37</v>
      </c>
      <c r="AD66" s="11">
        <f>IF(OR($C66="",AC66=""),"",IFERROR(IF(AND(IFERROR(--LEFT(AC66,FIND("-",AC66)-1),"")=AW66,IFERROR(--MID(AC66,FIND("-",AC66)+1,99),"")=AX66),10,5*(SIGN((IFERROR(--LEFT(AC66,FIND("-",AC66)-1),""))-(IFERROR(--MID(AC66,FIND("-",AC66)+1,99),"")))=SIGN((AW66)-(AX66)))+2*(((IFERROR(--LEFT(AC66,FIND("-",AC66)-1),""))-(IFERROR(--MID(AC66,FIND("-",AC66)+1,99),"")))=((AW66)-(AX66)))+2*((IFERROR(--LEFT(AC66,FIND("-",AC66)-1),""))=(AW66))+2*((IFERROR(--MID(AC66,FIND("-",AC66)+1,99),""))=(AX66))),""))</f>
        <v>7</v>
      </c>
      <c r="AE66" s="10" t="s">
        <v>35</v>
      </c>
      <c r="AF66" s="11">
        <f>IF(OR($C66="",AE66=""),"",IFERROR(IF(AND(IFERROR(--LEFT(AE66,FIND("-",AE66)-1),"")=AW66,IFERROR(--MID(AE66,FIND("-",AE66)+1,99),"")=AX66),10,5*(SIGN((IFERROR(--LEFT(AE66,FIND("-",AE66)-1),""))-(IFERROR(--MID(AE66,FIND("-",AE66)+1,99),"")))=SIGN((AW66)-(AX66)))+2*(((IFERROR(--LEFT(AE66,FIND("-",AE66)-1),""))-(IFERROR(--MID(AE66,FIND("-",AE66)+1,99),"")))=((AW66)-(AX66)))+2*((IFERROR(--LEFT(AE66,FIND("-",AE66)-1),""))=(AW66))+2*((IFERROR(--MID(AE66,FIND("-",AE66)+1,99),""))=(AX66))),""))</f>
        <v>2</v>
      </c>
      <c r="AG66" s="10" t="s">
        <v>37</v>
      </c>
      <c r="AH66" s="11">
        <f>IF(OR($C66="",AG66=""),"",IFERROR(IF(AND(IFERROR(--LEFT(AG66,FIND("-",AG66)-1),"")=AW66,IFERROR(--MID(AG66,FIND("-",AG66)+1,99),"")=AX66),10,5*(SIGN((IFERROR(--LEFT(AG66,FIND("-",AG66)-1),""))-(IFERROR(--MID(AG66,FIND("-",AG66)+1,99),"")))=SIGN((AW66)-(AX66)))+2*(((IFERROR(--LEFT(AG66,FIND("-",AG66)-1),""))-(IFERROR(--MID(AG66,FIND("-",AG66)+1,99),"")))=((AW66)-(AX66)))+2*((IFERROR(--LEFT(AG66,FIND("-",AG66)-1),""))=(AW66))+2*((IFERROR(--MID(AG66,FIND("-",AG66)+1,99),""))=(AX66))),""))</f>
        <v>7</v>
      </c>
      <c r="AI66" s="10" t="s">
        <v>37</v>
      </c>
      <c r="AJ66" s="11">
        <f>IF(OR($C66="",AI66=""),"",IFERROR(IF(AND(IFERROR(--LEFT(AI66,FIND("-",AI66)-1),"")=AW66,IFERROR(--MID(AI66,FIND("-",AI66)+1,99),"")=AX66),10,5*(SIGN((IFERROR(--LEFT(AI66,FIND("-",AI66)-1),""))-(IFERROR(--MID(AI66,FIND("-",AI66)+1,99),"")))=SIGN((AW66)-(AX66)))+2*(((IFERROR(--LEFT(AI66,FIND("-",AI66)-1),""))-(IFERROR(--MID(AI66,FIND("-",AI66)+1,99),"")))=((AW66)-(AX66)))+2*((IFERROR(--LEFT(AI66,FIND("-",AI66)-1),""))=(AW66))+2*((IFERROR(--MID(AI66,FIND("-",AI66)+1,99),""))=(AX66))),""))</f>
        <v>7</v>
      </c>
      <c r="AK66" s="10" t="s">
        <v>57</v>
      </c>
      <c r="AL66" s="11">
        <f>IF(OR($C66="",AK66=""),"",IFERROR(IF(AND(IFERROR(--LEFT(AK66,FIND("-",AK66)-1),"")=AW66,IFERROR(--MID(AK66,FIND("-",AK66)+1,99),"")=AX66),10,5*(SIGN((IFERROR(--LEFT(AK66,FIND("-",AK66)-1),""))-(IFERROR(--MID(AK66,FIND("-",AK66)+1,99),"")))=SIGN((AW66)-(AX66)))+2*(((IFERROR(--LEFT(AK66,FIND("-",AK66)-1),""))-(IFERROR(--MID(AK66,FIND("-",AK66)+1,99),"")))=((AW66)-(AX66)))+2*((IFERROR(--LEFT(AK66,FIND("-",AK66)-1),""))=(AW66))+2*((IFERROR(--MID(AK66,FIND("-",AK66)+1,99),""))=(AX66))),""))</f>
        <v>10</v>
      </c>
      <c r="AM66" s="10" t="s">
        <v>48</v>
      </c>
      <c r="AN66" s="11">
        <f>IF(OR($C66="",AM66=""),"",IFERROR(IF(AND(IFERROR(--LEFT(AM66,FIND("-",AM66)-1),"")=AW66,IFERROR(--MID(AM66,FIND("-",AM66)+1,99),"")=AX66),10,5*(SIGN((IFERROR(--LEFT(AM66,FIND("-",AM66)-1),""))-(IFERROR(--MID(AM66,FIND("-",AM66)+1,99),"")))=SIGN((AW66)-(AX66)))+2*(((IFERROR(--LEFT(AM66,FIND("-",AM66)-1),""))-(IFERROR(--MID(AM66,FIND("-",AM66)+1,99),"")))=((AW66)-(AX66)))+2*((IFERROR(--LEFT(AM66,FIND("-",AM66)-1),""))=(AW66))+2*((IFERROR(--MID(AM66,FIND("-",AM66)+1,99),""))=(AX66))),""))</f>
        <v>7</v>
      </c>
      <c r="AO66" s="10" t="s">
        <v>45</v>
      </c>
      <c r="AP66" s="11">
        <f>IF(OR($C66="",AO66=""),"",IFERROR(IF(AND(IFERROR(--LEFT(AO66,FIND("-",AO66)-1),"")=AW66,IFERROR(--MID(AO66,FIND("-",AO66)+1,99),"")=AX66),10,5*(SIGN((IFERROR(--LEFT(AO66,FIND("-",AO66)-1),""))-(IFERROR(--MID(AO66,FIND("-",AO66)+1,99),"")))=SIGN((AW66)-(AX66)))+2*(((IFERROR(--LEFT(AO66,FIND("-",AO66)-1),""))-(IFERROR(--MID(AO66,FIND("-",AO66)+1,99),"")))=((AW66)-(AX66)))+2*((IFERROR(--LEFT(AO66,FIND("-",AO66)-1),""))=(AW66))+2*((IFERROR(--MID(AO66,FIND("-",AO66)+1,99),""))=(AX66))),""))</f>
        <v>5</v>
      </c>
      <c r="AQ66" s="10" t="s">
        <v>37</v>
      </c>
      <c r="AR66" s="11">
        <f>IF(OR($C66="",AQ66=""),"",IFERROR(IF(AND(IFERROR(--LEFT(AQ66,FIND("-",AQ66)-1),"")=AW66,IFERROR(--MID(AQ66,FIND("-",AQ66)+1,99),"")=AX66),10,5*(SIGN((IFERROR(--LEFT(AQ66,FIND("-",AQ66)-1),""))-(IFERROR(--MID(AQ66,FIND("-",AQ66)+1,99),"")))=SIGN((AW66)-(AX66)))+2*(((IFERROR(--LEFT(AQ66,FIND("-",AQ66)-1),""))-(IFERROR(--MID(AQ66,FIND("-",AQ66)+1,99),"")))=((AW66)-(AX66)))+2*((IFERROR(--LEFT(AQ66,FIND("-",AQ66)-1),""))=(AW66))+2*((IFERROR(--MID(AQ66,FIND("-",AQ66)+1,99),""))=(AX66))),""))</f>
        <v>7</v>
      </c>
      <c r="AS66" s="10" t="s">
        <v>35</v>
      </c>
      <c r="AT66" s="11">
        <f>IF(OR($C66="",AS66=""),"",IFERROR(IF(AND(IFERROR(--LEFT(AS66,FIND("-",AS66)-1),"")=AW66,IFERROR(--MID(AS66,FIND("-",AS66)+1,99),"")=AX66),10,5*(SIGN((IFERROR(--LEFT(AS66,FIND("-",AS66)-1),""))-(IFERROR(--MID(AS66,FIND("-",AS66)+1,99),"")))=SIGN((AW66)-(AX66)))+2*(((IFERROR(--LEFT(AS66,FIND("-",AS66)-1),""))-(IFERROR(--MID(AS66,FIND("-",AS66)+1,99),"")))=((AW66)-(AX66)))+2*((IFERROR(--LEFT(AS66,FIND("-",AS66)-1),""))=(AW66))+2*((IFERROR(--MID(AS66,FIND("-",AS66)+1,99),""))=(AX66))),""))</f>
        <v>2</v>
      </c>
      <c r="AU66" s="10" t="s">
        <v>50</v>
      </c>
      <c r="AV66" s="11">
        <f>IF(OR($C66="",AU66=""),"",IFERROR(IF(AND(IFERROR(--LEFT(AU66,FIND("-",AU66)-1),"")=AW66,IFERROR(--MID(AU66,FIND("-",AU66)+1,99),"")=AX66),10,5*(SIGN((IFERROR(--LEFT(AU66,FIND("-",AU66)-1),""))-(IFERROR(--MID(AU66,FIND("-",AU66)+1,99),"")))=SIGN((AW66)-(AX66)))+2*(((IFERROR(--LEFT(AU66,FIND("-",AU66)-1),""))-(IFERROR(--MID(AU66,FIND("-",AU66)+1,99),"")))=((AW66)-(AX66)))+2*((IFERROR(--LEFT(AU66,FIND("-",AU66)-1),""))=(AW66))+2*((IFERROR(--MID(AU66,FIND("-",AU66)+1,99),""))=(AX66))),""))</f>
        <v>0</v>
      </c>
      <c r="AW66" s="11">
        <f>IF($C66="","",IFERROR(--LEFT($C66,FIND("-",$C66)-1),""))</f>
        <v>1</v>
      </c>
      <c r="AX66" s="11">
        <f>IF($C66="","",IFERROR(--MID($C66,FIND("-",$C66)+1,99),""))</f>
        <v>3</v>
      </c>
    </row>
    <row r="67" spans="1:50" ht="18" customHeight="1" x14ac:dyDescent="0.3">
      <c r="A67" s="9">
        <v>1.791666666666667</v>
      </c>
      <c r="B67" s="18" t="s">
        <v>95</v>
      </c>
      <c r="C67" s="10" t="s">
        <v>36</v>
      </c>
      <c r="D67" s="1" t="s">
        <v>97</v>
      </c>
      <c r="E67" s="10" t="s">
        <v>36</v>
      </c>
      <c r="F67" s="11">
        <f>IF(OR($C67="",E67=""),"",IFERROR(IF(AND(IFERROR(--LEFT(E67,FIND("-",E67)-1),"")=AW67,IFERROR(--MID(E67,FIND("-",E67)+1,99),"")=AX67),10,5*(SIGN((IFERROR(--LEFT(E67,FIND("-",E67)-1),""))-(IFERROR(--MID(E67,FIND("-",E67)+1,99),"")))=SIGN((AW67)-(AX67)))+2*(((IFERROR(--LEFT(E67,FIND("-",E67)-1),""))-(IFERROR(--MID(E67,FIND("-",E67)+1,99),"")))=((AW67)-(AX67)))+2*((IFERROR(--LEFT(E67,FIND("-",E67)-1),""))=(AW67))+2*((IFERROR(--MID(E67,FIND("-",E67)+1,99),""))=(AX67))),""))</f>
        <v>10</v>
      </c>
      <c r="G67" s="10" t="s">
        <v>33</v>
      </c>
      <c r="H67" s="11">
        <f>IF(OR($C67="",G67=""),"",IFERROR(IF(AND(IFERROR(--LEFT(G67,FIND("-",G67)-1),"")=AW67,IFERROR(--MID(G67,FIND("-",G67)+1,99),"")=AX67),10,5*(SIGN((IFERROR(--LEFT(G67,FIND("-",G67)-1),""))-(IFERROR(--MID(G67,FIND("-",G67)+1,99),"")))=SIGN((AW67)-(AX67)))+2*(((IFERROR(--LEFT(G67,FIND("-",G67)-1),""))-(IFERROR(--MID(G67,FIND("-",G67)+1,99),"")))=((AW67)-(AX67)))+2*((IFERROR(--LEFT(G67,FIND("-",G67)-1),""))=(AW67))+2*((IFERROR(--MID(G67,FIND("-",G67)+1,99),""))=(AX67))),""))</f>
        <v>7</v>
      </c>
      <c r="I67" s="10" t="s">
        <v>36</v>
      </c>
      <c r="J67" s="11">
        <f>IF(OR($C67="",I67=""),"",IFERROR(IF(AND(IFERROR(--LEFT(I67,FIND("-",I67)-1),"")=AW67,IFERROR(--MID(I67,FIND("-",I67)+1,99),"")=AX67),10,5*(SIGN((IFERROR(--LEFT(I67,FIND("-",I67)-1),""))-(IFERROR(--MID(I67,FIND("-",I67)+1,99),"")))=SIGN((AW67)-(AX67)))+2*(((IFERROR(--LEFT(I67,FIND("-",I67)-1),""))-(IFERROR(--MID(I67,FIND("-",I67)+1,99),"")))=((AW67)-(AX67)))+2*((IFERROR(--LEFT(I67,FIND("-",I67)-1),""))=(AW67))+2*((IFERROR(--MID(I67,FIND("-",I67)+1,99),""))=(AX67))),""))</f>
        <v>10</v>
      </c>
      <c r="K67" s="10" t="s">
        <v>43</v>
      </c>
      <c r="L67" s="11">
        <f>IF(OR($C67="",K67=""),"",IFERROR(IF(AND(IFERROR(--LEFT(K67,FIND("-",K67)-1),"")=AW67,IFERROR(--MID(K67,FIND("-",K67)+1,99),"")=AX67),10,5*(SIGN((IFERROR(--LEFT(K67,FIND("-",K67)-1),""))-(IFERROR(--MID(K67,FIND("-",K67)+1,99),"")))=SIGN((AW67)-(AX67)))+2*(((IFERROR(--LEFT(K67,FIND("-",K67)-1),""))-(IFERROR(--MID(K67,FIND("-",K67)+1,99),"")))=((AW67)-(AX67)))+2*((IFERROR(--LEFT(K67,FIND("-",K67)-1),""))=(AW67))+2*((IFERROR(--MID(K67,FIND("-",K67)+1,99),""))=(AX67))),""))</f>
        <v>5</v>
      </c>
      <c r="M67" s="10" t="s">
        <v>49</v>
      </c>
      <c r="N67" s="11">
        <f>IF(OR($C67="",M67=""),"",IFERROR(IF(AND(IFERROR(--LEFT(M67,FIND("-",M67)-1),"")=AW67,IFERROR(--MID(M67,FIND("-",M67)+1,99),"")=AX67),10,5*(SIGN((IFERROR(--LEFT(M67,FIND("-",M67)-1),""))-(IFERROR(--MID(M67,FIND("-",M67)+1,99),"")))=SIGN((AW67)-(AX67)))+2*(((IFERROR(--LEFT(M67,FIND("-",M67)-1),""))-(IFERROR(--MID(M67,FIND("-",M67)+1,99),"")))=((AW67)-(AX67)))+2*((IFERROR(--LEFT(M67,FIND("-",M67)-1),""))=(AW67))+2*((IFERROR(--MID(M67,FIND("-",M67)+1,99),""))=(AX67))),""))</f>
        <v>2</v>
      </c>
      <c r="O67" s="10" t="s">
        <v>33</v>
      </c>
      <c r="P67" s="11">
        <f>IF(OR($C67="",O67=""),"",IFERROR(IF(AND(IFERROR(--LEFT(O67,FIND("-",O67)-1),"")=AW67,IFERROR(--MID(O67,FIND("-",O67)+1,99),"")=AX67),10,5*(SIGN((IFERROR(--LEFT(O67,FIND("-",O67)-1),""))-(IFERROR(--MID(O67,FIND("-",O67)+1,99),"")))=SIGN((AW67)-(AX67)))+2*(((IFERROR(--LEFT(O67,FIND("-",O67)-1),""))-(IFERROR(--MID(O67,FIND("-",O67)+1,99),"")))=((AW67)-(AX67)))+2*((IFERROR(--LEFT(O67,FIND("-",O67)-1),""))=(AW67))+2*((IFERROR(--MID(O67,FIND("-",O67)+1,99),""))=(AX67))),""))</f>
        <v>7</v>
      </c>
      <c r="Q67" s="10" t="s">
        <v>61</v>
      </c>
      <c r="R67" s="11">
        <f>IF(OR($C67="",Q67=""),"",IFERROR(IF(AND(IFERROR(--LEFT(Q67,FIND("-",Q67)-1),"")=AW67,IFERROR(--MID(Q67,FIND("-",Q67)+1,99),"")=AX67),10,5*(SIGN((IFERROR(--LEFT(Q67,FIND("-",Q67)-1),""))-(IFERROR(--MID(Q67,FIND("-",Q67)+1,99),"")))=SIGN((AW67)-(AX67)))+2*(((IFERROR(--LEFT(Q67,FIND("-",Q67)-1),""))-(IFERROR(--MID(Q67,FIND("-",Q67)+1,99),"")))=((AW67)-(AX67)))+2*((IFERROR(--LEFT(Q67,FIND("-",Q67)-1),""))=(AW67))+2*((IFERROR(--MID(Q67,FIND("-",Q67)+1,99),""))=(AX67))),""))</f>
        <v>5</v>
      </c>
      <c r="S67" s="10" t="s">
        <v>63</v>
      </c>
      <c r="T67" s="11">
        <f>IF(OR($C67="",S67=""),"",IFERROR(IF(AND(IFERROR(--LEFT(S67,FIND("-",S67)-1),"")=AW67,IFERROR(--MID(S67,FIND("-",S67)+1,99),"")=AX67),10,5*(SIGN((IFERROR(--LEFT(S67,FIND("-",S67)-1),""))-(IFERROR(--MID(S67,FIND("-",S67)+1,99),"")))=SIGN((AW67)-(AX67)))+2*(((IFERROR(--LEFT(S67,FIND("-",S67)-1),""))-(IFERROR(--MID(S67,FIND("-",S67)+1,99),"")))=((AW67)-(AX67)))+2*((IFERROR(--LEFT(S67,FIND("-",S67)-1),""))=(AW67))+2*((IFERROR(--MID(S67,FIND("-",S67)+1,99),""))=(AX67))),""))</f>
        <v>7</v>
      </c>
      <c r="U67" s="10" t="s">
        <v>39</v>
      </c>
      <c r="V67" s="11">
        <f>IF(OR($C67="",U67=""),"",IFERROR(IF(AND(IFERROR(--LEFT(U67,FIND("-",U67)-1),"")=AW67,IFERROR(--MID(U67,FIND("-",U67)+1,99),"")=AX67),10,5*(SIGN((IFERROR(--LEFT(U67,FIND("-",U67)-1),""))-(IFERROR(--MID(U67,FIND("-",U67)+1,99),"")))=SIGN((AW67)-(AX67)))+2*(((IFERROR(--LEFT(U67,FIND("-",U67)-1),""))-(IFERROR(--MID(U67,FIND("-",U67)+1,99),"")))=((AW67)-(AX67)))+2*((IFERROR(--LEFT(U67,FIND("-",U67)-1),""))=(AW67))+2*((IFERROR(--MID(U67,FIND("-",U67)+1,99),""))=(AX67))),""))</f>
        <v>7</v>
      </c>
      <c r="W67" s="10" t="s">
        <v>33</v>
      </c>
      <c r="X67" s="11">
        <f>IF(OR($C67="",W67=""),"",IFERROR(IF(AND(IFERROR(--LEFT(W67,FIND("-",W67)-1),"")=AW67,IFERROR(--MID(W67,FIND("-",W67)+1,99),"")=AX67),10,5*(SIGN((IFERROR(--LEFT(W67,FIND("-",W67)-1),""))-(IFERROR(--MID(W67,FIND("-",W67)+1,99),"")))=SIGN((AW67)-(AX67)))+2*(((IFERROR(--LEFT(W67,FIND("-",W67)-1),""))-(IFERROR(--MID(W67,FIND("-",W67)+1,99),"")))=((AW67)-(AX67)))+2*((IFERROR(--LEFT(W67,FIND("-",W67)-1),""))=(AW67))+2*((IFERROR(--MID(W67,FIND("-",W67)+1,99),""))=(AX67))),""))</f>
        <v>7</v>
      </c>
      <c r="Y67" s="10" t="s">
        <v>35</v>
      </c>
      <c r="Z67" s="11">
        <f>IF(OR($C67="",Y67=""),"",IFERROR(IF(AND(IFERROR(--LEFT(Y67,FIND("-",Y67)-1),"")=AW67,IFERROR(--MID(Y67,FIND("-",Y67)+1,99),"")=AX67),10,5*(SIGN((IFERROR(--LEFT(Y67,FIND("-",Y67)-1),""))-(IFERROR(--MID(Y67,FIND("-",Y67)+1,99),"")))=SIGN((AW67)-(AX67)))+2*(((IFERROR(--LEFT(Y67,FIND("-",Y67)-1),""))-(IFERROR(--MID(Y67,FIND("-",Y67)+1,99),"")))=((AW67)-(AX67)))+2*((IFERROR(--LEFT(Y67,FIND("-",Y67)-1),""))=(AW67))+2*((IFERROR(--MID(Y67,FIND("-",Y67)+1,99),""))=(AX67))),""))</f>
        <v>0</v>
      </c>
      <c r="AA67" s="10" t="s">
        <v>36</v>
      </c>
      <c r="AB67" s="11">
        <f>IF(OR($C67="",AA67=""),"",IFERROR(IF(AND(IFERROR(--LEFT(AA67,FIND("-",AA67)-1),"")=AW67,IFERROR(--MID(AA67,FIND("-",AA67)+1,99),"")=AX67),10,5*(SIGN((IFERROR(--LEFT(AA67,FIND("-",AA67)-1),""))-(IFERROR(--MID(AA67,FIND("-",AA67)+1,99),"")))=SIGN((AW67)-(AX67)))+2*(((IFERROR(--LEFT(AA67,FIND("-",AA67)-1),""))-(IFERROR(--MID(AA67,FIND("-",AA67)+1,99),"")))=((AW67)-(AX67)))+2*((IFERROR(--LEFT(AA67,FIND("-",AA67)-1),""))=(AW67))+2*((IFERROR(--MID(AA67,FIND("-",AA67)+1,99),""))=(AX67))),""))</f>
        <v>10</v>
      </c>
      <c r="AC67" s="10" t="s">
        <v>34</v>
      </c>
      <c r="AD67" s="11">
        <f>IF(OR($C67="",AC67=""),"",IFERROR(IF(AND(IFERROR(--LEFT(AC67,FIND("-",AC67)-1),"")=AW67,IFERROR(--MID(AC67,FIND("-",AC67)+1,99),"")=AX67),10,5*(SIGN((IFERROR(--LEFT(AC67,FIND("-",AC67)-1),""))-(IFERROR(--MID(AC67,FIND("-",AC67)+1,99),"")))=SIGN((AW67)-(AX67)))+2*(((IFERROR(--LEFT(AC67,FIND("-",AC67)-1),""))-(IFERROR(--MID(AC67,FIND("-",AC67)+1,99),"")))=((AW67)-(AX67)))+2*((IFERROR(--LEFT(AC67,FIND("-",AC67)-1),""))=(AW67))+2*((IFERROR(--MID(AC67,FIND("-",AC67)+1,99),""))=(AX67))),""))</f>
        <v>7</v>
      </c>
      <c r="AE67" s="10" t="s">
        <v>36</v>
      </c>
      <c r="AF67" s="11">
        <f>IF(OR($C67="",AE67=""),"",IFERROR(IF(AND(IFERROR(--LEFT(AE67,FIND("-",AE67)-1),"")=AW67,IFERROR(--MID(AE67,FIND("-",AE67)+1,99),"")=AX67),10,5*(SIGN((IFERROR(--LEFT(AE67,FIND("-",AE67)-1),""))-(IFERROR(--MID(AE67,FIND("-",AE67)+1,99),"")))=SIGN((AW67)-(AX67)))+2*(((IFERROR(--LEFT(AE67,FIND("-",AE67)-1),""))-(IFERROR(--MID(AE67,FIND("-",AE67)+1,99),"")))=((AW67)-(AX67)))+2*((IFERROR(--LEFT(AE67,FIND("-",AE67)-1),""))=(AW67))+2*((IFERROR(--MID(AE67,FIND("-",AE67)+1,99),""))=(AX67))),""))</f>
        <v>10</v>
      </c>
      <c r="AG67" s="10" t="s">
        <v>38</v>
      </c>
      <c r="AH67" s="11">
        <f>IF(OR($C67="",AG67=""),"",IFERROR(IF(AND(IFERROR(--LEFT(AG67,FIND("-",AG67)-1),"")=AW67,IFERROR(--MID(AG67,FIND("-",AG67)+1,99),"")=AX67),10,5*(SIGN((IFERROR(--LEFT(AG67,FIND("-",AG67)-1),""))-(IFERROR(--MID(AG67,FIND("-",AG67)+1,99),"")))=SIGN((AW67)-(AX67)))+2*(((IFERROR(--LEFT(AG67,FIND("-",AG67)-1),""))-(IFERROR(--MID(AG67,FIND("-",AG67)+1,99),"")))=((AW67)-(AX67)))+2*((IFERROR(--LEFT(AG67,FIND("-",AG67)-1),""))=(AW67))+2*((IFERROR(--MID(AG67,FIND("-",AG67)+1,99),""))=(AX67))),""))</f>
        <v>7</v>
      </c>
      <c r="AI67" s="10" t="s">
        <v>35</v>
      </c>
      <c r="AJ67" s="11">
        <f>IF(OR($C67="",AI67=""),"",IFERROR(IF(AND(IFERROR(--LEFT(AI67,FIND("-",AI67)-1),"")=AW67,IFERROR(--MID(AI67,FIND("-",AI67)+1,99),"")=AX67),10,5*(SIGN((IFERROR(--LEFT(AI67,FIND("-",AI67)-1),""))-(IFERROR(--MID(AI67,FIND("-",AI67)+1,99),"")))=SIGN((AW67)-(AX67)))+2*(((IFERROR(--LEFT(AI67,FIND("-",AI67)-1),""))-(IFERROR(--MID(AI67,FIND("-",AI67)+1,99),"")))=((AW67)-(AX67)))+2*((IFERROR(--LEFT(AI67,FIND("-",AI67)-1),""))=(AW67))+2*((IFERROR(--MID(AI67,FIND("-",AI67)+1,99),""))=(AX67))),""))</f>
        <v>0</v>
      </c>
      <c r="AK67" s="10" t="s">
        <v>36</v>
      </c>
      <c r="AL67" s="11">
        <f>IF(OR($C67="",AK67=""),"",IFERROR(IF(AND(IFERROR(--LEFT(AK67,FIND("-",AK67)-1),"")=AW67,IFERROR(--MID(AK67,FIND("-",AK67)+1,99),"")=AX67),10,5*(SIGN((IFERROR(--LEFT(AK67,FIND("-",AK67)-1),""))-(IFERROR(--MID(AK67,FIND("-",AK67)+1,99),"")))=SIGN((AW67)-(AX67)))+2*(((IFERROR(--LEFT(AK67,FIND("-",AK67)-1),""))-(IFERROR(--MID(AK67,FIND("-",AK67)+1,99),"")))=((AW67)-(AX67)))+2*((IFERROR(--LEFT(AK67,FIND("-",AK67)-1),""))=(AW67))+2*((IFERROR(--MID(AK67,FIND("-",AK67)+1,99),""))=(AX67))),""))</f>
        <v>10</v>
      </c>
      <c r="AM67" s="10" t="s">
        <v>36</v>
      </c>
      <c r="AN67" s="11">
        <f>IF(OR($C67="",AM67=""),"",IFERROR(IF(AND(IFERROR(--LEFT(AM67,FIND("-",AM67)-1),"")=AW67,IFERROR(--MID(AM67,FIND("-",AM67)+1,99),"")=AX67),10,5*(SIGN((IFERROR(--LEFT(AM67,FIND("-",AM67)-1),""))-(IFERROR(--MID(AM67,FIND("-",AM67)+1,99),"")))=SIGN((AW67)-(AX67)))+2*(((IFERROR(--LEFT(AM67,FIND("-",AM67)-1),""))-(IFERROR(--MID(AM67,FIND("-",AM67)+1,99),"")))=((AW67)-(AX67)))+2*((IFERROR(--LEFT(AM67,FIND("-",AM67)-1),""))=(AW67))+2*((IFERROR(--MID(AM67,FIND("-",AM67)+1,99),""))=(AX67))),""))</f>
        <v>10</v>
      </c>
      <c r="AO67" s="10" t="s">
        <v>34</v>
      </c>
      <c r="AP67" s="11">
        <f>IF(OR($C67="",AO67=""),"",IFERROR(IF(AND(IFERROR(--LEFT(AO67,FIND("-",AO67)-1),"")=AW67,IFERROR(--MID(AO67,FIND("-",AO67)+1,99),"")=AX67),10,5*(SIGN((IFERROR(--LEFT(AO67,FIND("-",AO67)-1),""))-(IFERROR(--MID(AO67,FIND("-",AO67)+1,99),"")))=SIGN((AW67)-(AX67)))+2*(((IFERROR(--LEFT(AO67,FIND("-",AO67)-1),""))-(IFERROR(--MID(AO67,FIND("-",AO67)+1,99),"")))=((AW67)-(AX67)))+2*((IFERROR(--LEFT(AO67,FIND("-",AO67)-1),""))=(AW67))+2*((IFERROR(--MID(AO67,FIND("-",AO67)+1,99),""))=(AX67))),""))</f>
        <v>7</v>
      </c>
      <c r="AQ67" s="10" t="s">
        <v>49</v>
      </c>
      <c r="AR67" s="11">
        <f>IF(OR($C67="",AQ67=""),"",IFERROR(IF(AND(IFERROR(--LEFT(AQ67,FIND("-",AQ67)-1),"")=AW67,IFERROR(--MID(AQ67,FIND("-",AQ67)+1,99),"")=AX67),10,5*(SIGN((IFERROR(--LEFT(AQ67,FIND("-",AQ67)-1),""))-(IFERROR(--MID(AQ67,FIND("-",AQ67)+1,99),"")))=SIGN((AW67)-(AX67)))+2*(((IFERROR(--LEFT(AQ67,FIND("-",AQ67)-1),""))-(IFERROR(--MID(AQ67,FIND("-",AQ67)+1,99),"")))=((AW67)-(AX67)))+2*((IFERROR(--LEFT(AQ67,FIND("-",AQ67)-1),""))=(AW67))+2*((IFERROR(--MID(AQ67,FIND("-",AQ67)+1,99),""))=(AX67))),""))</f>
        <v>2</v>
      </c>
      <c r="AS67" s="10" t="s">
        <v>35</v>
      </c>
      <c r="AT67" s="11">
        <f>IF(OR($C67="",AS67=""),"",IFERROR(IF(AND(IFERROR(--LEFT(AS67,FIND("-",AS67)-1),"")=AW67,IFERROR(--MID(AS67,FIND("-",AS67)+1,99),"")=AX67),10,5*(SIGN((IFERROR(--LEFT(AS67,FIND("-",AS67)-1),""))-(IFERROR(--MID(AS67,FIND("-",AS67)+1,99),"")))=SIGN((AW67)-(AX67)))+2*(((IFERROR(--LEFT(AS67,FIND("-",AS67)-1),""))-(IFERROR(--MID(AS67,FIND("-",AS67)+1,99),"")))=((AW67)-(AX67)))+2*((IFERROR(--LEFT(AS67,FIND("-",AS67)-1),""))=(AW67))+2*((IFERROR(--MID(AS67,FIND("-",AS67)+1,99),""))=(AX67))),""))</f>
        <v>0</v>
      </c>
      <c r="AU67" s="10" t="s">
        <v>34</v>
      </c>
      <c r="AV67" s="11">
        <f>IF(OR($C67="",AU67=""),"",IFERROR(IF(AND(IFERROR(--LEFT(AU67,FIND("-",AU67)-1),"")=AW67,IFERROR(--MID(AU67,FIND("-",AU67)+1,99),"")=AX67),10,5*(SIGN((IFERROR(--LEFT(AU67,FIND("-",AU67)-1),""))-(IFERROR(--MID(AU67,FIND("-",AU67)+1,99),"")))=SIGN((AW67)-(AX67)))+2*(((IFERROR(--LEFT(AU67,FIND("-",AU67)-1),""))-(IFERROR(--MID(AU67,FIND("-",AU67)+1,99),"")))=((AW67)-(AX67)))+2*((IFERROR(--LEFT(AU67,FIND("-",AU67)-1),""))=(AW67))+2*((IFERROR(--MID(AU67,FIND("-",AU67)+1,99),""))=(AX67))),""))</f>
        <v>7</v>
      </c>
      <c r="AW67" s="11">
        <f>IF($C67="","",IFERROR(--LEFT($C67,FIND("-",$C67)-1),""))</f>
        <v>2</v>
      </c>
      <c r="AX67" s="11">
        <f>IF($C67="","",IFERROR(--MID($C67,FIND("-",$C67)+1,99),""))</f>
        <v>0</v>
      </c>
    </row>
    <row r="68" spans="1:50" ht="18" customHeight="1" x14ac:dyDescent="0.3">
      <c r="A68" s="9">
        <v>1.958333333333333</v>
      </c>
      <c r="B68" s="18" t="s">
        <v>89</v>
      </c>
      <c r="C68" s="10" t="s">
        <v>38</v>
      </c>
      <c r="D68" s="1" t="s">
        <v>93</v>
      </c>
      <c r="E68" s="10" t="s">
        <v>63</v>
      </c>
      <c r="F68" s="11">
        <f>IF(OR($C68="",E68=""),"",IFERROR(IF(AND(IFERROR(--LEFT(E68,FIND("-",E68)-1),"")=AW68,IFERROR(--MID(E68,FIND("-",E68)+1,99),"")=AX68),10,5*(SIGN((IFERROR(--LEFT(E68,FIND("-",E68)-1),""))-(IFERROR(--MID(E68,FIND("-",E68)+1,99),"")))=SIGN((AW68)-(AX68)))+2*(((IFERROR(--LEFT(E68,FIND("-",E68)-1),""))-(IFERROR(--MID(E68,FIND("-",E68)+1,99),"")))=((AW68)-(AX68)))+2*((IFERROR(--LEFT(E68,FIND("-",E68)-1),""))=(AW68))+2*((IFERROR(--MID(E68,FIND("-",E68)+1,99),""))=(AX68))),""))</f>
        <v>7</v>
      </c>
      <c r="G68" s="10" t="s">
        <v>63</v>
      </c>
      <c r="H68" s="11">
        <f>IF(OR($C68="",G68=""),"",IFERROR(IF(AND(IFERROR(--LEFT(G68,FIND("-",G68)-1),"")=AW68,IFERROR(--MID(G68,FIND("-",G68)+1,99),"")=AX68),10,5*(SIGN((IFERROR(--LEFT(G68,FIND("-",G68)-1),""))-(IFERROR(--MID(G68,FIND("-",G68)+1,99),"")))=SIGN((AW68)-(AX68)))+2*(((IFERROR(--LEFT(G68,FIND("-",G68)-1),""))-(IFERROR(--MID(G68,FIND("-",G68)+1,99),"")))=((AW68)-(AX68)))+2*((IFERROR(--LEFT(G68,FIND("-",G68)-1),""))=(AW68))+2*((IFERROR(--MID(G68,FIND("-",G68)+1,99),""))=(AX68))),""))</f>
        <v>7</v>
      </c>
      <c r="I68" s="10" t="s">
        <v>36</v>
      </c>
      <c r="J68" s="11">
        <f>IF(OR($C68="",I68=""),"",IFERROR(IF(AND(IFERROR(--LEFT(I68,FIND("-",I68)-1),"")=AW68,IFERROR(--MID(I68,FIND("-",I68)+1,99),"")=AX68),10,5*(SIGN((IFERROR(--LEFT(I68,FIND("-",I68)-1),""))-(IFERROR(--MID(I68,FIND("-",I68)+1,99),"")))=SIGN((AW68)-(AX68)))+2*(((IFERROR(--LEFT(I68,FIND("-",I68)-1),""))-(IFERROR(--MID(I68,FIND("-",I68)+1,99),"")))=((AW68)-(AX68)))+2*((IFERROR(--LEFT(I68,FIND("-",I68)-1),""))=(AW68))+2*((IFERROR(--MID(I68,FIND("-",I68)+1,99),""))=(AX68))),""))</f>
        <v>7</v>
      </c>
      <c r="K68" s="10" t="s">
        <v>71</v>
      </c>
      <c r="L68" s="11">
        <f>IF(OR($C68="",K68=""),"",IFERROR(IF(AND(IFERROR(--LEFT(K68,FIND("-",K68)-1),"")=AW68,IFERROR(--MID(K68,FIND("-",K68)+1,99),"")=AX68),10,5*(SIGN((IFERROR(--LEFT(K68,FIND("-",K68)-1),""))-(IFERROR(--MID(K68,FIND("-",K68)+1,99),"")))=SIGN((AW68)-(AX68)))+2*(((IFERROR(--LEFT(K68,FIND("-",K68)-1),""))-(IFERROR(--MID(K68,FIND("-",K68)+1,99),"")))=((AW68)-(AX68)))+2*((IFERROR(--LEFT(K68,FIND("-",K68)-1),""))=(AW68))+2*((IFERROR(--MID(K68,FIND("-",K68)+1,99),""))=(AX68))),""))</f>
        <v>7</v>
      </c>
      <c r="M68" s="10" t="s">
        <v>38</v>
      </c>
      <c r="N68" s="11">
        <f>IF(OR($C68="",M68=""),"",IFERROR(IF(AND(IFERROR(--LEFT(M68,FIND("-",M68)-1),"")=AW68,IFERROR(--MID(M68,FIND("-",M68)+1,99),"")=AX68),10,5*(SIGN((IFERROR(--LEFT(M68,FIND("-",M68)-1),""))-(IFERROR(--MID(M68,FIND("-",M68)+1,99),"")))=SIGN((AW68)-(AX68)))+2*(((IFERROR(--LEFT(M68,FIND("-",M68)-1),""))-(IFERROR(--MID(M68,FIND("-",M68)+1,99),"")))=((AW68)-(AX68)))+2*((IFERROR(--LEFT(M68,FIND("-",M68)-1),""))=(AW68))+2*((IFERROR(--MID(M68,FIND("-",M68)+1,99),""))=(AX68))),""))</f>
        <v>10</v>
      </c>
      <c r="O68" s="10" t="s">
        <v>63</v>
      </c>
      <c r="P68" s="11">
        <f>IF(OR($C68="",O68=""),"",IFERROR(IF(AND(IFERROR(--LEFT(O68,FIND("-",O68)-1),"")=AW68,IFERROR(--MID(O68,FIND("-",O68)+1,99),"")=AX68),10,5*(SIGN((IFERROR(--LEFT(O68,FIND("-",O68)-1),""))-(IFERROR(--MID(O68,FIND("-",O68)+1,99),"")))=SIGN((AW68)-(AX68)))+2*(((IFERROR(--LEFT(O68,FIND("-",O68)-1),""))-(IFERROR(--MID(O68,FIND("-",O68)+1,99),"")))=((AW68)-(AX68)))+2*((IFERROR(--LEFT(O68,FIND("-",O68)-1),""))=(AW68))+2*((IFERROR(--MID(O68,FIND("-",O68)+1,99),""))=(AX68))),""))</f>
        <v>7</v>
      </c>
      <c r="Q68" s="10" t="s">
        <v>71</v>
      </c>
      <c r="R68" s="11">
        <f>IF(OR($C68="",Q68=""),"",IFERROR(IF(AND(IFERROR(--LEFT(Q68,FIND("-",Q68)-1),"")=AW68,IFERROR(--MID(Q68,FIND("-",Q68)+1,99),"")=AX68),10,5*(SIGN((IFERROR(--LEFT(Q68,FIND("-",Q68)-1),""))-(IFERROR(--MID(Q68,FIND("-",Q68)+1,99),"")))=SIGN((AW68)-(AX68)))+2*(((IFERROR(--LEFT(Q68,FIND("-",Q68)-1),""))-(IFERROR(--MID(Q68,FIND("-",Q68)+1,99),"")))=((AW68)-(AX68)))+2*((IFERROR(--LEFT(Q68,FIND("-",Q68)-1),""))=(AW68))+2*((IFERROR(--MID(Q68,FIND("-",Q68)+1,99),""))=(AX68))),""))</f>
        <v>7</v>
      </c>
      <c r="S68" s="10" t="s">
        <v>63</v>
      </c>
      <c r="T68" s="11">
        <f>IF(OR($C68="",S68=""),"",IFERROR(IF(AND(IFERROR(--LEFT(S68,FIND("-",S68)-1),"")=AW68,IFERROR(--MID(S68,FIND("-",S68)+1,99),"")=AX68),10,5*(SIGN((IFERROR(--LEFT(S68,FIND("-",S68)-1),""))-(IFERROR(--MID(S68,FIND("-",S68)+1,99),"")))=SIGN((AW68)-(AX68)))+2*(((IFERROR(--LEFT(S68,FIND("-",S68)-1),""))-(IFERROR(--MID(S68,FIND("-",S68)+1,99),"")))=((AW68)-(AX68)))+2*((IFERROR(--LEFT(S68,FIND("-",S68)-1),""))=(AW68))+2*((IFERROR(--MID(S68,FIND("-",S68)+1,99),""))=(AX68))),""))</f>
        <v>7</v>
      </c>
      <c r="U68" s="10" t="s">
        <v>38</v>
      </c>
      <c r="V68" s="11">
        <f>IF(OR($C68="",U68=""),"",IFERROR(IF(AND(IFERROR(--LEFT(U68,FIND("-",U68)-1),"")=AW68,IFERROR(--MID(U68,FIND("-",U68)+1,99),"")=AX68),10,5*(SIGN((IFERROR(--LEFT(U68,FIND("-",U68)-1),""))-(IFERROR(--MID(U68,FIND("-",U68)+1,99),"")))=SIGN((AW68)-(AX68)))+2*(((IFERROR(--LEFT(U68,FIND("-",U68)-1),""))-(IFERROR(--MID(U68,FIND("-",U68)+1,99),"")))=((AW68)-(AX68)))+2*((IFERROR(--LEFT(U68,FIND("-",U68)-1),""))=(AW68))+2*((IFERROR(--MID(U68,FIND("-",U68)+1,99),""))=(AX68))),""))</f>
        <v>10</v>
      </c>
      <c r="W68" s="10" t="s">
        <v>36</v>
      </c>
      <c r="X68" s="11">
        <f>IF(OR($C68="",W68=""),"",IFERROR(IF(AND(IFERROR(--LEFT(W68,FIND("-",W68)-1),"")=AW68,IFERROR(--MID(W68,FIND("-",W68)+1,99),"")=AX68),10,5*(SIGN((IFERROR(--LEFT(W68,FIND("-",W68)-1),""))-(IFERROR(--MID(W68,FIND("-",W68)+1,99),"")))=SIGN((AW68)-(AX68)))+2*(((IFERROR(--LEFT(W68,FIND("-",W68)-1),""))-(IFERROR(--MID(W68,FIND("-",W68)+1,99),"")))=((AW68)-(AX68)))+2*((IFERROR(--LEFT(W68,FIND("-",W68)-1),""))=(AW68))+2*((IFERROR(--MID(W68,FIND("-",W68)+1,99),""))=(AX68))),""))</f>
        <v>7</v>
      </c>
      <c r="Y68" s="10" t="s">
        <v>38</v>
      </c>
      <c r="Z68" s="11">
        <f>IF(OR($C68="",Y68=""),"",IFERROR(IF(AND(IFERROR(--LEFT(Y68,FIND("-",Y68)-1),"")=AW68,IFERROR(--MID(Y68,FIND("-",Y68)+1,99),"")=AX68),10,5*(SIGN((IFERROR(--LEFT(Y68,FIND("-",Y68)-1),""))-(IFERROR(--MID(Y68,FIND("-",Y68)+1,99),"")))=SIGN((AW68)-(AX68)))+2*(((IFERROR(--LEFT(Y68,FIND("-",Y68)-1),""))-(IFERROR(--MID(Y68,FIND("-",Y68)+1,99),"")))=((AW68)-(AX68)))+2*((IFERROR(--LEFT(Y68,FIND("-",Y68)-1),""))=(AW68))+2*((IFERROR(--MID(Y68,FIND("-",Y68)+1,99),""))=(AX68))),""))</f>
        <v>10</v>
      </c>
      <c r="AA68" s="10" t="s">
        <v>38</v>
      </c>
      <c r="AB68" s="11">
        <f>IF(OR($C68="",AA68=""),"",IFERROR(IF(AND(IFERROR(--LEFT(AA68,FIND("-",AA68)-1),"")=AW68,IFERROR(--MID(AA68,FIND("-",AA68)+1,99),"")=AX68),10,5*(SIGN((IFERROR(--LEFT(AA68,FIND("-",AA68)-1),""))-(IFERROR(--MID(AA68,FIND("-",AA68)+1,99),"")))=SIGN((AW68)-(AX68)))+2*(((IFERROR(--LEFT(AA68,FIND("-",AA68)-1),""))-(IFERROR(--MID(AA68,FIND("-",AA68)+1,99),"")))=((AW68)-(AX68)))+2*((IFERROR(--LEFT(AA68,FIND("-",AA68)-1),""))=(AW68))+2*((IFERROR(--MID(AA68,FIND("-",AA68)+1,99),""))=(AX68))),""))</f>
        <v>10</v>
      </c>
      <c r="AC68" s="10" t="s">
        <v>38</v>
      </c>
      <c r="AD68" s="11">
        <f>IF(OR($C68="",AC68=""),"",IFERROR(IF(AND(IFERROR(--LEFT(AC68,FIND("-",AC68)-1),"")=AW68,IFERROR(--MID(AC68,FIND("-",AC68)+1,99),"")=AX68),10,5*(SIGN((IFERROR(--LEFT(AC68,FIND("-",AC68)-1),""))-(IFERROR(--MID(AC68,FIND("-",AC68)+1,99),"")))=SIGN((AW68)-(AX68)))+2*(((IFERROR(--LEFT(AC68,FIND("-",AC68)-1),""))-(IFERROR(--MID(AC68,FIND("-",AC68)+1,99),"")))=((AW68)-(AX68)))+2*((IFERROR(--LEFT(AC68,FIND("-",AC68)-1),""))=(AW68))+2*((IFERROR(--MID(AC68,FIND("-",AC68)+1,99),""))=(AX68))),""))</f>
        <v>10</v>
      </c>
      <c r="AE68" s="10" t="s">
        <v>38</v>
      </c>
      <c r="AF68" s="11">
        <f>IF(OR($C68="",AE68=""),"",IFERROR(IF(AND(IFERROR(--LEFT(AE68,FIND("-",AE68)-1),"")=AW68,IFERROR(--MID(AE68,FIND("-",AE68)+1,99),"")=AX68),10,5*(SIGN((IFERROR(--LEFT(AE68,FIND("-",AE68)-1),""))-(IFERROR(--MID(AE68,FIND("-",AE68)+1,99),"")))=SIGN((AW68)-(AX68)))+2*(((IFERROR(--LEFT(AE68,FIND("-",AE68)-1),""))-(IFERROR(--MID(AE68,FIND("-",AE68)+1,99),"")))=((AW68)-(AX68)))+2*((IFERROR(--LEFT(AE68,FIND("-",AE68)-1),""))=(AW68))+2*((IFERROR(--MID(AE68,FIND("-",AE68)+1,99),""))=(AX68))),""))</f>
        <v>10</v>
      </c>
      <c r="AG68" s="10" t="s">
        <v>38</v>
      </c>
      <c r="AH68" s="11">
        <f>IF(OR($C68="",AG68=""),"",IFERROR(IF(AND(IFERROR(--LEFT(AG68,FIND("-",AG68)-1),"")=AW68,IFERROR(--MID(AG68,FIND("-",AG68)+1,99),"")=AX68),10,5*(SIGN((IFERROR(--LEFT(AG68,FIND("-",AG68)-1),""))-(IFERROR(--MID(AG68,FIND("-",AG68)+1,99),"")))=SIGN((AW68)-(AX68)))+2*(((IFERROR(--LEFT(AG68,FIND("-",AG68)-1),""))-(IFERROR(--MID(AG68,FIND("-",AG68)+1,99),"")))=((AW68)-(AX68)))+2*((IFERROR(--LEFT(AG68,FIND("-",AG68)-1),""))=(AW68))+2*((IFERROR(--MID(AG68,FIND("-",AG68)+1,99),""))=(AX68))),""))</f>
        <v>10</v>
      </c>
      <c r="AI68" s="10" t="s">
        <v>38</v>
      </c>
      <c r="AJ68" s="11">
        <f>IF(OR($C68="",AI68=""),"",IFERROR(IF(AND(IFERROR(--LEFT(AI68,FIND("-",AI68)-1),"")=AW68,IFERROR(--MID(AI68,FIND("-",AI68)+1,99),"")=AX68),10,5*(SIGN((IFERROR(--LEFT(AI68,FIND("-",AI68)-1),""))-(IFERROR(--MID(AI68,FIND("-",AI68)+1,99),"")))=SIGN((AW68)-(AX68)))+2*(((IFERROR(--LEFT(AI68,FIND("-",AI68)-1),""))-(IFERROR(--MID(AI68,FIND("-",AI68)+1,99),"")))=((AW68)-(AX68)))+2*((IFERROR(--LEFT(AI68,FIND("-",AI68)-1),""))=(AW68))+2*((IFERROR(--MID(AI68,FIND("-",AI68)+1,99),""))=(AX68))),""))</f>
        <v>10</v>
      </c>
      <c r="AK68" s="10" t="s">
        <v>36</v>
      </c>
      <c r="AL68" s="11">
        <f>IF(OR($C68="",AK68=""),"",IFERROR(IF(AND(IFERROR(--LEFT(AK68,FIND("-",AK68)-1),"")=AW68,IFERROR(--MID(AK68,FIND("-",AK68)+1,99),"")=AX68),10,5*(SIGN((IFERROR(--LEFT(AK68,FIND("-",AK68)-1),""))-(IFERROR(--MID(AK68,FIND("-",AK68)+1,99),"")))=SIGN((AW68)-(AX68)))+2*(((IFERROR(--LEFT(AK68,FIND("-",AK68)-1),""))-(IFERROR(--MID(AK68,FIND("-",AK68)+1,99),"")))=((AW68)-(AX68)))+2*((IFERROR(--LEFT(AK68,FIND("-",AK68)-1),""))=(AW68))+2*((IFERROR(--MID(AK68,FIND("-",AK68)+1,99),""))=(AX68))),""))</f>
        <v>7</v>
      </c>
      <c r="AM68" s="10" t="s">
        <v>36</v>
      </c>
      <c r="AN68" s="11">
        <f>IF(OR($C68="",AM68=""),"",IFERROR(IF(AND(IFERROR(--LEFT(AM68,FIND("-",AM68)-1),"")=AW68,IFERROR(--MID(AM68,FIND("-",AM68)+1,99),"")=AX68),10,5*(SIGN((IFERROR(--LEFT(AM68,FIND("-",AM68)-1),""))-(IFERROR(--MID(AM68,FIND("-",AM68)+1,99),"")))=SIGN((AW68)-(AX68)))+2*(((IFERROR(--LEFT(AM68,FIND("-",AM68)-1),""))-(IFERROR(--MID(AM68,FIND("-",AM68)+1,99),"")))=((AW68)-(AX68)))+2*((IFERROR(--LEFT(AM68,FIND("-",AM68)-1),""))=(AW68))+2*((IFERROR(--MID(AM68,FIND("-",AM68)+1,99),""))=(AX68))),""))</f>
        <v>7</v>
      </c>
      <c r="AO68" s="10" t="s">
        <v>36</v>
      </c>
      <c r="AP68" s="11">
        <f>IF(OR($C68="",AO68=""),"",IFERROR(IF(AND(IFERROR(--LEFT(AO68,FIND("-",AO68)-1),"")=AW68,IFERROR(--MID(AO68,FIND("-",AO68)+1,99),"")=AX68),10,5*(SIGN((IFERROR(--LEFT(AO68,FIND("-",AO68)-1),""))-(IFERROR(--MID(AO68,FIND("-",AO68)+1,99),"")))=SIGN((AW68)-(AX68)))+2*(((IFERROR(--LEFT(AO68,FIND("-",AO68)-1),""))-(IFERROR(--MID(AO68,FIND("-",AO68)+1,99),"")))=((AW68)-(AX68)))+2*((IFERROR(--LEFT(AO68,FIND("-",AO68)-1),""))=(AW68))+2*((IFERROR(--MID(AO68,FIND("-",AO68)+1,99),""))=(AX68))),""))</f>
        <v>7</v>
      </c>
      <c r="AQ68" s="10" t="s">
        <v>34</v>
      </c>
      <c r="AR68" s="11">
        <f>IF(OR($C68="",AQ68=""),"",IFERROR(IF(AND(IFERROR(--LEFT(AQ68,FIND("-",AQ68)-1),"")=AW68,IFERROR(--MID(AQ68,FIND("-",AQ68)+1,99),"")=AX68),10,5*(SIGN((IFERROR(--LEFT(AQ68,FIND("-",AQ68)-1),""))-(IFERROR(--MID(AQ68,FIND("-",AQ68)+1,99),"")))=SIGN((AW68)-(AX68)))+2*(((IFERROR(--LEFT(AQ68,FIND("-",AQ68)-1),""))-(IFERROR(--MID(AQ68,FIND("-",AQ68)+1,99),"")))=((AW68)-(AX68)))+2*((IFERROR(--LEFT(AQ68,FIND("-",AQ68)-1),""))=(AW68))+2*((IFERROR(--MID(AQ68,FIND("-",AQ68)+1,99),""))=(AX68))),""))</f>
        <v>7</v>
      </c>
      <c r="AS68" s="10" t="s">
        <v>38</v>
      </c>
      <c r="AT68" s="11">
        <f>IF(OR($C68="",AS68=""),"",IFERROR(IF(AND(IFERROR(--LEFT(AS68,FIND("-",AS68)-1),"")=AW68,IFERROR(--MID(AS68,FIND("-",AS68)+1,99),"")=AX68),10,5*(SIGN((IFERROR(--LEFT(AS68,FIND("-",AS68)-1),""))-(IFERROR(--MID(AS68,FIND("-",AS68)+1,99),"")))=SIGN((AW68)-(AX68)))+2*(((IFERROR(--LEFT(AS68,FIND("-",AS68)-1),""))-(IFERROR(--MID(AS68,FIND("-",AS68)+1,99),"")))=((AW68)-(AX68)))+2*((IFERROR(--LEFT(AS68,FIND("-",AS68)-1),""))=(AW68))+2*((IFERROR(--MID(AS68,FIND("-",AS68)+1,99),""))=(AX68))),""))</f>
        <v>10</v>
      </c>
      <c r="AU68" s="10" t="s">
        <v>63</v>
      </c>
      <c r="AV68" s="11">
        <f>IF(OR($C68="",AU68=""),"",IFERROR(IF(AND(IFERROR(--LEFT(AU68,FIND("-",AU68)-1),"")=AW68,IFERROR(--MID(AU68,FIND("-",AU68)+1,99),"")=AX68),10,5*(SIGN((IFERROR(--LEFT(AU68,FIND("-",AU68)-1),""))-(IFERROR(--MID(AU68,FIND("-",AU68)+1,99),"")))=SIGN((AW68)-(AX68)))+2*(((IFERROR(--LEFT(AU68,FIND("-",AU68)-1),""))-(IFERROR(--MID(AU68,FIND("-",AU68)+1,99),"")))=((AW68)-(AX68)))+2*((IFERROR(--LEFT(AU68,FIND("-",AU68)-1),""))=(AW68))+2*((IFERROR(--MID(AU68,FIND("-",AU68)+1,99),""))=(AX68))),""))</f>
        <v>7</v>
      </c>
      <c r="AW68" s="11">
        <f>IF($C68="","",IFERROR(--LEFT($C68,FIND("-",$C68)-1),""))</f>
        <v>3</v>
      </c>
      <c r="AX68" s="11">
        <f>IF($C68="","",IFERROR(--MID($C68,FIND("-",$C68)+1,99),""))</f>
        <v>0</v>
      </c>
    </row>
    <row r="69" spans="1:50" ht="18" customHeight="1" x14ac:dyDescent="0.3">
      <c r="A69" s="12"/>
      <c r="B69" s="18"/>
      <c r="C69" s="13"/>
      <c r="D69" s="1"/>
      <c r="E69" s="22"/>
      <c r="F69" s="12"/>
      <c r="G69" s="22"/>
      <c r="H69" s="12"/>
      <c r="I69" s="22"/>
      <c r="J69" s="12"/>
      <c r="K69" s="22"/>
      <c r="L69" s="12"/>
      <c r="M69" s="22"/>
      <c r="N69" s="12"/>
      <c r="O69" s="22"/>
      <c r="P69" s="12"/>
      <c r="Q69" s="22"/>
      <c r="R69" s="12"/>
      <c r="S69" s="22"/>
      <c r="T69" s="12"/>
      <c r="U69" s="13"/>
      <c r="V69" s="12"/>
      <c r="W69" s="22"/>
      <c r="X69" s="12"/>
      <c r="Y69" s="22"/>
      <c r="Z69" s="12"/>
      <c r="AA69" s="22"/>
      <c r="AB69" s="12"/>
      <c r="AC69" s="22"/>
      <c r="AD69" s="12"/>
      <c r="AE69" s="22"/>
      <c r="AF69" s="12"/>
      <c r="AG69" s="22"/>
      <c r="AH69" s="12"/>
      <c r="AI69" s="22"/>
      <c r="AJ69" s="12"/>
      <c r="AK69" s="22"/>
      <c r="AL69" s="12"/>
      <c r="AM69" s="22"/>
      <c r="AN69" s="12"/>
      <c r="AO69" s="22"/>
      <c r="AP69" s="12"/>
      <c r="AQ69" s="22"/>
      <c r="AR69" s="12" t="str">
        <f>IF(OR($C69="",AQ69=""),"",IFERROR(IF(AND(IFERROR(--LEFT(AQ69,FIND("-",AQ69)-1),"")=AW69,IFERROR(--MID(AQ69,FIND("-",AQ69)+1,99),"")=AX69),10,5*(SIGN((IFERROR(--LEFT(AQ69,FIND("-",AQ69)-1),""))-(IFERROR(--MID(AQ69,FIND("-",AQ69)+1,99),"")))=SIGN((AW69)-(AX69)))+2*(((IFERROR(--LEFT(AQ69,FIND("-",AQ69)-1),""))-(IFERROR(--MID(AQ69,FIND("-",AQ69)+1,99),"")))=((AW69)-(AX69)))+2*((IFERROR(--LEFT(AQ69,FIND("-",AQ69)-1),""))=(AW69))+2*((IFERROR(--MID(AQ69,FIND("-",AQ69)+1,99),""))=(AX69))),""))</f>
        <v/>
      </c>
      <c r="AS69" s="22"/>
      <c r="AT69" s="12" t="str">
        <f>IF(OR($C69="",AS69=""),"",IFERROR(IF(AND(IFERROR(--LEFT(AS69,FIND("-",AS69)-1),"")=AW69,IFERROR(--MID(AS69,FIND("-",AS69)+1,99),"")=AX69),10,5*(SIGN((IFERROR(--LEFT(AS69,FIND("-",AS69)-1),""))-(IFERROR(--MID(AS69,FIND("-",AS69)+1,99),"")))=SIGN((AW69)-(AX69)))+2*(((IFERROR(--LEFT(AS69,FIND("-",AS69)-1),""))-(IFERROR(--MID(AS69,FIND("-",AS69)+1,99),"")))=((AW69)-(AX69)))+2*((IFERROR(--LEFT(AS69,FIND("-",AS69)-1),""))=(AW69))+2*((IFERROR(--MID(AS69,FIND("-",AS69)+1,99),""))=(AX69))),""))</f>
        <v/>
      </c>
      <c r="AU69" s="22"/>
      <c r="AV69" s="12"/>
      <c r="AW69" s="12"/>
      <c r="AX69" s="12"/>
    </row>
    <row r="70" spans="1:50" ht="20.100000000000001" customHeight="1" x14ac:dyDescent="0.3">
      <c r="A70" s="36" t="s">
        <v>117</v>
      </c>
      <c r="B70" s="37"/>
      <c r="C70" s="38"/>
      <c r="D70" s="37"/>
      <c r="E70" s="38"/>
      <c r="F70" s="37"/>
      <c r="G70" s="38"/>
      <c r="H70" s="37"/>
      <c r="I70" s="38"/>
      <c r="J70" s="37"/>
      <c r="K70" s="38"/>
      <c r="L70" s="37"/>
      <c r="M70" s="38"/>
      <c r="N70" s="37"/>
      <c r="O70" s="38"/>
      <c r="P70" s="37"/>
      <c r="Q70" s="38"/>
      <c r="R70" s="37"/>
      <c r="S70" s="38"/>
      <c r="T70" s="37"/>
      <c r="U70" s="38"/>
      <c r="V70" s="37"/>
      <c r="W70" s="38"/>
      <c r="X70" s="37"/>
      <c r="Y70" s="38"/>
      <c r="Z70" s="37"/>
      <c r="AA70" s="38"/>
      <c r="AB70" s="37"/>
      <c r="AC70" s="38"/>
      <c r="AD70" s="37"/>
      <c r="AE70" s="38"/>
      <c r="AF70" s="37"/>
      <c r="AG70" s="38"/>
      <c r="AH70" s="37"/>
      <c r="AI70" s="38"/>
      <c r="AJ70" s="37"/>
      <c r="AK70" s="38"/>
      <c r="AL70" s="37"/>
      <c r="AM70" s="38"/>
      <c r="AN70" s="37"/>
      <c r="AO70" s="38"/>
      <c r="AP70" s="37"/>
      <c r="AQ70" s="37"/>
      <c r="AR70" s="37"/>
      <c r="AS70" s="37"/>
      <c r="AT70" s="37"/>
      <c r="AU70" s="38"/>
      <c r="AV70" s="39"/>
      <c r="AW70" s="8"/>
      <c r="AX70" s="8"/>
    </row>
    <row r="71" spans="1:50" ht="18" customHeight="1" x14ac:dyDescent="0.3">
      <c r="A71" s="9">
        <v>1.083333333333333</v>
      </c>
      <c r="B71" s="18" t="s">
        <v>94</v>
      </c>
      <c r="C71" s="10" t="s">
        <v>61</v>
      </c>
      <c r="D71" s="1" t="s">
        <v>90</v>
      </c>
      <c r="E71" s="10" t="s">
        <v>33</v>
      </c>
      <c r="F71" s="11">
        <f>IF(OR($C71="",E71=""),"",IFERROR(IF(AND(IFERROR(--LEFT(E71,FIND("-",E71)-1),"")=AW71,IFERROR(--MID(E71,FIND("-",E71)+1,99),"")=AX71),10,5*(SIGN((IFERROR(--LEFT(E71,FIND("-",E71)-1),""))-(IFERROR(--MID(E71,FIND("-",E71)+1,99),"")))=SIGN((AW71)-(AX71)))+2*(((IFERROR(--LEFT(E71,FIND("-",E71)-1),""))-(IFERROR(--MID(E71,FIND("-",E71)+1,99),"")))=((AW71)-(AX71)))+2*((IFERROR(--LEFT(E71,FIND("-",E71)-1),""))=(AW71))+2*((IFERROR(--MID(E71,FIND("-",E71)+1,99),""))=(AX71))),""))</f>
        <v>7</v>
      </c>
      <c r="G71" s="10" t="s">
        <v>36</v>
      </c>
      <c r="H71" s="11">
        <f>IF(OR($C71="",G71=""),"",IFERROR(IF(AND(IFERROR(--LEFT(G71,FIND("-",G71)-1),"")=AW71,IFERROR(--MID(G71,FIND("-",G71)+1,99),"")=AX71),10,5*(SIGN((IFERROR(--LEFT(G71,FIND("-",G71)-1),""))-(IFERROR(--MID(G71,FIND("-",G71)+1,99),"")))=SIGN((AW71)-(AX71)))+2*(((IFERROR(--LEFT(G71,FIND("-",G71)-1),""))-(IFERROR(--MID(G71,FIND("-",G71)+1,99),"")))=((AW71)-(AX71)))+2*((IFERROR(--LEFT(G71,FIND("-",G71)-1),""))=(AW71))+2*((IFERROR(--MID(G71,FIND("-",G71)+1,99),""))=(AX71))),""))</f>
        <v>5</v>
      </c>
      <c r="I71" s="10" t="s">
        <v>35</v>
      </c>
      <c r="J71" s="11">
        <f>IF(OR($C71="",I71=""),"",IFERROR(IF(AND(IFERROR(--LEFT(I71,FIND("-",I71)-1),"")=AW71,IFERROR(--MID(I71,FIND("-",I71)+1,99),"")=AX71),10,5*(SIGN((IFERROR(--LEFT(I71,FIND("-",I71)-1),""))-(IFERROR(--MID(I71,FIND("-",I71)+1,99),"")))=SIGN((AW71)-(AX71)))+2*(((IFERROR(--LEFT(I71,FIND("-",I71)-1),""))-(IFERROR(--MID(I71,FIND("-",I71)+1,99),"")))=((AW71)-(AX71)))+2*((IFERROR(--LEFT(I71,FIND("-",I71)-1),""))=(AW71))+2*((IFERROR(--MID(I71,FIND("-",I71)+1,99),""))=(AX71))),""))</f>
        <v>0</v>
      </c>
      <c r="K71" s="10" t="s">
        <v>34</v>
      </c>
      <c r="L71" s="11">
        <f>IF(OR($C71="",K71=""),"",IFERROR(IF(AND(IFERROR(--LEFT(K71,FIND("-",K71)-1),"")=AW71,IFERROR(--MID(K71,FIND("-",K71)+1,99),"")=AX71),10,5*(SIGN((IFERROR(--LEFT(K71,FIND("-",K71)-1),""))-(IFERROR(--MID(K71,FIND("-",K71)+1,99),"")))=SIGN((AW71)-(AX71)))+2*(((IFERROR(--LEFT(K71,FIND("-",K71)-1),""))-(IFERROR(--MID(K71,FIND("-",K71)+1,99),"")))=((AW71)-(AX71)))+2*((IFERROR(--LEFT(K71,FIND("-",K71)-1),""))=(AW71))+2*((IFERROR(--MID(K71,FIND("-",K71)+1,99),""))=(AX71))),""))</f>
        <v>7</v>
      </c>
      <c r="M71" s="10" t="s">
        <v>49</v>
      </c>
      <c r="N71" s="11">
        <f>IF(OR($C71="",M71=""),"",IFERROR(IF(AND(IFERROR(--LEFT(M71,FIND("-",M71)-1),"")=AW71,IFERROR(--MID(M71,FIND("-",M71)+1,99),"")=AX71),10,5*(SIGN((IFERROR(--LEFT(M71,FIND("-",M71)-1),""))-(IFERROR(--MID(M71,FIND("-",M71)+1,99),"")))=SIGN((AW71)-(AX71)))+2*(((IFERROR(--LEFT(M71,FIND("-",M71)-1),""))-(IFERROR(--MID(M71,FIND("-",M71)+1,99),"")))=((AW71)-(AX71)))+2*((IFERROR(--LEFT(M71,FIND("-",M71)-1),""))=(AW71))+2*((IFERROR(--MID(M71,FIND("-",M71)+1,99),""))=(AX71))),""))</f>
        <v>2</v>
      </c>
      <c r="O71" s="10" t="s">
        <v>35</v>
      </c>
      <c r="P71" s="11">
        <f>IF(OR($C71="",O71=""),"",IFERROR(IF(AND(IFERROR(--LEFT(O71,FIND("-",O71)-1),"")=AW71,IFERROR(--MID(O71,FIND("-",O71)+1,99),"")=AX71),10,5*(SIGN((IFERROR(--LEFT(O71,FIND("-",O71)-1),""))-(IFERROR(--MID(O71,FIND("-",O71)+1,99),"")))=SIGN((AW71)-(AX71)))+2*(((IFERROR(--LEFT(O71,FIND("-",O71)-1),""))-(IFERROR(--MID(O71,FIND("-",O71)+1,99),"")))=((AW71)-(AX71)))+2*((IFERROR(--LEFT(O71,FIND("-",O71)-1),""))=(AW71))+2*((IFERROR(--MID(O71,FIND("-",O71)+1,99),""))=(AX71))),""))</f>
        <v>0</v>
      </c>
      <c r="Q71" s="10" t="s">
        <v>38</v>
      </c>
      <c r="R71" s="11">
        <f>IF(OR($C71="",Q71=""),"",IFERROR(IF(AND(IFERROR(--LEFT(Q71,FIND("-",Q71)-1),"")=AW71,IFERROR(--MID(Q71,FIND("-",Q71)+1,99),"")=AX71),10,5*(SIGN((IFERROR(--LEFT(Q71,FIND("-",Q71)-1),""))-(IFERROR(--MID(Q71,FIND("-",Q71)+1,99),"")))=SIGN((AW71)-(AX71)))+2*(((IFERROR(--LEFT(Q71,FIND("-",Q71)-1),""))-(IFERROR(--MID(Q71,FIND("-",Q71)+1,99),"")))=((AW71)-(AX71)))+2*((IFERROR(--LEFT(Q71,FIND("-",Q71)-1),""))=(AW71))+2*((IFERROR(--MID(Q71,FIND("-",Q71)+1,99),""))=(AX71))),""))</f>
        <v>7</v>
      </c>
      <c r="S71" s="10" t="s">
        <v>49</v>
      </c>
      <c r="T71" s="11">
        <f>IF(OR($C71="",S71=""),"",IFERROR(IF(AND(IFERROR(--LEFT(S71,FIND("-",S71)-1),"")=AW71,IFERROR(--MID(S71,FIND("-",S71)+1,99),"")=AX71),10,5*(SIGN((IFERROR(--LEFT(S71,FIND("-",S71)-1),""))-(IFERROR(--MID(S71,FIND("-",S71)+1,99),"")))=SIGN((AW71)-(AX71)))+2*(((IFERROR(--LEFT(S71,FIND("-",S71)-1),""))-(IFERROR(--MID(S71,FIND("-",S71)+1,99),"")))=((AW71)-(AX71)))+2*((IFERROR(--LEFT(S71,FIND("-",S71)-1),""))=(AW71))+2*((IFERROR(--MID(S71,FIND("-",S71)+1,99),""))=(AX71))),""))</f>
        <v>2</v>
      </c>
      <c r="U71" s="10" t="s">
        <v>35</v>
      </c>
      <c r="V71" s="11">
        <f>IF(OR($C71="",U71=""),"",IFERROR(IF(AND(IFERROR(--LEFT(U71,FIND("-",U71)-1),"")=AW71,IFERROR(--MID(U71,FIND("-",U71)+1,99),"")=AX71),10,5*(SIGN((IFERROR(--LEFT(U71,FIND("-",U71)-1),""))-(IFERROR(--MID(U71,FIND("-",U71)+1,99),"")))=SIGN((AW71)-(AX71)))+2*(((IFERROR(--LEFT(U71,FIND("-",U71)-1),""))-(IFERROR(--MID(U71,FIND("-",U71)+1,99),"")))=((AW71)-(AX71)))+2*((IFERROR(--LEFT(U71,FIND("-",U71)-1),""))=(AW71))+2*((IFERROR(--MID(U71,FIND("-",U71)+1,99),""))=(AX71))),""))</f>
        <v>0</v>
      </c>
      <c r="W71" s="10" t="s">
        <v>35</v>
      </c>
      <c r="X71" s="11">
        <f>IF(OR($C71="",W71=""),"",IFERROR(IF(AND(IFERROR(--LEFT(W71,FIND("-",W71)-1),"")=AW71,IFERROR(--MID(W71,FIND("-",W71)+1,99),"")=AX71),10,5*(SIGN((IFERROR(--LEFT(W71,FIND("-",W71)-1),""))-(IFERROR(--MID(W71,FIND("-",W71)+1,99),"")))=SIGN((AW71)-(AX71)))+2*(((IFERROR(--LEFT(W71,FIND("-",W71)-1),""))-(IFERROR(--MID(W71,FIND("-",W71)+1,99),"")))=((AW71)-(AX71)))+2*((IFERROR(--LEFT(W71,FIND("-",W71)-1),""))=(AW71))+2*((IFERROR(--MID(W71,FIND("-",W71)+1,99),""))=(AX71))),""))</f>
        <v>0</v>
      </c>
      <c r="Y71" s="10" t="s">
        <v>35</v>
      </c>
      <c r="Z71" s="11">
        <f>IF(OR($C71="",Y71=""),"",IFERROR(IF(AND(IFERROR(--LEFT(Y71,FIND("-",Y71)-1),"")=AW71,IFERROR(--MID(Y71,FIND("-",Y71)+1,99),"")=AX71),10,5*(SIGN((IFERROR(--LEFT(Y71,FIND("-",Y71)-1),""))-(IFERROR(--MID(Y71,FIND("-",Y71)+1,99),"")))=SIGN((AW71)-(AX71)))+2*(((IFERROR(--LEFT(Y71,FIND("-",Y71)-1),""))-(IFERROR(--MID(Y71,FIND("-",Y71)+1,99),"")))=((AW71)-(AX71)))+2*((IFERROR(--LEFT(Y71,FIND("-",Y71)-1),""))=(AW71))+2*((IFERROR(--MID(Y71,FIND("-",Y71)+1,99),""))=(AX71))),""))</f>
        <v>0</v>
      </c>
      <c r="AA71" s="10" t="s">
        <v>49</v>
      </c>
      <c r="AB71" s="11">
        <f>IF(OR($C71="",AA71=""),"",IFERROR(IF(AND(IFERROR(--LEFT(AA71,FIND("-",AA71)-1),"")=AW71,IFERROR(--MID(AA71,FIND("-",AA71)+1,99),"")=AX71),10,5*(SIGN((IFERROR(--LEFT(AA71,FIND("-",AA71)-1),""))-(IFERROR(--MID(AA71,FIND("-",AA71)+1,99),"")))=SIGN((AW71)-(AX71)))+2*(((IFERROR(--LEFT(AA71,FIND("-",AA71)-1),""))-(IFERROR(--MID(AA71,FIND("-",AA71)+1,99),"")))=((AW71)-(AX71)))+2*((IFERROR(--LEFT(AA71,FIND("-",AA71)-1),""))=(AW71))+2*((IFERROR(--MID(AA71,FIND("-",AA71)+1,99),""))=(AX71))),""))</f>
        <v>2</v>
      </c>
      <c r="AC71" s="10" t="s">
        <v>33</v>
      </c>
      <c r="AD71" s="11">
        <f>IF(OR($C71="",AC71=""),"",IFERROR(IF(AND(IFERROR(--LEFT(AC71,FIND("-",AC71)-1),"")=AW71,IFERROR(--MID(AC71,FIND("-",AC71)+1,99),"")=AX71),10,5*(SIGN((IFERROR(--LEFT(AC71,FIND("-",AC71)-1),""))-(IFERROR(--MID(AC71,FIND("-",AC71)+1,99),"")))=SIGN((AW71)-(AX71)))+2*(((IFERROR(--LEFT(AC71,FIND("-",AC71)-1),""))-(IFERROR(--MID(AC71,FIND("-",AC71)+1,99),"")))=((AW71)-(AX71)))+2*((IFERROR(--LEFT(AC71,FIND("-",AC71)-1),""))=(AW71))+2*((IFERROR(--MID(AC71,FIND("-",AC71)+1,99),""))=(AX71))),""))</f>
        <v>7</v>
      </c>
      <c r="AE71" s="10" t="s">
        <v>35</v>
      </c>
      <c r="AF71" s="11">
        <f>IF(OR($C71="",AE71=""),"",IFERROR(IF(AND(IFERROR(--LEFT(AE71,FIND("-",AE71)-1),"")=AW71,IFERROR(--MID(AE71,FIND("-",AE71)+1,99),"")=AX71),10,5*(SIGN((IFERROR(--LEFT(AE71,FIND("-",AE71)-1),""))-(IFERROR(--MID(AE71,FIND("-",AE71)+1,99),"")))=SIGN((AW71)-(AX71)))+2*(((IFERROR(--LEFT(AE71,FIND("-",AE71)-1),""))-(IFERROR(--MID(AE71,FIND("-",AE71)+1,99),"")))=((AW71)-(AX71)))+2*((IFERROR(--LEFT(AE71,FIND("-",AE71)-1),""))=(AW71))+2*((IFERROR(--MID(AE71,FIND("-",AE71)+1,99),""))=(AX71))),""))</f>
        <v>0</v>
      </c>
      <c r="AG71" s="10" t="s">
        <v>35</v>
      </c>
      <c r="AH71" s="11">
        <f>IF(OR($C71="",AG71=""),"",IFERROR(IF(AND(IFERROR(--LEFT(AG71,FIND("-",AG71)-1),"")=AW71,IFERROR(--MID(AG71,FIND("-",AG71)+1,99),"")=AX71),10,5*(SIGN((IFERROR(--LEFT(AG71,FIND("-",AG71)-1),""))-(IFERROR(--MID(AG71,FIND("-",AG71)+1,99),"")))=SIGN((AW71)-(AX71)))+2*(((IFERROR(--LEFT(AG71,FIND("-",AG71)-1),""))-(IFERROR(--MID(AG71,FIND("-",AG71)+1,99),"")))=((AW71)-(AX71)))+2*((IFERROR(--LEFT(AG71,FIND("-",AG71)-1),""))=(AW71))+2*((IFERROR(--MID(AG71,FIND("-",AG71)+1,99),""))=(AX71))),""))</f>
        <v>0</v>
      </c>
      <c r="AI71" s="10" t="s">
        <v>36</v>
      </c>
      <c r="AJ71" s="11">
        <f>IF(OR($C71="",AI71=""),"",IFERROR(IF(AND(IFERROR(--LEFT(AI71,FIND("-",AI71)-1),"")=AW71,IFERROR(--MID(AI71,FIND("-",AI71)+1,99),"")=AX71),10,5*(SIGN((IFERROR(--LEFT(AI71,FIND("-",AI71)-1),""))-(IFERROR(--MID(AI71,FIND("-",AI71)+1,99),"")))=SIGN((AW71)-(AX71)))+2*(((IFERROR(--LEFT(AI71,FIND("-",AI71)-1),""))-(IFERROR(--MID(AI71,FIND("-",AI71)+1,99),"")))=((AW71)-(AX71)))+2*((IFERROR(--LEFT(AI71,FIND("-",AI71)-1),""))=(AW71))+2*((IFERROR(--MID(AI71,FIND("-",AI71)+1,99),""))=(AX71))),""))</f>
        <v>5</v>
      </c>
      <c r="AK71" s="10" t="s">
        <v>33</v>
      </c>
      <c r="AL71" s="11">
        <f>IF(OR($C71="",AK71=""),"",IFERROR(IF(AND(IFERROR(--LEFT(AK71,FIND("-",AK71)-1),"")=AW71,IFERROR(--MID(AK71,FIND("-",AK71)+1,99),"")=AX71),10,5*(SIGN((IFERROR(--LEFT(AK71,FIND("-",AK71)-1),""))-(IFERROR(--MID(AK71,FIND("-",AK71)+1,99),"")))=SIGN((AW71)-(AX71)))+2*(((IFERROR(--LEFT(AK71,FIND("-",AK71)-1),""))-(IFERROR(--MID(AK71,FIND("-",AK71)+1,99),"")))=((AW71)-(AX71)))+2*((IFERROR(--LEFT(AK71,FIND("-",AK71)-1),""))=(AW71))+2*((IFERROR(--MID(AK71,FIND("-",AK71)+1,99),""))=(AX71))),""))</f>
        <v>7</v>
      </c>
      <c r="AM71" s="10" t="s">
        <v>34</v>
      </c>
      <c r="AN71" s="11">
        <f>IF(OR($C71="",AM71=""),"",IFERROR(IF(AND(IFERROR(--LEFT(AM71,FIND("-",AM71)-1),"")=AW71,IFERROR(--MID(AM71,FIND("-",AM71)+1,99),"")=AX71),10,5*(SIGN((IFERROR(--LEFT(AM71,FIND("-",AM71)-1),""))-(IFERROR(--MID(AM71,FIND("-",AM71)+1,99),"")))=SIGN((AW71)-(AX71)))+2*(((IFERROR(--LEFT(AM71,FIND("-",AM71)-1),""))-(IFERROR(--MID(AM71,FIND("-",AM71)+1,99),"")))=((AW71)-(AX71)))+2*((IFERROR(--LEFT(AM71,FIND("-",AM71)-1),""))=(AW71))+2*((IFERROR(--MID(AM71,FIND("-",AM71)+1,99),""))=(AX71))),""))</f>
        <v>7</v>
      </c>
      <c r="AO71" s="10" t="s">
        <v>39</v>
      </c>
      <c r="AP71" s="11">
        <f>IF(OR($C71="",AO71=""),"",IFERROR(IF(AND(IFERROR(--LEFT(AO71,FIND("-",AO71)-1),"")=AW71,IFERROR(--MID(AO71,FIND("-",AO71)+1,99),"")=AX71),10,5*(SIGN((IFERROR(--LEFT(AO71,FIND("-",AO71)-1),""))-(IFERROR(--MID(AO71,FIND("-",AO71)+1,99),"")))=SIGN((AW71)-(AX71)))+2*(((IFERROR(--LEFT(AO71,FIND("-",AO71)-1),""))-(IFERROR(--MID(AO71,FIND("-",AO71)+1,99),"")))=((AW71)-(AX71)))+2*((IFERROR(--LEFT(AO71,FIND("-",AO71)-1),""))=(AW71))+2*((IFERROR(--MID(AO71,FIND("-",AO71)+1,99),""))=(AX71))),""))</f>
        <v>7</v>
      </c>
      <c r="AQ71" s="10" t="s">
        <v>33</v>
      </c>
      <c r="AR71" s="11">
        <f>IF(OR($C71="",AQ71=""),"",IFERROR(IF(AND(IFERROR(--LEFT(AQ71,FIND("-",AQ71)-1),"")=AW71,IFERROR(--MID(AQ71,FIND("-",AQ71)+1,99),"")=AX71),10,5*(SIGN((IFERROR(--LEFT(AQ71,FIND("-",AQ71)-1),""))-(IFERROR(--MID(AQ71,FIND("-",AQ71)+1,99),"")))=SIGN((AW71)-(AX71)))+2*(((IFERROR(--LEFT(AQ71,FIND("-",AQ71)-1),""))-(IFERROR(--MID(AQ71,FIND("-",AQ71)+1,99),"")))=((AW71)-(AX71)))+2*((IFERROR(--LEFT(AQ71,FIND("-",AQ71)-1),""))=(AW71))+2*((IFERROR(--MID(AQ71,FIND("-",AQ71)+1,99),""))=(AX71))),""))</f>
        <v>7</v>
      </c>
      <c r="AS71" s="10" t="s">
        <v>36</v>
      </c>
      <c r="AT71" s="11">
        <f>IF(OR($C71="",AS71=""),"",IFERROR(IF(AND(IFERROR(--LEFT(AS71,FIND("-",AS71)-1),"")=AW71,IFERROR(--MID(AS71,FIND("-",AS71)+1,99),"")=AX71),10,5*(SIGN((IFERROR(--LEFT(AS71,FIND("-",AS71)-1),""))-(IFERROR(--MID(AS71,FIND("-",AS71)+1,99),"")))=SIGN((AW71)-(AX71)))+2*(((IFERROR(--LEFT(AS71,FIND("-",AS71)-1),""))-(IFERROR(--MID(AS71,FIND("-",AS71)+1,99),"")))=((AW71)-(AX71)))+2*((IFERROR(--LEFT(AS71,FIND("-",AS71)-1),""))=(AW71))+2*((IFERROR(--MID(AS71,FIND("-",AS71)+1,99),""))=(AX71))),""))</f>
        <v>5</v>
      </c>
      <c r="AU71" s="10" t="s">
        <v>45</v>
      </c>
      <c r="AV71" s="11">
        <f>IF(OR($C71="",AU71=""),"",IFERROR(IF(AND(IFERROR(--LEFT(AU71,FIND("-",AU71)-1),"")=AW71,IFERROR(--MID(AU71,FIND("-",AU71)+1,99),"")=AX71),10,5*(SIGN((IFERROR(--LEFT(AU71,FIND("-",AU71)-1),""))-(IFERROR(--MID(AU71,FIND("-",AU71)+1,99),"")))=SIGN((AW71)-(AX71)))+2*(((IFERROR(--LEFT(AU71,FIND("-",AU71)-1),""))-(IFERROR(--MID(AU71,FIND("-",AU71)+1,99),"")))=((AW71)-(AX71)))+2*((IFERROR(--LEFT(AU71,FIND("-",AU71)-1),""))=(AW71))+2*((IFERROR(--MID(AU71,FIND("-",AU71)+1,99),""))=(AX71))),""))</f>
        <v>0</v>
      </c>
      <c r="AW71" s="11">
        <f>IF($C71="","",IFERROR(--LEFT($C71,FIND("-",$C71)-1),""))</f>
        <v>3</v>
      </c>
      <c r="AX71" s="11">
        <f>IF($C71="","",IFERROR(--MID($C71,FIND("-",$C71)+1,99),""))</f>
        <v>2</v>
      </c>
    </row>
    <row r="72" spans="1:50" ht="18" customHeight="1" x14ac:dyDescent="0.3">
      <c r="A72" s="9">
        <v>1.208333333333333</v>
      </c>
      <c r="B72" s="18" t="s">
        <v>98</v>
      </c>
      <c r="C72" s="10" t="s">
        <v>37</v>
      </c>
      <c r="D72" s="1" t="s">
        <v>96</v>
      </c>
      <c r="E72" s="10" t="s">
        <v>37</v>
      </c>
      <c r="F72" s="11">
        <f>IF(OR($C72="",E72=""),"",IFERROR(IF(AND(IFERROR(--LEFT(E72,FIND("-",E72)-1),"")=AW72,IFERROR(--MID(E72,FIND("-",E72)+1,99),"")=AX72),10,5*(SIGN((IFERROR(--LEFT(E72,FIND("-",E72)-1),""))-(IFERROR(--MID(E72,FIND("-",E72)+1,99),"")))=SIGN((AW72)-(AX72)))+2*(((IFERROR(--LEFT(E72,FIND("-",E72)-1),""))-(IFERROR(--MID(E72,FIND("-",E72)+1,99),"")))=((AW72)-(AX72)))+2*((IFERROR(--LEFT(E72,FIND("-",E72)-1),""))=(AW72))+2*((IFERROR(--MID(E72,FIND("-",E72)+1,99),""))=(AX72))),""))</f>
        <v>10</v>
      </c>
      <c r="G72" s="10" t="s">
        <v>48</v>
      </c>
      <c r="H72" s="11">
        <f>IF(OR($C72="",G72=""),"",IFERROR(IF(AND(IFERROR(--LEFT(G72,FIND("-",G72)-1),"")=AW72,IFERROR(--MID(G72,FIND("-",G72)+1,99),"")=AX72),10,5*(SIGN((IFERROR(--LEFT(G72,FIND("-",G72)-1),""))-(IFERROR(--MID(G72,FIND("-",G72)+1,99),"")))=SIGN((AW72)-(AX72)))+2*(((IFERROR(--LEFT(G72,FIND("-",G72)-1),""))-(IFERROR(--MID(G72,FIND("-",G72)+1,99),"")))=((AW72)-(AX72)))+2*((IFERROR(--LEFT(G72,FIND("-",G72)-1),""))=(AW72))+2*((IFERROR(--MID(G72,FIND("-",G72)+1,99),""))=(AX72))),""))</f>
        <v>7</v>
      </c>
      <c r="I72" s="10" t="s">
        <v>45</v>
      </c>
      <c r="J72" s="11">
        <f>IF(OR($C72="",I72=""),"",IFERROR(IF(AND(IFERROR(--LEFT(I72,FIND("-",I72)-1),"")=AW72,IFERROR(--MID(I72,FIND("-",I72)+1,99),"")=AX72),10,5*(SIGN((IFERROR(--LEFT(I72,FIND("-",I72)-1),""))-(IFERROR(--MID(I72,FIND("-",I72)+1,99),"")))=SIGN((AW72)-(AX72)))+2*(((IFERROR(--LEFT(I72,FIND("-",I72)-1),""))-(IFERROR(--MID(I72,FIND("-",I72)+1,99),"")))=((AW72)-(AX72)))+2*((IFERROR(--LEFT(I72,FIND("-",I72)-1),""))=(AW72))+2*((IFERROR(--MID(I72,FIND("-",I72)+1,99),""))=(AX72))),""))</f>
        <v>7</v>
      </c>
      <c r="K72" s="10" t="s">
        <v>35</v>
      </c>
      <c r="L72" s="11">
        <f>IF(OR($C72="",K72=""),"",IFERROR(IF(AND(IFERROR(--LEFT(K72,FIND("-",K72)-1),"")=AW72,IFERROR(--MID(K72,FIND("-",K72)+1,99),"")=AX72),10,5*(SIGN((IFERROR(--LEFT(K72,FIND("-",K72)-1),""))-(IFERROR(--MID(K72,FIND("-",K72)+1,99),"")))=SIGN((AW72)-(AX72)))+2*(((IFERROR(--LEFT(K72,FIND("-",K72)-1),""))-(IFERROR(--MID(K72,FIND("-",K72)+1,99),"")))=((AW72)-(AX72)))+2*((IFERROR(--LEFT(K72,FIND("-",K72)-1),""))=(AW72))+2*((IFERROR(--MID(K72,FIND("-",K72)+1,99),""))=(AX72))),""))</f>
        <v>2</v>
      </c>
      <c r="M72" s="10" t="s">
        <v>57</v>
      </c>
      <c r="N72" s="11">
        <f>IF(OR($C72="",M72=""),"",IFERROR(IF(AND(IFERROR(--LEFT(M72,FIND("-",M72)-1),"")=AW72,IFERROR(--MID(M72,FIND("-",M72)+1,99),"")=AX72),10,5*(SIGN((IFERROR(--LEFT(M72,FIND("-",M72)-1),""))-(IFERROR(--MID(M72,FIND("-",M72)+1,99),"")))=SIGN((AW72)-(AX72)))+2*(((IFERROR(--LEFT(M72,FIND("-",M72)-1),""))-(IFERROR(--MID(M72,FIND("-",M72)+1,99),"")))=((AW72)-(AX72)))+2*((IFERROR(--LEFT(M72,FIND("-",M72)-1),""))=(AW72))+2*((IFERROR(--MID(M72,FIND("-",M72)+1,99),""))=(AX72))),""))</f>
        <v>7</v>
      </c>
      <c r="O72" s="10" t="s">
        <v>49</v>
      </c>
      <c r="P72" s="11">
        <f>IF(OR($C72="",O72=""),"",IFERROR(IF(AND(IFERROR(--LEFT(O72,FIND("-",O72)-1),"")=AW72,IFERROR(--MID(O72,FIND("-",O72)+1,99),"")=AX72),10,5*(SIGN((IFERROR(--LEFT(O72,FIND("-",O72)-1),""))-(IFERROR(--MID(O72,FIND("-",O72)+1,99),"")))=SIGN((AW72)-(AX72)))+2*(((IFERROR(--LEFT(O72,FIND("-",O72)-1),""))-(IFERROR(--MID(O72,FIND("-",O72)+1,99),"")))=((AW72)-(AX72)))+2*((IFERROR(--LEFT(O72,FIND("-",O72)-1),""))=(AW72))+2*((IFERROR(--MID(O72,FIND("-",O72)+1,99),""))=(AX72))),""))</f>
        <v>2</v>
      </c>
      <c r="Q72" s="10" t="s">
        <v>35</v>
      </c>
      <c r="R72" s="11">
        <f>IF(OR($C72="",Q72=""),"",IFERROR(IF(AND(IFERROR(--LEFT(Q72,FIND("-",Q72)-1),"")=AW72,IFERROR(--MID(Q72,FIND("-",Q72)+1,99),"")=AX72),10,5*(SIGN((IFERROR(--LEFT(Q72,FIND("-",Q72)-1),""))-(IFERROR(--MID(Q72,FIND("-",Q72)+1,99),"")))=SIGN((AW72)-(AX72)))+2*(((IFERROR(--LEFT(Q72,FIND("-",Q72)-1),""))-(IFERROR(--MID(Q72,FIND("-",Q72)+1,99),"")))=((AW72)-(AX72)))+2*((IFERROR(--LEFT(Q72,FIND("-",Q72)-1),""))=(AW72))+2*((IFERROR(--MID(Q72,FIND("-",Q72)+1,99),""))=(AX72))),""))</f>
        <v>2</v>
      </c>
      <c r="S72" s="10" t="s">
        <v>33</v>
      </c>
      <c r="T72" s="11">
        <f>IF(OR($C72="",S72=""),"",IFERROR(IF(AND(IFERROR(--LEFT(S72,FIND("-",S72)-1),"")=AW72,IFERROR(--MID(S72,FIND("-",S72)+1,99),"")=AX72),10,5*(SIGN((IFERROR(--LEFT(S72,FIND("-",S72)-1),""))-(IFERROR(--MID(S72,FIND("-",S72)+1,99),"")))=SIGN((AW72)-(AX72)))+2*(((IFERROR(--LEFT(S72,FIND("-",S72)-1),""))-(IFERROR(--MID(S72,FIND("-",S72)+1,99),"")))=((AW72)-(AX72)))+2*((IFERROR(--LEFT(S72,FIND("-",S72)-1),""))=(AW72))+2*((IFERROR(--MID(S72,FIND("-",S72)+1,99),""))=(AX72))),""))</f>
        <v>0</v>
      </c>
      <c r="U72" s="10" t="s">
        <v>37</v>
      </c>
      <c r="V72" s="11">
        <f>IF(OR($C72="",U72=""),"",IFERROR(IF(AND(IFERROR(--LEFT(U72,FIND("-",U72)-1),"")=AW72,IFERROR(--MID(U72,FIND("-",U72)+1,99),"")=AX72),10,5*(SIGN((IFERROR(--LEFT(U72,FIND("-",U72)-1),""))-(IFERROR(--MID(U72,FIND("-",U72)+1,99),"")))=SIGN((AW72)-(AX72)))+2*(((IFERROR(--LEFT(U72,FIND("-",U72)-1),""))-(IFERROR(--MID(U72,FIND("-",U72)+1,99),"")))=((AW72)-(AX72)))+2*((IFERROR(--LEFT(U72,FIND("-",U72)-1),""))=(AW72))+2*((IFERROR(--MID(U72,FIND("-",U72)+1,99),""))=(AX72))),""))</f>
        <v>10</v>
      </c>
      <c r="W72" s="10" t="s">
        <v>45</v>
      </c>
      <c r="X72" s="11">
        <f>IF(OR($C72="",W72=""),"",IFERROR(IF(AND(IFERROR(--LEFT(W72,FIND("-",W72)-1),"")=AW72,IFERROR(--MID(W72,FIND("-",W72)+1,99),"")=AX72),10,5*(SIGN((IFERROR(--LEFT(W72,FIND("-",W72)-1),""))-(IFERROR(--MID(W72,FIND("-",W72)+1,99),"")))=SIGN((AW72)-(AX72)))+2*(((IFERROR(--LEFT(W72,FIND("-",W72)-1),""))-(IFERROR(--MID(W72,FIND("-",W72)+1,99),"")))=((AW72)-(AX72)))+2*((IFERROR(--LEFT(W72,FIND("-",W72)-1),""))=(AW72))+2*((IFERROR(--MID(W72,FIND("-",W72)+1,99),""))=(AX72))),""))</f>
        <v>7</v>
      </c>
      <c r="Y72" s="10" t="s">
        <v>37</v>
      </c>
      <c r="Z72" s="11">
        <f>IF(OR($C72="",Y72=""),"",IFERROR(IF(AND(IFERROR(--LEFT(Y72,FIND("-",Y72)-1),"")=AW72,IFERROR(--MID(Y72,FIND("-",Y72)+1,99),"")=AX72),10,5*(SIGN((IFERROR(--LEFT(Y72,FIND("-",Y72)-1),""))-(IFERROR(--MID(Y72,FIND("-",Y72)+1,99),"")))=SIGN((AW72)-(AX72)))+2*(((IFERROR(--LEFT(Y72,FIND("-",Y72)-1),""))-(IFERROR(--MID(Y72,FIND("-",Y72)+1,99),"")))=((AW72)-(AX72)))+2*((IFERROR(--LEFT(Y72,FIND("-",Y72)-1),""))=(AW72))+2*((IFERROR(--MID(Y72,FIND("-",Y72)+1,99),""))=(AX72))),""))</f>
        <v>10</v>
      </c>
      <c r="AA72" s="10" t="s">
        <v>50</v>
      </c>
      <c r="AB72" s="11">
        <f>IF(OR($C72="",AA72=""),"",IFERROR(IF(AND(IFERROR(--LEFT(AA72,FIND("-",AA72)-1),"")=AW72,IFERROR(--MID(AA72,FIND("-",AA72)+1,99),"")=AX72),10,5*(SIGN((IFERROR(--LEFT(AA72,FIND("-",AA72)-1),""))-(IFERROR(--MID(AA72,FIND("-",AA72)+1,99),"")))=SIGN((AW72)-(AX72)))+2*(((IFERROR(--LEFT(AA72,FIND("-",AA72)-1),""))-(IFERROR(--MID(AA72,FIND("-",AA72)+1,99),"")))=((AW72)-(AX72)))+2*((IFERROR(--LEFT(AA72,FIND("-",AA72)-1),""))=(AW72))+2*((IFERROR(--MID(AA72,FIND("-",AA72)+1,99),""))=(AX72))),""))</f>
        <v>0</v>
      </c>
      <c r="AC72" s="10" t="s">
        <v>36</v>
      </c>
      <c r="AD72" s="11">
        <f>IF(OR($C72="",AC72=""),"",IFERROR(IF(AND(IFERROR(--LEFT(AC72,FIND("-",AC72)-1),"")=AW72,IFERROR(--MID(AC72,FIND("-",AC72)+1,99),"")=AX72),10,5*(SIGN((IFERROR(--LEFT(AC72,FIND("-",AC72)-1),""))-(IFERROR(--MID(AC72,FIND("-",AC72)+1,99),"")))=SIGN((AW72)-(AX72)))+2*(((IFERROR(--LEFT(AC72,FIND("-",AC72)-1),""))-(IFERROR(--MID(AC72,FIND("-",AC72)+1,99),"")))=((AW72)-(AX72)))+2*((IFERROR(--LEFT(AC72,FIND("-",AC72)-1),""))=(AW72))+2*((IFERROR(--MID(AC72,FIND("-",AC72)+1,99),""))=(AX72))),""))</f>
        <v>0</v>
      </c>
      <c r="AE72" s="10" t="s">
        <v>48</v>
      </c>
      <c r="AF72" s="11">
        <f>IF(OR($C72="",AE72=""),"",IFERROR(IF(AND(IFERROR(--LEFT(AE72,FIND("-",AE72)-1),"")=AW72,IFERROR(--MID(AE72,FIND("-",AE72)+1,99),"")=AX72),10,5*(SIGN((IFERROR(--LEFT(AE72,FIND("-",AE72)-1),""))-(IFERROR(--MID(AE72,FIND("-",AE72)+1,99),"")))=SIGN((AW72)-(AX72)))+2*(((IFERROR(--LEFT(AE72,FIND("-",AE72)-1),""))-(IFERROR(--MID(AE72,FIND("-",AE72)+1,99),"")))=((AW72)-(AX72)))+2*((IFERROR(--LEFT(AE72,FIND("-",AE72)-1),""))=(AW72))+2*((IFERROR(--MID(AE72,FIND("-",AE72)+1,99),""))=(AX72))),""))</f>
        <v>7</v>
      </c>
      <c r="AG72" s="10" t="s">
        <v>48</v>
      </c>
      <c r="AH72" s="11">
        <f>IF(OR($C72="",AG72=""),"",IFERROR(IF(AND(IFERROR(--LEFT(AG72,FIND("-",AG72)-1),"")=AW72,IFERROR(--MID(AG72,FIND("-",AG72)+1,99),"")=AX72),10,5*(SIGN((IFERROR(--LEFT(AG72,FIND("-",AG72)-1),""))-(IFERROR(--MID(AG72,FIND("-",AG72)+1,99),"")))=SIGN((AW72)-(AX72)))+2*(((IFERROR(--LEFT(AG72,FIND("-",AG72)-1),""))-(IFERROR(--MID(AG72,FIND("-",AG72)+1,99),"")))=((AW72)-(AX72)))+2*((IFERROR(--LEFT(AG72,FIND("-",AG72)-1),""))=(AW72))+2*((IFERROR(--MID(AG72,FIND("-",AG72)+1,99),""))=(AX72))),""))</f>
        <v>7</v>
      </c>
      <c r="AI72" s="10" t="s">
        <v>50</v>
      </c>
      <c r="AJ72" s="11">
        <f>IF(OR($C72="",AI72=""),"",IFERROR(IF(AND(IFERROR(--LEFT(AI72,FIND("-",AI72)-1),"")=AW72,IFERROR(--MID(AI72,FIND("-",AI72)+1,99),"")=AX72),10,5*(SIGN((IFERROR(--LEFT(AI72,FIND("-",AI72)-1),""))-(IFERROR(--MID(AI72,FIND("-",AI72)+1,99),"")))=SIGN((AW72)-(AX72)))+2*(((IFERROR(--LEFT(AI72,FIND("-",AI72)-1),""))-(IFERROR(--MID(AI72,FIND("-",AI72)+1,99),"")))=((AW72)-(AX72)))+2*((IFERROR(--LEFT(AI72,FIND("-",AI72)-1),""))=(AW72))+2*((IFERROR(--MID(AI72,FIND("-",AI72)+1,99),""))=(AX72))),""))</f>
        <v>0</v>
      </c>
      <c r="AK72" s="10" t="s">
        <v>37</v>
      </c>
      <c r="AL72" s="11">
        <f>IF(OR($C72="",AK72=""),"",IFERROR(IF(AND(IFERROR(--LEFT(AK72,FIND("-",AK72)-1),"")=AW72,IFERROR(--MID(AK72,FIND("-",AK72)+1,99),"")=AX72),10,5*(SIGN((IFERROR(--LEFT(AK72,FIND("-",AK72)-1),""))-(IFERROR(--MID(AK72,FIND("-",AK72)+1,99),"")))=SIGN((AW72)-(AX72)))+2*(((IFERROR(--LEFT(AK72,FIND("-",AK72)-1),""))-(IFERROR(--MID(AK72,FIND("-",AK72)+1,99),"")))=((AW72)-(AX72)))+2*((IFERROR(--LEFT(AK72,FIND("-",AK72)-1),""))=(AW72))+2*((IFERROR(--MID(AK72,FIND("-",AK72)+1,99),""))=(AX72))),""))</f>
        <v>10</v>
      </c>
      <c r="AM72" s="10" t="s">
        <v>50</v>
      </c>
      <c r="AN72" s="11">
        <f>IF(OR($C72="",AM72=""),"",IFERROR(IF(AND(IFERROR(--LEFT(AM72,FIND("-",AM72)-1),"")=AW72,IFERROR(--MID(AM72,FIND("-",AM72)+1,99),"")=AX72),10,5*(SIGN((IFERROR(--LEFT(AM72,FIND("-",AM72)-1),""))-(IFERROR(--MID(AM72,FIND("-",AM72)+1,99),"")))=SIGN((AW72)-(AX72)))+2*(((IFERROR(--LEFT(AM72,FIND("-",AM72)-1),""))-(IFERROR(--MID(AM72,FIND("-",AM72)+1,99),"")))=((AW72)-(AX72)))+2*((IFERROR(--LEFT(AM72,FIND("-",AM72)-1),""))=(AW72))+2*((IFERROR(--MID(AM72,FIND("-",AM72)+1,99),""))=(AX72))),""))</f>
        <v>0</v>
      </c>
      <c r="AO72" s="10" t="s">
        <v>48</v>
      </c>
      <c r="AP72" s="11">
        <f>IF(OR($C72="",AO72=""),"",IFERROR(IF(AND(IFERROR(--LEFT(AO72,FIND("-",AO72)-1),"")=AW72,IFERROR(--MID(AO72,FIND("-",AO72)+1,99),"")=AX72),10,5*(SIGN((IFERROR(--LEFT(AO72,FIND("-",AO72)-1),""))-(IFERROR(--MID(AO72,FIND("-",AO72)+1,99),"")))=SIGN((AW72)-(AX72)))+2*(((IFERROR(--LEFT(AO72,FIND("-",AO72)-1),""))-(IFERROR(--MID(AO72,FIND("-",AO72)+1,99),"")))=((AW72)-(AX72)))+2*((IFERROR(--LEFT(AO72,FIND("-",AO72)-1),""))=(AW72))+2*((IFERROR(--MID(AO72,FIND("-",AO72)+1,99),""))=(AX72))),""))</f>
        <v>7</v>
      </c>
      <c r="AQ72" s="10" t="s">
        <v>35</v>
      </c>
      <c r="AR72" s="11">
        <f>IF(OR($C72="",AQ72=""),"",IFERROR(IF(AND(IFERROR(--LEFT(AQ72,FIND("-",AQ72)-1),"")=AW72,IFERROR(--MID(AQ72,FIND("-",AQ72)+1,99),"")=AX72),10,5*(SIGN((IFERROR(--LEFT(AQ72,FIND("-",AQ72)-1),""))-(IFERROR(--MID(AQ72,FIND("-",AQ72)+1,99),"")))=SIGN((AW72)-(AX72)))+2*(((IFERROR(--LEFT(AQ72,FIND("-",AQ72)-1),""))-(IFERROR(--MID(AQ72,FIND("-",AQ72)+1,99),"")))=((AW72)-(AX72)))+2*((IFERROR(--LEFT(AQ72,FIND("-",AQ72)-1),""))=(AW72))+2*((IFERROR(--MID(AQ72,FIND("-",AQ72)+1,99),""))=(AX72))),""))</f>
        <v>2</v>
      </c>
      <c r="AS72" s="10" t="s">
        <v>35</v>
      </c>
      <c r="AT72" s="11">
        <f>IF(OR($C72="",AS72=""),"",IFERROR(IF(AND(IFERROR(--LEFT(AS72,FIND("-",AS72)-1),"")=AW72,IFERROR(--MID(AS72,FIND("-",AS72)+1,99),"")=AX72),10,5*(SIGN((IFERROR(--LEFT(AS72,FIND("-",AS72)-1),""))-(IFERROR(--MID(AS72,FIND("-",AS72)+1,99),"")))=SIGN((AW72)-(AX72)))+2*(((IFERROR(--LEFT(AS72,FIND("-",AS72)-1),""))-(IFERROR(--MID(AS72,FIND("-",AS72)+1,99),"")))=((AW72)-(AX72)))+2*((IFERROR(--LEFT(AS72,FIND("-",AS72)-1),""))=(AW72))+2*((IFERROR(--MID(AS72,FIND("-",AS72)+1,99),""))=(AX72))),""))</f>
        <v>2</v>
      </c>
      <c r="AU72" s="10" t="s">
        <v>45</v>
      </c>
      <c r="AV72" s="11">
        <f>IF(OR($C72="",AU72=""),"",IFERROR(IF(AND(IFERROR(--LEFT(AU72,FIND("-",AU72)-1),"")=AW72,IFERROR(--MID(AU72,FIND("-",AU72)+1,99),"")=AX72),10,5*(SIGN((IFERROR(--LEFT(AU72,FIND("-",AU72)-1),""))-(IFERROR(--MID(AU72,FIND("-",AU72)+1,99),"")))=SIGN((AW72)-(AX72)))+2*(((IFERROR(--LEFT(AU72,FIND("-",AU72)-1),""))-(IFERROR(--MID(AU72,FIND("-",AU72)+1,99),"")))=((AW72)-(AX72)))+2*((IFERROR(--LEFT(AU72,FIND("-",AU72)-1),""))=(AW72))+2*((IFERROR(--MID(AU72,FIND("-",AU72)+1,99),""))=(AX72))),""))</f>
        <v>7</v>
      </c>
      <c r="AW72" s="11">
        <f>IF($C72="","",IFERROR(--LEFT($C72,FIND("-",$C72)-1),""))</f>
        <v>1</v>
      </c>
      <c r="AX72" s="11">
        <f>IF($C72="","",IFERROR(--MID($C72,FIND("-",$C72)+1,99),""))</f>
        <v>2</v>
      </c>
    </row>
    <row r="73" spans="1:50" ht="18" customHeight="1" x14ac:dyDescent="0.3">
      <c r="A73" s="9">
        <v>1.791666666666667</v>
      </c>
      <c r="B73" s="18" t="s">
        <v>99</v>
      </c>
      <c r="C73" s="10" t="s">
        <v>71</v>
      </c>
      <c r="D73" s="1" t="s">
        <v>107</v>
      </c>
      <c r="E73" s="10" t="s">
        <v>36</v>
      </c>
      <c r="F73" s="11">
        <f>IF(OR($C73="",E73=""),"",IFERROR(IF(AND(IFERROR(--LEFT(E73,FIND("-",E73)-1),"")=AW73,IFERROR(--MID(E73,FIND("-",E73)+1,99),"")=AX73),10,5*(SIGN((IFERROR(--LEFT(E73,FIND("-",E73)-1),""))-(IFERROR(--MID(E73,FIND("-",E73)+1,99),"")))=SIGN((AW73)-(AX73)))+2*(((IFERROR(--LEFT(E73,FIND("-",E73)-1),""))-(IFERROR(--MID(E73,FIND("-",E73)+1,99),"")))=((AW73)-(AX73)))+2*((IFERROR(--LEFT(E73,FIND("-",E73)-1),""))=(AW73))+2*((IFERROR(--MID(E73,FIND("-",E73)+1,99),""))=(AX73))),""))</f>
        <v>7</v>
      </c>
      <c r="G73" s="10" t="s">
        <v>38</v>
      </c>
      <c r="H73" s="11">
        <f>IF(OR($C73="",G73=""),"",IFERROR(IF(AND(IFERROR(--LEFT(G73,FIND("-",G73)-1),"")=AW73,IFERROR(--MID(G73,FIND("-",G73)+1,99),"")=AX73),10,5*(SIGN((IFERROR(--LEFT(G73,FIND("-",G73)-1),""))-(IFERROR(--MID(G73,FIND("-",G73)+1,99),"")))=SIGN((AW73)-(AX73)))+2*(((IFERROR(--LEFT(G73,FIND("-",G73)-1),""))-(IFERROR(--MID(G73,FIND("-",G73)+1,99),"")))=((AW73)-(AX73)))+2*((IFERROR(--LEFT(G73,FIND("-",G73)-1),""))=(AW73))+2*((IFERROR(--MID(G73,FIND("-",G73)+1,99),""))=(AX73))),""))</f>
        <v>7</v>
      </c>
      <c r="I73" s="10" t="s">
        <v>33</v>
      </c>
      <c r="J73" s="11">
        <f>IF(OR($C73="",I73=""),"",IFERROR(IF(AND(IFERROR(--LEFT(I73,FIND("-",I73)-1),"")=AW73,IFERROR(--MID(I73,FIND("-",I73)+1,99),"")=AX73),10,5*(SIGN((IFERROR(--LEFT(I73,FIND("-",I73)-1),""))-(IFERROR(--MID(I73,FIND("-",I73)+1,99),"")))=SIGN((AW73)-(AX73)))+2*(((IFERROR(--LEFT(I73,FIND("-",I73)-1),""))-(IFERROR(--MID(I73,FIND("-",I73)+1,99),"")))=((AW73)-(AX73)))+2*((IFERROR(--LEFT(I73,FIND("-",I73)-1),""))=(AW73))+2*((IFERROR(--MID(I73,FIND("-",I73)+1,99),""))=(AX73))),""))</f>
        <v>5</v>
      </c>
      <c r="K73" s="10" t="s">
        <v>33</v>
      </c>
      <c r="L73" s="11">
        <f>IF(OR($C73="",K73=""),"",IFERROR(IF(AND(IFERROR(--LEFT(K73,FIND("-",K73)-1),"")=AW73,IFERROR(--MID(K73,FIND("-",K73)+1,99),"")=AX73),10,5*(SIGN((IFERROR(--LEFT(K73,FIND("-",K73)-1),""))-(IFERROR(--MID(K73,FIND("-",K73)+1,99),"")))=SIGN((AW73)-(AX73)))+2*(((IFERROR(--LEFT(K73,FIND("-",K73)-1),""))-(IFERROR(--MID(K73,FIND("-",K73)+1,99),"")))=((AW73)-(AX73)))+2*((IFERROR(--LEFT(K73,FIND("-",K73)-1),""))=(AW73))+2*((IFERROR(--MID(K73,FIND("-",K73)+1,99),""))=(AX73))),""))</f>
        <v>5</v>
      </c>
      <c r="M73" s="10" t="s">
        <v>36</v>
      </c>
      <c r="N73" s="11">
        <f>IF(OR($C73="",M73=""),"",IFERROR(IF(AND(IFERROR(--LEFT(M73,FIND("-",M73)-1),"")=AW73,IFERROR(--MID(M73,FIND("-",M73)+1,99),"")=AX73),10,5*(SIGN((IFERROR(--LEFT(M73,FIND("-",M73)-1),""))-(IFERROR(--MID(M73,FIND("-",M73)+1,99),"")))=SIGN((AW73)-(AX73)))+2*(((IFERROR(--LEFT(M73,FIND("-",M73)-1),""))-(IFERROR(--MID(M73,FIND("-",M73)+1,99),"")))=((AW73)-(AX73)))+2*((IFERROR(--LEFT(M73,FIND("-",M73)-1),""))=(AW73))+2*((IFERROR(--MID(M73,FIND("-",M73)+1,99),""))=(AX73))),""))</f>
        <v>7</v>
      </c>
      <c r="O73" s="10" t="s">
        <v>38</v>
      </c>
      <c r="P73" s="11">
        <f>IF(OR($C73="",O73=""),"",IFERROR(IF(AND(IFERROR(--LEFT(O73,FIND("-",O73)-1),"")=AW73,IFERROR(--MID(O73,FIND("-",O73)+1,99),"")=AX73),10,5*(SIGN((IFERROR(--LEFT(O73,FIND("-",O73)-1),""))-(IFERROR(--MID(O73,FIND("-",O73)+1,99),"")))=SIGN((AW73)-(AX73)))+2*(((IFERROR(--LEFT(O73,FIND("-",O73)-1),""))-(IFERROR(--MID(O73,FIND("-",O73)+1,99),"")))=((AW73)-(AX73)))+2*((IFERROR(--LEFT(O73,FIND("-",O73)-1),""))=(AW73))+2*((IFERROR(--MID(O73,FIND("-",O73)+1,99),""))=(AX73))),""))</f>
        <v>7</v>
      </c>
      <c r="Q73" s="10" t="s">
        <v>113</v>
      </c>
      <c r="R73" s="11">
        <f>IF(OR($C73="",Q73=""),"",IFERROR(IF(AND(IFERROR(--LEFT(Q73,FIND("-",Q73)-1),"")=AW73,IFERROR(--MID(Q73,FIND("-",Q73)+1,99),"")=AX73),10,5*(SIGN((IFERROR(--LEFT(Q73,FIND("-",Q73)-1),""))-(IFERROR(--MID(Q73,FIND("-",Q73)+1,99),"")))=SIGN((AW73)-(AX73)))+2*(((IFERROR(--LEFT(Q73,FIND("-",Q73)-1),""))-(IFERROR(--MID(Q73,FIND("-",Q73)+1,99),"")))=((AW73)-(AX73)))+2*((IFERROR(--LEFT(Q73,FIND("-",Q73)-1),""))=(AW73))+2*((IFERROR(--MID(Q73,FIND("-",Q73)+1,99),""))=(AX73))),""))</f>
        <v>7</v>
      </c>
      <c r="S73" s="10" t="s">
        <v>43</v>
      </c>
      <c r="T73" s="11">
        <f>IF(OR($C73="",S73=""),"",IFERROR(IF(AND(IFERROR(--LEFT(S73,FIND("-",S73)-1),"")=AW73,IFERROR(--MID(S73,FIND("-",S73)+1,99),"")=AX73),10,5*(SIGN((IFERROR(--LEFT(S73,FIND("-",S73)-1),""))-(IFERROR(--MID(S73,FIND("-",S73)+1,99),"")))=SIGN((AW73)-(AX73)))+2*(((IFERROR(--LEFT(S73,FIND("-",S73)-1),""))-(IFERROR(--MID(S73,FIND("-",S73)+1,99),"")))=((AW73)-(AX73)))+2*((IFERROR(--LEFT(S73,FIND("-",S73)-1),""))=(AW73))+2*((IFERROR(--MID(S73,FIND("-",S73)+1,99),""))=(AX73))),""))</f>
        <v>5</v>
      </c>
      <c r="U73" s="10" t="s">
        <v>36</v>
      </c>
      <c r="V73" s="11">
        <f>IF(OR($C73="",U73=""),"",IFERROR(IF(AND(IFERROR(--LEFT(U73,FIND("-",U73)-1),"")=AW73,IFERROR(--MID(U73,FIND("-",U73)+1,99),"")=AX73),10,5*(SIGN((IFERROR(--LEFT(U73,FIND("-",U73)-1),""))-(IFERROR(--MID(U73,FIND("-",U73)+1,99),"")))=SIGN((AW73)-(AX73)))+2*(((IFERROR(--LEFT(U73,FIND("-",U73)-1),""))-(IFERROR(--MID(U73,FIND("-",U73)+1,99),"")))=((AW73)-(AX73)))+2*((IFERROR(--LEFT(U73,FIND("-",U73)-1),""))=(AW73))+2*((IFERROR(--MID(U73,FIND("-",U73)+1,99),""))=(AX73))),""))</f>
        <v>7</v>
      </c>
      <c r="W73" s="10" t="s">
        <v>38</v>
      </c>
      <c r="X73" s="11">
        <f>IF(OR($C73="",W73=""),"",IFERROR(IF(AND(IFERROR(--LEFT(W73,FIND("-",W73)-1),"")=AW73,IFERROR(--MID(W73,FIND("-",W73)+1,99),"")=AX73),10,5*(SIGN((IFERROR(--LEFT(W73,FIND("-",W73)-1),""))-(IFERROR(--MID(W73,FIND("-",W73)+1,99),"")))=SIGN((AW73)-(AX73)))+2*(((IFERROR(--LEFT(W73,FIND("-",W73)-1),""))-(IFERROR(--MID(W73,FIND("-",W73)+1,99),"")))=((AW73)-(AX73)))+2*((IFERROR(--LEFT(W73,FIND("-",W73)-1),""))=(AW73))+2*((IFERROR(--MID(W73,FIND("-",W73)+1,99),""))=(AX73))),""))</f>
        <v>7</v>
      </c>
      <c r="Y73" s="10" t="s">
        <v>36</v>
      </c>
      <c r="Z73" s="11">
        <f>IF(OR($C73="",Y73=""),"",IFERROR(IF(AND(IFERROR(--LEFT(Y73,FIND("-",Y73)-1),"")=AW73,IFERROR(--MID(Y73,FIND("-",Y73)+1,99),"")=AX73),10,5*(SIGN((IFERROR(--LEFT(Y73,FIND("-",Y73)-1),""))-(IFERROR(--MID(Y73,FIND("-",Y73)+1,99),"")))=SIGN((AW73)-(AX73)))+2*(((IFERROR(--LEFT(Y73,FIND("-",Y73)-1),""))-(IFERROR(--MID(Y73,FIND("-",Y73)+1,99),"")))=((AW73)-(AX73)))+2*((IFERROR(--LEFT(Y73,FIND("-",Y73)-1),""))=(AW73))+2*((IFERROR(--MID(Y73,FIND("-",Y73)+1,99),""))=(AX73))),""))</f>
        <v>7</v>
      </c>
      <c r="AA73" s="10" t="s">
        <v>43</v>
      </c>
      <c r="AB73" s="11">
        <f>IF(OR($C73="",AA73=""),"",IFERROR(IF(AND(IFERROR(--LEFT(AA73,FIND("-",AA73)-1),"")=AW73,IFERROR(--MID(AA73,FIND("-",AA73)+1,99),"")=AX73),10,5*(SIGN((IFERROR(--LEFT(AA73,FIND("-",AA73)-1),""))-(IFERROR(--MID(AA73,FIND("-",AA73)+1,99),"")))=SIGN((AW73)-(AX73)))+2*(((IFERROR(--LEFT(AA73,FIND("-",AA73)-1),""))-(IFERROR(--MID(AA73,FIND("-",AA73)+1,99),"")))=((AW73)-(AX73)))+2*((IFERROR(--LEFT(AA73,FIND("-",AA73)-1),""))=(AW73))+2*((IFERROR(--MID(AA73,FIND("-",AA73)+1,99),""))=(AX73))),""))</f>
        <v>5</v>
      </c>
      <c r="AC73" s="10" t="s">
        <v>63</v>
      </c>
      <c r="AD73" s="11">
        <f>IF(OR($C73="",AC73=""),"",IFERROR(IF(AND(IFERROR(--LEFT(AC73,FIND("-",AC73)-1),"")=AW73,IFERROR(--MID(AC73,FIND("-",AC73)+1,99),"")=AX73),10,5*(SIGN((IFERROR(--LEFT(AC73,FIND("-",AC73)-1),""))-(IFERROR(--MID(AC73,FIND("-",AC73)+1,99),"")))=SIGN((AW73)-(AX73)))+2*(((IFERROR(--LEFT(AC73,FIND("-",AC73)-1),""))-(IFERROR(--MID(AC73,FIND("-",AC73)+1,99),"")))=((AW73)-(AX73)))+2*((IFERROR(--LEFT(AC73,FIND("-",AC73)-1),""))=(AW73))+2*((IFERROR(--MID(AC73,FIND("-",AC73)+1,99),""))=(AX73))),""))</f>
        <v>7</v>
      </c>
      <c r="AE73" s="10" t="s">
        <v>38</v>
      </c>
      <c r="AF73" s="11">
        <f>IF(OR($C73="",AE73=""),"",IFERROR(IF(AND(IFERROR(--LEFT(AE73,FIND("-",AE73)-1),"")=AW73,IFERROR(--MID(AE73,FIND("-",AE73)+1,99),"")=AX73),10,5*(SIGN((IFERROR(--LEFT(AE73,FIND("-",AE73)-1),""))-(IFERROR(--MID(AE73,FIND("-",AE73)+1,99),"")))=SIGN((AW73)-(AX73)))+2*(((IFERROR(--LEFT(AE73,FIND("-",AE73)-1),""))-(IFERROR(--MID(AE73,FIND("-",AE73)+1,99),"")))=((AW73)-(AX73)))+2*((IFERROR(--LEFT(AE73,FIND("-",AE73)-1),""))=(AW73))+2*((IFERROR(--MID(AE73,FIND("-",AE73)+1,99),""))=(AX73))),""))</f>
        <v>7</v>
      </c>
      <c r="AG73" s="10" t="s">
        <v>36</v>
      </c>
      <c r="AH73" s="11">
        <f>IF(OR($C73="",AG73=""),"",IFERROR(IF(AND(IFERROR(--LEFT(AG73,FIND("-",AG73)-1),"")=AW73,IFERROR(--MID(AG73,FIND("-",AG73)+1,99),"")=AX73),10,5*(SIGN((IFERROR(--LEFT(AG73,FIND("-",AG73)-1),""))-(IFERROR(--MID(AG73,FIND("-",AG73)+1,99),"")))=SIGN((AW73)-(AX73)))+2*(((IFERROR(--LEFT(AG73,FIND("-",AG73)-1),""))-(IFERROR(--MID(AG73,FIND("-",AG73)+1,99),"")))=((AW73)-(AX73)))+2*((IFERROR(--LEFT(AG73,FIND("-",AG73)-1),""))=(AW73))+2*((IFERROR(--MID(AG73,FIND("-",AG73)+1,99),""))=(AX73))),""))</f>
        <v>7</v>
      </c>
      <c r="AI73" s="10" t="s">
        <v>71</v>
      </c>
      <c r="AJ73" s="11">
        <f>IF(OR($C73="",AI73=""),"",IFERROR(IF(AND(IFERROR(--LEFT(AI73,FIND("-",AI73)-1),"")=AW73,IFERROR(--MID(AI73,FIND("-",AI73)+1,99),"")=AX73),10,5*(SIGN((IFERROR(--LEFT(AI73,FIND("-",AI73)-1),""))-(IFERROR(--MID(AI73,FIND("-",AI73)+1,99),"")))=SIGN((AW73)-(AX73)))+2*(((IFERROR(--LEFT(AI73,FIND("-",AI73)-1),""))-(IFERROR(--MID(AI73,FIND("-",AI73)+1,99),"")))=((AW73)-(AX73)))+2*((IFERROR(--LEFT(AI73,FIND("-",AI73)-1),""))=(AW73))+2*((IFERROR(--MID(AI73,FIND("-",AI73)+1,99),""))=(AX73))),""))</f>
        <v>10</v>
      </c>
      <c r="AK73" s="10" t="s">
        <v>36</v>
      </c>
      <c r="AL73" s="11">
        <f>IF(OR($C73="",AK73=""),"",IFERROR(IF(AND(IFERROR(--LEFT(AK73,FIND("-",AK73)-1),"")=AW73,IFERROR(--MID(AK73,FIND("-",AK73)+1,99),"")=AX73),10,5*(SIGN((IFERROR(--LEFT(AK73,FIND("-",AK73)-1),""))-(IFERROR(--MID(AK73,FIND("-",AK73)+1,99),"")))=SIGN((AW73)-(AX73)))+2*(((IFERROR(--LEFT(AK73,FIND("-",AK73)-1),""))-(IFERROR(--MID(AK73,FIND("-",AK73)+1,99),"")))=((AW73)-(AX73)))+2*((IFERROR(--LEFT(AK73,FIND("-",AK73)-1),""))=(AW73))+2*((IFERROR(--MID(AK73,FIND("-",AK73)+1,99),""))=(AX73))),""))</f>
        <v>7</v>
      </c>
      <c r="AM73" s="10" t="s">
        <v>38</v>
      </c>
      <c r="AN73" s="11">
        <f>IF(OR($C73="",AM73=""),"",IFERROR(IF(AND(IFERROR(--LEFT(AM73,FIND("-",AM73)-1),"")=AW73,IFERROR(--MID(AM73,FIND("-",AM73)+1,99),"")=AX73),10,5*(SIGN((IFERROR(--LEFT(AM73,FIND("-",AM73)-1),""))-(IFERROR(--MID(AM73,FIND("-",AM73)+1,99),"")))=SIGN((AW73)-(AX73)))+2*(((IFERROR(--LEFT(AM73,FIND("-",AM73)-1),""))-(IFERROR(--MID(AM73,FIND("-",AM73)+1,99),"")))=((AW73)-(AX73)))+2*((IFERROR(--LEFT(AM73,FIND("-",AM73)-1),""))=(AW73))+2*((IFERROR(--MID(AM73,FIND("-",AM73)+1,99),""))=(AX73))),""))</f>
        <v>7</v>
      </c>
      <c r="AO73" s="10" t="s">
        <v>36</v>
      </c>
      <c r="AP73" s="11">
        <f>IF(OR($C73="",AO73=""),"",IFERROR(IF(AND(IFERROR(--LEFT(AO73,FIND("-",AO73)-1),"")=AW73,IFERROR(--MID(AO73,FIND("-",AO73)+1,99),"")=AX73),10,5*(SIGN((IFERROR(--LEFT(AO73,FIND("-",AO73)-1),""))-(IFERROR(--MID(AO73,FIND("-",AO73)+1,99),"")))=SIGN((AW73)-(AX73)))+2*(((IFERROR(--LEFT(AO73,FIND("-",AO73)-1),""))-(IFERROR(--MID(AO73,FIND("-",AO73)+1,99),"")))=((AW73)-(AX73)))+2*((IFERROR(--LEFT(AO73,FIND("-",AO73)-1),""))=(AW73))+2*((IFERROR(--MID(AO73,FIND("-",AO73)+1,99),""))=(AX73))),""))</f>
        <v>7</v>
      </c>
      <c r="AQ73" s="10" t="s">
        <v>33</v>
      </c>
      <c r="AR73" s="11">
        <f>IF(OR($C73="",AQ73=""),"",IFERROR(IF(AND(IFERROR(--LEFT(AQ73,FIND("-",AQ73)-1),"")=AW73,IFERROR(--MID(AQ73,FIND("-",AQ73)+1,99),"")=AX73),10,5*(SIGN((IFERROR(--LEFT(AQ73,FIND("-",AQ73)-1),""))-(IFERROR(--MID(AQ73,FIND("-",AQ73)+1,99),"")))=SIGN((AW73)-(AX73)))+2*(((IFERROR(--LEFT(AQ73,FIND("-",AQ73)-1),""))-(IFERROR(--MID(AQ73,FIND("-",AQ73)+1,99),"")))=((AW73)-(AX73)))+2*((IFERROR(--LEFT(AQ73,FIND("-",AQ73)-1),""))=(AW73))+2*((IFERROR(--MID(AQ73,FIND("-",AQ73)+1,99),""))=(AX73))),""))</f>
        <v>5</v>
      </c>
      <c r="AS73" s="10" t="s">
        <v>39</v>
      </c>
      <c r="AT73" s="11">
        <f>IF(OR($C73="",AS73=""),"",IFERROR(IF(AND(IFERROR(--LEFT(AS73,FIND("-",AS73)-1),"")=AW73,IFERROR(--MID(AS73,FIND("-",AS73)+1,99),"")=AX73),10,5*(SIGN((IFERROR(--LEFT(AS73,FIND("-",AS73)-1),""))-(IFERROR(--MID(AS73,FIND("-",AS73)+1,99),"")))=SIGN((AW73)-(AX73)))+2*(((IFERROR(--LEFT(AS73,FIND("-",AS73)-1),""))-(IFERROR(--MID(AS73,FIND("-",AS73)+1,99),"")))=((AW73)-(AX73)))+2*((IFERROR(--LEFT(AS73,FIND("-",AS73)-1),""))=(AW73))+2*((IFERROR(--MID(AS73,FIND("-",AS73)+1,99),""))=(AX73))),""))</f>
        <v>7</v>
      </c>
      <c r="AU73" s="10" t="s">
        <v>34</v>
      </c>
      <c r="AV73" s="11">
        <f>IF(OR($C73="",AU73=""),"",IFERROR(IF(AND(IFERROR(--LEFT(AU73,FIND("-",AU73)-1),"")=AW73,IFERROR(--MID(AU73,FIND("-",AU73)+1,99),"")=AX73),10,5*(SIGN((IFERROR(--LEFT(AU73,FIND("-",AU73)-1),""))-(IFERROR(--MID(AU73,FIND("-",AU73)+1,99),"")))=SIGN((AW73)-(AX73)))+2*(((IFERROR(--LEFT(AU73,FIND("-",AU73)-1),""))-(IFERROR(--MID(AU73,FIND("-",AU73)+1,99),"")))=((AW73)-(AX73)))+2*((IFERROR(--LEFT(AU73,FIND("-",AU73)-1),""))=(AW73))+2*((IFERROR(--MID(AU73,FIND("-",AU73)+1,99),""))=(AX73))),""))</f>
        <v>5</v>
      </c>
      <c r="AW73" s="11">
        <f>IF($C73="","",IFERROR(--LEFT($C73,FIND("-",$C73)-1),""))</f>
        <v>5</v>
      </c>
      <c r="AX73" s="11">
        <f>IF($C73="","",IFERROR(--MID($C73,FIND("-",$C73)+1,99),""))</f>
        <v>0</v>
      </c>
    </row>
    <row r="74" spans="1:50" ht="18" customHeight="1" x14ac:dyDescent="0.3">
      <c r="A74" s="9">
        <v>1.916666666666667</v>
      </c>
      <c r="B74" s="18" t="s">
        <v>101</v>
      </c>
      <c r="C74" s="10" t="s">
        <v>50</v>
      </c>
      <c r="D74" s="1" t="s">
        <v>104</v>
      </c>
      <c r="E74" s="10" t="s">
        <v>33</v>
      </c>
      <c r="F74" s="11">
        <f>IF(OR($C74="",E74=""),"",IFERROR(IF(AND(IFERROR(--LEFT(E74,FIND("-",E74)-1),"")=AW74,IFERROR(--MID(E74,FIND("-",E74)+1,99),"")=AX74),10,5*(SIGN((IFERROR(--LEFT(E74,FIND("-",E74)-1),""))-(IFERROR(--MID(E74,FIND("-",E74)+1,99),"")))=SIGN((AW74)-(AX74)))+2*(((IFERROR(--LEFT(E74,FIND("-",E74)-1),""))-(IFERROR(--MID(E74,FIND("-",E74)+1,99),"")))=((AW74)-(AX74)))+2*((IFERROR(--LEFT(E74,FIND("-",E74)-1),""))=(AW74))+2*((IFERROR(--MID(E74,FIND("-",E74)+1,99),""))=(AX74))),""))</f>
        <v>0</v>
      </c>
      <c r="G74" s="10" t="s">
        <v>71</v>
      </c>
      <c r="H74" s="11">
        <f>IF(OR($C74="",G74=""),"",IFERROR(IF(AND(IFERROR(--LEFT(G74,FIND("-",G74)-1),"")=AW74,IFERROR(--MID(G74,FIND("-",G74)+1,99),"")=AX74),10,5*(SIGN((IFERROR(--LEFT(G74,FIND("-",G74)-1),""))-(IFERROR(--MID(G74,FIND("-",G74)+1,99),"")))=SIGN((AW74)-(AX74)))+2*(((IFERROR(--LEFT(G74,FIND("-",G74)-1),""))-(IFERROR(--MID(G74,FIND("-",G74)+1,99),"")))=((AW74)-(AX74)))+2*((IFERROR(--LEFT(G74,FIND("-",G74)-1),""))=(AW74))+2*((IFERROR(--MID(G74,FIND("-",G74)+1,99),""))=(AX74))),""))</f>
        <v>2</v>
      </c>
      <c r="I74" s="10" t="s">
        <v>33</v>
      </c>
      <c r="J74" s="11">
        <f>IF(OR($C74="",I74=""),"",IFERROR(IF(AND(IFERROR(--LEFT(I74,FIND("-",I74)-1),"")=AW74,IFERROR(--MID(I74,FIND("-",I74)+1,99),"")=AX74),10,5*(SIGN((IFERROR(--LEFT(I74,FIND("-",I74)-1),""))-(IFERROR(--MID(I74,FIND("-",I74)+1,99),"")))=SIGN((AW74)-(AX74)))+2*(((IFERROR(--LEFT(I74,FIND("-",I74)-1),""))-(IFERROR(--MID(I74,FIND("-",I74)+1,99),"")))=((AW74)-(AX74)))+2*((IFERROR(--LEFT(I74,FIND("-",I74)-1),""))=(AW74))+2*((IFERROR(--MID(I74,FIND("-",I74)+1,99),""))=(AX74))),""))</f>
        <v>0</v>
      </c>
      <c r="K74" s="10" t="s">
        <v>91</v>
      </c>
      <c r="L74" s="11">
        <f>IF(OR($C74="",K74=""),"",IFERROR(IF(AND(IFERROR(--LEFT(K74,FIND("-",K74)-1),"")=AW74,IFERROR(--MID(K74,FIND("-",K74)+1,99),"")=AX74),10,5*(SIGN((IFERROR(--LEFT(K74,FIND("-",K74)-1),""))-(IFERROR(--MID(K74,FIND("-",K74)+1,99),"")))=SIGN((AW74)-(AX74)))+2*(((IFERROR(--LEFT(K74,FIND("-",K74)-1),""))-(IFERROR(--MID(K74,FIND("-",K74)+1,99),"")))=((AW74)-(AX74)))+2*((IFERROR(--LEFT(K74,FIND("-",K74)-1),""))=(AW74))+2*((IFERROR(--MID(K74,FIND("-",K74)+1,99),""))=(AX74))),""))</f>
        <v>0</v>
      </c>
      <c r="M74" s="10" t="s">
        <v>49</v>
      </c>
      <c r="N74" s="11">
        <f>IF(OR($C74="",M74=""),"",IFERROR(IF(AND(IFERROR(--LEFT(M74,FIND("-",M74)-1),"")=AW74,IFERROR(--MID(M74,FIND("-",M74)+1,99),"")=AX74),10,5*(SIGN((IFERROR(--LEFT(M74,FIND("-",M74)-1),""))-(IFERROR(--MID(M74,FIND("-",M74)+1,99),"")))=SIGN((AW74)-(AX74)))+2*(((IFERROR(--LEFT(M74,FIND("-",M74)-1),""))-(IFERROR(--MID(M74,FIND("-",M74)+1,99),"")))=((AW74)-(AX74)))+2*((IFERROR(--LEFT(M74,FIND("-",M74)-1),""))=(AW74))+2*((IFERROR(--MID(M74,FIND("-",M74)+1,99),""))=(AX74))),""))</f>
        <v>7</v>
      </c>
      <c r="O74" s="10" t="s">
        <v>33</v>
      </c>
      <c r="P74" s="11">
        <f>IF(OR($C74="",O74=""),"",IFERROR(IF(AND(IFERROR(--LEFT(O74,FIND("-",O74)-1),"")=AW74,IFERROR(--MID(O74,FIND("-",O74)+1,99),"")=AX74),10,5*(SIGN((IFERROR(--LEFT(O74,FIND("-",O74)-1),""))-(IFERROR(--MID(O74,FIND("-",O74)+1,99),"")))=SIGN((AW74)-(AX74)))+2*(((IFERROR(--LEFT(O74,FIND("-",O74)-1),""))-(IFERROR(--MID(O74,FIND("-",O74)+1,99),"")))=((AW74)-(AX74)))+2*((IFERROR(--LEFT(O74,FIND("-",O74)-1),""))=(AW74))+2*((IFERROR(--MID(O74,FIND("-",O74)+1,99),""))=(AX74))),""))</f>
        <v>0</v>
      </c>
      <c r="Q74" s="10" t="s">
        <v>112</v>
      </c>
      <c r="R74" s="11">
        <f>IF(OR($C74="",Q74=""),"",IFERROR(IF(AND(IFERROR(--LEFT(Q74,FIND("-",Q74)-1),"")=AW74,IFERROR(--MID(Q74,FIND("-",Q74)+1,99),"")=AX74),10,5*(SIGN((IFERROR(--LEFT(Q74,FIND("-",Q74)-1),""))-(IFERROR(--MID(Q74,FIND("-",Q74)+1,99),"")))=SIGN((AW74)-(AX74)))+2*(((IFERROR(--LEFT(Q74,FIND("-",Q74)-1),""))-(IFERROR(--MID(Q74,FIND("-",Q74)+1,99),"")))=((AW74)-(AX74)))+2*((IFERROR(--LEFT(Q74,FIND("-",Q74)-1),""))=(AW74))+2*((IFERROR(--MID(Q74,FIND("-",Q74)+1,99),""))=(AX74))),""))</f>
        <v>2</v>
      </c>
      <c r="S74" s="10" t="s">
        <v>43</v>
      </c>
      <c r="T74" s="11">
        <f>IF(OR($C74="",S74=""),"",IFERROR(IF(AND(IFERROR(--LEFT(S74,FIND("-",S74)-1),"")=AW74,IFERROR(--MID(S74,FIND("-",S74)+1,99),"")=AX74),10,5*(SIGN((IFERROR(--LEFT(S74,FIND("-",S74)-1),""))-(IFERROR(--MID(S74,FIND("-",S74)+1,99),"")))=SIGN((AW74)-(AX74)))+2*(((IFERROR(--LEFT(S74,FIND("-",S74)-1),""))-(IFERROR(--MID(S74,FIND("-",S74)+1,99),"")))=((AW74)-(AX74)))+2*((IFERROR(--LEFT(S74,FIND("-",S74)-1),""))=(AW74))+2*((IFERROR(--MID(S74,FIND("-",S74)+1,99),""))=(AX74))),""))</f>
        <v>0</v>
      </c>
      <c r="U74" s="10" t="s">
        <v>36</v>
      </c>
      <c r="V74" s="11">
        <f>IF(OR($C74="",U74=""),"",IFERROR(IF(AND(IFERROR(--LEFT(U74,FIND("-",U74)-1),"")=AW74,IFERROR(--MID(U74,FIND("-",U74)+1,99),"")=AX74),10,5*(SIGN((IFERROR(--LEFT(U74,FIND("-",U74)-1),""))-(IFERROR(--MID(U74,FIND("-",U74)+1,99),"")))=SIGN((AW74)-(AX74)))+2*(((IFERROR(--LEFT(U74,FIND("-",U74)-1),""))-(IFERROR(--MID(U74,FIND("-",U74)+1,99),"")))=((AW74)-(AX74)))+2*((IFERROR(--LEFT(U74,FIND("-",U74)-1),""))=(AW74))+2*((IFERROR(--MID(U74,FIND("-",U74)+1,99),""))=(AX74))),""))</f>
        <v>2</v>
      </c>
      <c r="W74" s="10" t="s">
        <v>33</v>
      </c>
      <c r="X74" s="11">
        <f>IF(OR($C74="",W74=""),"",IFERROR(IF(AND(IFERROR(--LEFT(W74,FIND("-",W74)-1),"")=AW74,IFERROR(--MID(W74,FIND("-",W74)+1,99),"")=AX74),10,5*(SIGN((IFERROR(--LEFT(W74,FIND("-",W74)-1),""))-(IFERROR(--MID(W74,FIND("-",W74)+1,99),"")))=SIGN((AW74)-(AX74)))+2*(((IFERROR(--LEFT(W74,FIND("-",W74)-1),""))-(IFERROR(--MID(W74,FIND("-",W74)+1,99),"")))=((AW74)-(AX74)))+2*((IFERROR(--LEFT(W74,FIND("-",W74)-1),""))=(AW74))+2*((IFERROR(--MID(W74,FIND("-",W74)+1,99),""))=(AX74))),""))</f>
        <v>0</v>
      </c>
      <c r="Y74" s="10" t="s">
        <v>33</v>
      </c>
      <c r="Z74" s="11">
        <f>IF(OR($C74="",Y74=""),"",IFERROR(IF(AND(IFERROR(--LEFT(Y74,FIND("-",Y74)-1),"")=AW74,IFERROR(--MID(Y74,FIND("-",Y74)+1,99),"")=AX74),10,5*(SIGN((IFERROR(--LEFT(Y74,FIND("-",Y74)-1),""))-(IFERROR(--MID(Y74,FIND("-",Y74)+1,99),"")))=SIGN((AW74)-(AX74)))+2*(((IFERROR(--LEFT(Y74,FIND("-",Y74)-1),""))-(IFERROR(--MID(Y74,FIND("-",Y74)+1,99),"")))=((AW74)-(AX74)))+2*((IFERROR(--LEFT(Y74,FIND("-",Y74)-1),""))=(AW74))+2*((IFERROR(--MID(Y74,FIND("-",Y74)+1,99),""))=(AX74))),""))</f>
        <v>0</v>
      </c>
      <c r="AA74" s="10" t="s">
        <v>61</v>
      </c>
      <c r="AB74" s="11">
        <f>IF(OR($C74="",AA74=""),"",IFERROR(IF(AND(IFERROR(--LEFT(AA74,FIND("-",AA74)-1),"")=AW74,IFERROR(--MID(AA74,FIND("-",AA74)+1,99),"")=AX74),10,5*(SIGN((IFERROR(--LEFT(AA74,FIND("-",AA74)-1),""))-(IFERROR(--MID(AA74,FIND("-",AA74)+1,99),"")))=SIGN((AW74)-(AX74)))+2*(((IFERROR(--LEFT(AA74,FIND("-",AA74)-1),""))-(IFERROR(--MID(AA74,FIND("-",AA74)+1,99),"")))=((AW74)-(AX74)))+2*((IFERROR(--LEFT(AA74,FIND("-",AA74)-1),""))=(AW74))+2*((IFERROR(--MID(AA74,FIND("-",AA74)+1,99),""))=(AX74))),""))</f>
        <v>0</v>
      </c>
      <c r="AC74" s="10" t="s">
        <v>34</v>
      </c>
      <c r="AD74" s="11">
        <f>IF(OR($C74="",AC74=""),"",IFERROR(IF(AND(IFERROR(--LEFT(AC74,FIND("-",AC74)-1),"")=AW74,IFERROR(--MID(AC74,FIND("-",AC74)+1,99),"")=AX74),10,5*(SIGN((IFERROR(--LEFT(AC74,FIND("-",AC74)-1),""))-(IFERROR(--MID(AC74,FIND("-",AC74)+1,99),"")))=SIGN((AW74)-(AX74)))+2*(((IFERROR(--LEFT(AC74,FIND("-",AC74)-1),""))-(IFERROR(--MID(AC74,FIND("-",AC74)+1,99),"")))=((AW74)-(AX74)))+2*((IFERROR(--LEFT(AC74,FIND("-",AC74)-1),""))=(AW74))+2*((IFERROR(--MID(AC74,FIND("-",AC74)+1,99),""))=(AX74))),""))</f>
        <v>0</v>
      </c>
      <c r="AE74" s="10" t="s">
        <v>36</v>
      </c>
      <c r="AF74" s="11">
        <f>IF(OR($C74="",AE74=""),"",IFERROR(IF(AND(IFERROR(--LEFT(AE74,FIND("-",AE74)-1),"")=AW74,IFERROR(--MID(AE74,FIND("-",AE74)+1,99),"")=AX74),10,5*(SIGN((IFERROR(--LEFT(AE74,FIND("-",AE74)-1),""))-(IFERROR(--MID(AE74,FIND("-",AE74)+1,99),"")))=SIGN((AW74)-(AX74)))+2*(((IFERROR(--LEFT(AE74,FIND("-",AE74)-1),""))-(IFERROR(--MID(AE74,FIND("-",AE74)+1,99),"")))=((AW74)-(AX74)))+2*((IFERROR(--LEFT(AE74,FIND("-",AE74)-1),""))=(AW74))+2*((IFERROR(--MID(AE74,FIND("-",AE74)+1,99),""))=(AX74))),""))</f>
        <v>2</v>
      </c>
      <c r="AG74" s="10" t="s">
        <v>36</v>
      </c>
      <c r="AH74" s="11">
        <f>IF(OR($C74="",AG74=""),"",IFERROR(IF(AND(IFERROR(--LEFT(AG74,FIND("-",AG74)-1),"")=AW74,IFERROR(--MID(AG74,FIND("-",AG74)+1,99),"")=AX74),10,5*(SIGN((IFERROR(--LEFT(AG74,FIND("-",AG74)-1),""))-(IFERROR(--MID(AG74,FIND("-",AG74)+1,99),"")))=SIGN((AW74)-(AX74)))+2*(((IFERROR(--LEFT(AG74,FIND("-",AG74)-1),""))-(IFERROR(--MID(AG74,FIND("-",AG74)+1,99),"")))=((AW74)-(AX74)))+2*((IFERROR(--LEFT(AG74,FIND("-",AG74)-1),""))=(AW74))+2*((IFERROR(--MID(AG74,FIND("-",AG74)+1,99),""))=(AX74))),""))</f>
        <v>2</v>
      </c>
      <c r="AI74" s="10" t="s">
        <v>34</v>
      </c>
      <c r="AJ74" s="11">
        <f>IF(OR($C74="",AI74=""),"",IFERROR(IF(AND(IFERROR(--LEFT(AI74,FIND("-",AI74)-1),"")=AW74,IFERROR(--MID(AI74,FIND("-",AI74)+1,99),"")=AX74),10,5*(SIGN((IFERROR(--LEFT(AI74,FIND("-",AI74)-1),""))-(IFERROR(--MID(AI74,FIND("-",AI74)+1,99),"")))=SIGN((AW74)-(AX74)))+2*(((IFERROR(--LEFT(AI74,FIND("-",AI74)-1),""))-(IFERROR(--MID(AI74,FIND("-",AI74)+1,99),"")))=((AW74)-(AX74)))+2*((IFERROR(--LEFT(AI74,FIND("-",AI74)-1),""))=(AW74))+2*((IFERROR(--MID(AI74,FIND("-",AI74)+1,99),""))=(AX74))),""))</f>
        <v>0</v>
      </c>
      <c r="AK74" s="10" t="s">
        <v>38</v>
      </c>
      <c r="AL74" s="11">
        <f>IF(OR($C74="",AK74=""),"",IFERROR(IF(AND(IFERROR(--LEFT(AK74,FIND("-",AK74)-1),"")=AW74,IFERROR(--MID(AK74,FIND("-",AK74)+1,99),"")=AX74),10,5*(SIGN((IFERROR(--LEFT(AK74,FIND("-",AK74)-1),""))-(IFERROR(--MID(AK74,FIND("-",AK74)+1,99),"")))=SIGN((AW74)-(AX74)))+2*(((IFERROR(--LEFT(AK74,FIND("-",AK74)-1),""))-(IFERROR(--MID(AK74,FIND("-",AK74)+1,99),"")))=((AW74)-(AX74)))+2*((IFERROR(--LEFT(AK74,FIND("-",AK74)-1),""))=(AW74))+2*((IFERROR(--MID(AK74,FIND("-",AK74)+1,99),""))=(AX74))),""))</f>
        <v>2</v>
      </c>
      <c r="AM74" s="10" t="s">
        <v>49</v>
      </c>
      <c r="AN74" s="11">
        <f>IF(OR($C74="",AM74=""),"",IFERROR(IF(AND(IFERROR(--LEFT(AM74,FIND("-",AM74)-1),"")=AW74,IFERROR(--MID(AM74,FIND("-",AM74)+1,99),"")=AX74),10,5*(SIGN((IFERROR(--LEFT(AM74,FIND("-",AM74)-1),""))-(IFERROR(--MID(AM74,FIND("-",AM74)+1,99),"")))=SIGN((AW74)-(AX74)))+2*(((IFERROR(--LEFT(AM74,FIND("-",AM74)-1),""))-(IFERROR(--MID(AM74,FIND("-",AM74)+1,99),"")))=((AW74)-(AX74)))+2*((IFERROR(--LEFT(AM74,FIND("-",AM74)-1),""))=(AW74))+2*((IFERROR(--MID(AM74,FIND("-",AM74)+1,99),""))=(AX74))),""))</f>
        <v>7</v>
      </c>
      <c r="AO74" s="10" t="s">
        <v>36</v>
      </c>
      <c r="AP74" s="11">
        <f>IF(OR($C74="",AO74=""),"",IFERROR(IF(AND(IFERROR(--LEFT(AO74,FIND("-",AO74)-1),"")=AW74,IFERROR(--MID(AO74,FIND("-",AO74)+1,99),"")=AX74),10,5*(SIGN((IFERROR(--LEFT(AO74,FIND("-",AO74)-1),""))-(IFERROR(--MID(AO74,FIND("-",AO74)+1,99),"")))=SIGN((AW74)-(AX74)))+2*(((IFERROR(--LEFT(AO74,FIND("-",AO74)-1),""))-(IFERROR(--MID(AO74,FIND("-",AO74)+1,99),"")))=((AW74)-(AX74)))+2*((IFERROR(--LEFT(AO74,FIND("-",AO74)-1),""))=(AW74))+2*((IFERROR(--MID(AO74,FIND("-",AO74)+1,99),""))=(AX74))),""))</f>
        <v>2</v>
      </c>
      <c r="AQ74" s="10" t="s">
        <v>34</v>
      </c>
      <c r="AR74" s="11">
        <f>IF(OR($C74="",AQ74=""),"",IFERROR(IF(AND(IFERROR(--LEFT(AQ74,FIND("-",AQ74)-1),"")=AW74,IFERROR(--MID(AQ74,FIND("-",AQ74)+1,99),"")=AX74),10,5*(SIGN((IFERROR(--LEFT(AQ74,FIND("-",AQ74)-1),""))-(IFERROR(--MID(AQ74,FIND("-",AQ74)+1,99),"")))=SIGN((AW74)-(AX74)))+2*(((IFERROR(--LEFT(AQ74,FIND("-",AQ74)-1),""))-(IFERROR(--MID(AQ74,FIND("-",AQ74)+1,99),"")))=((AW74)-(AX74)))+2*((IFERROR(--LEFT(AQ74,FIND("-",AQ74)-1),""))=(AW74))+2*((IFERROR(--MID(AQ74,FIND("-",AQ74)+1,99),""))=(AX74))),""))</f>
        <v>0</v>
      </c>
      <c r="AS74" s="10" t="s">
        <v>36</v>
      </c>
      <c r="AT74" s="11">
        <f>IF(OR($C74="",AS74=""),"",IFERROR(IF(AND(IFERROR(--LEFT(AS74,FIND("-",AS74)-1),"")=AW74,IFERROR(--MID(AS74,FIND("-",AS74)+1,99),"")=AX74),10,5*(SIGN((IFERROR(--LEFT(AS74,FIND("-",AS74)-1),""))-(IFERROR(--MID(AS74,FIND("-",AS74)+1,99),"")))=SIGN((AW74)-(AX74)))+2*(((IFERROR(--LEFT(AS74,FIND("-",AS74)-1),""))-(IFERROR(--MID(AS74,FIND("-",AS74)+1,99),"")))=((AW74)-(AX74)))+2*((IFERROR(--LEFT(AS74,FIND("-",AS74)-1),""))=(AW74))+2*((IFERROR(--MID(AS74,FIND("-",AS74)+1,99),""))=(AX74))),""))</f>
        <v>2</v>
      </c>
      <c r="AU74" s="10" t="s">
        <v>33</v>
      </c>
      <c r="AV74" s="11">
        <f>IF(OR($C74="",AU74=""),"",IFERROR(IF(AND(IFERROR(--LEFT(AU74,FIND("-",AU74)-1),"")=AW74,IFERROR(--MID(AU74,FIND("-",AU74)+1,99),"")=AX74),10,5*(SIGN((IFERROR(--LEFT(AU74,FIND("-",AU74)-1),""))-(IFERROR(--MID(AU74,FIND("-",AU74)+1,99),"")))=SIGN((AW74)-(AX74)))+2*(((IFERROR(--LEFT(AU74,FIND("-",AU74)-1),""))-(IFERROR(--MID(AU74,FIND("-",AU74)+1,99),"")))=((AW74)-(AX74)))+2*((IFERROR(--LEFT(AU74,FIND("-",AU74)-1),""))=(AW74))+2*((IFERROR(--MID(AU74,FIND("-",AU74)+1,99),""))=(AX74))),""))</f>
        <v>0</v>
      </c>
      <c r="AW74" s="11">
        <f>IF($C74="","",IFERROR(--LEFT($C74,FIND("-",$C74)-1),""))</f>
        <v>0</v>
      </c>
      <c r="AX74" s="11">
        <f>IF($C74="","",IFERROR(--MID($C74,FIND("-",$C74)+1,99),""))</f>
        <v>0</v>
      </c>
    </row>
    <row r="75" spans="1:50" ht="18" customHeight="1" x14ac:dyDescent="0.3">
      <c r="A75" s="12"/>
      <c r="B75" s="18"/>
      <c r="C75" s="13"/>
      <c r="D75" s="1"/>
      <c r="E75" s="22"/>
      <c r="F75" s="12"/>
      <c r="G75" s="22"/>
      <c r="H75" s="12"/>
      <c r="I75" s="22"/>
      <c r="J75" s="12"/>
      <c r="K75" s="22"/>
      <c r="L75" s="12"/>
      <c r="M75" s="22"/>
      <c r="N75" s="12"/>
      <c r="O75" s="22"/>
      <c r="P75" s="12"/>
      <c r="Q75" s="22"/>
      <c r="R75" s="12"/>
      <c r="S75" s="22"/>
      <c r="T75" s="12"/>
      <c r="U75" s="13"/>
      <c r="V75" s="12"/>
      <c r="W75" s="22"/>
      <c r="X75" s="12"/>
      <c r="Y75" s="22"/>
      <c r="Z75" s="12"/>
      <c r="AA75" s="22"/>
      <c r="AB75" s="12"/>
      <c r="AC75" s="22"/>
      <c r="AD75" s="12"/>
      <c r="AE75" s="22"/>
      <c r="AF75" s="12"/>
      <c r="AG75" s="22"/>
      <c r="AH75" s="12"/>
      <c r="AI75" s="22"/>
      <c r="AJ75" s="12"/>
      <c r="AK75" s="22"/>
      <c r="AL75" s="12"/>
      <c r="AM75" s="22"/>
      <c r="AN75" s="12"/>
      <c r="AO75" s="22"/>
      <c r="AP75" s="12"/>
      <c r="AQ75" s="22"/>
      <c r="AR75" s="12" t="str">
        <f>IF(OR($C75="",AQ75=""),"",IFERROR(IF(AND(IFERROR(--LEFT(AQ75,FIND("-",AQ75)-1),"")=AW75,IFERROR(--MID(AQ75,FIND("-",AQ75)+1,99),"")=AX75),10,5*(SIGN((IFERROR(--LEFT(AQ75,FIND("-",AQ75)-1),""))-(IFERROR(--MID(AQ75,FIND("-",AQ75)+1,99),"")))=SIGN((AW75)-(AX75)))+2*(((IFERROR(--LEFT(AQ75,FIND("-",AQ75)-1),""))-(IFERROR(--MID(AQ75,FIND("-",AQ75)+1,99),"")))=((AW75)-(AX75)))+2*((IFERROR(--LEFT(AQ75,FIND("-",AQ75)-1),""))=(AW75))+2*((IFERROR(--MID(AQ75,FIND("-",AQ75)+1,99),""))=(AX75))),""))</f>
        <v/>
      </c>
      <c r="AS75" s="22"/>
      <c r="AT75" s="12" t="str">
        <f>IF(OR($C75="",AS75=""),"",IFERROR(IF(AND(IFERROR(--LEFT(AS75,FIND("-",AS75)-1),"")=AW75,IFERROR(--MID(AS75,FIND("-",AS75)+1,99),"")=AX75),10,5*(SIGN((IFERROR(--LEFT(AS75,FIND("-",AS75)-1),""))-(IFERROR(--MID(AS75,FIND("-",AS75)+1,99),"")))=SIGN((AW75)-(AX75)))+2*(((IFERROR(--LEFT(AS75,FIND("-",AS75)-1),""))-(IFERROR(--MID(AS75,FIND("-",AS75)+1,99),"")))=((AW75)-(AX75)))+2*((IFERROR(--LEFT(AS75,FIND("-",AS75)-1),""))=(AW75))+2*((IFERROR(--MID(AS75,FIND("-",AS75)+1,99),""))=(AX75))),""))</f>
        <v/>
      </c>
      <c r="AU75" s="22"/>
      <c r="AV75" s="12"/>
      <c r="AW75" s="12"/>
      <c r="AX75" s="12"/>
    </row>
    <row r="76" spans="1:50" ht="20.100000000000001" customHeight="1" x14ac:dyDescent="0.3">
      <c r="A76" s="36" t="s">
        <v>118</v>
      </c>
      <c r="B76" s="37"/>
      <c r="C76" s="38"/>
      <c r="D76" s="37"/>
      <c r="E76" s="38"/>
      <c r="F76" s="37"/>
      <c r="G76" s="38"/>
      <c r="H76" s="37"/>
      <c r="I76" s="38"/>
      <c r="J76" s="37"/>
      <c r="K76" s="38"/>
      <c r="L76" s="37"/>
      <c r="M76" s="38"/>
      <c r="N76" s="37"/>
      <c r="O76" s="38"/>
      <c r="P76" s="37"/>
      <c r="Q76" s="38"/>
      <c r="R76" s="37"/>
      <c r="S76" s="38"/>
      <c r="T76" s="37"/>
      <c r="U76" s="38"/>
      <c r="V76" s="37"/>
      <c r="W76" s="38"/>
      <c r="X76" s="37"/>
      <c r="Y76" s="38"/>
      <c r="Z76" s="37"/>
      <c r="AA76" s="38"/>
      <c r="AB76" s="37"/>
      <c r="AC76" s="38"/>
      <c r="AD76" s="37"/>
      <c r="AE76" s="38"/>
      <c r="AF76" s="37"/>
      <c r="AG76" s="38"/>
      <c r="AH76" s="37"/>
      <c r="AI76" s="38"/>
      <c r="AJ76" s="37"/>
      <c r="AK76" s="38"/>
      <c r="AL76" s="37"/>
      <c r="AM76" s="38"/>
      <c r="AN76" s="37"/>
      <c r="AO76" s="38"/>
      <c r="AP76" s="37"/>
      <c r="AQ76" s="37"/>
      <c r="AR76" s="37"/>
      <c r="AS76" s="37"/>
      <c r="AT76" s="37"/>
      <c r="AU76" s="38"/>
      <c r="AV76" s="39"/>
      <c r="AW76" s="8"/>
      <c r="AX76" s="8"/>
    </row>
    <row r="77" spans="1:50" ht="18" customHeight="1" x14ac:dyDescent="0.3">
      <c r="A77" s="9">
        <v>1.041666666666667</v>
      </c>
      <c r="B77" s="18" t="s">
        <v>105</v>
      </c>
      <c r="C77" s="10" t="s">
        <v>45</v>
      </c>
      <c r="D77" s="1" t="s">
        <v>102</v>
      </c>
      <c r="E77" s="10" t="s">
        <v>48</v>
      </c>
      <c r="F77" s="11">
        <f>IF(OR($C77="",E77=""),"",IFERROR(IF(AND(IFERROR(--LEFT(E77,FIND("-",E77)-1),"")=AW77,IFERROR(--MID(E77,FIND("-",E77)+1,99),"")=AX77),10,5*(SIGN((IFERROR(--LEFT(E77,FIND("-",E77)-1),""))-(IFERROR(--MID(E77,FIND("-",E77)+1,99),"")))=SIGN((AW77)-(AX77)))+2*(((IFERROR(--LEFT(E77,FIND("-",E77)-1),""))-(IFERROR(--MID(E77,FIND("-",E77)+1,99),"")))=((AW77)-(AX77)))+2*((IFERROR(--LEFT(E77,FIND("-",E77)-1),""))=(AW77))+2*((IFERROR(--MID(E77,FIND("-",E77)+1,99),""))=(AX77))),""))</f>
        <v>7</v>
      </c>
      <c r="G77" s="10" t="s">
        <v>56</v>
      </c>
      <c r="H77" s="11">
        <f>IF(OR($C77="",G77=""),"",IFERROR(IF(AND(IFERROR(--LEFT(G77,FIND("-",G77)-1),"")=AW77,IFERROR(--MID(G77,FIND("-",G77)+1,99),"")=AX77),10,5*(SIGN((IFERROR(--LEFT(G77,FIND("-",G77)-1),""))-(IFERROR(--MID(G77,FIND("-",G77)+1,99),"")))=SIGN((AW77)-(AX77)))+2*(((IFERROR(--LEFT(G77,FIND("-",G77)-1),""))-(IFERROR(--MID(G77,FIND("-",G77)+1,99),"")))=((AW77)-(AX77)))+2*((IFERROR(--LEFT(G77,FIND("-",G77)-1),""))=(AW77))+2*((IFERROR(--MID(G77,FIND("-",G77)+1,99),""))=(AX77))),""))</f>
        <v>7</v>
      </c>
      <c r="I77" s="10" t="s">
        <v>45</v>
      </c>
      <c r="J77" s="11">
        <f>IF(OR($C77="",I77=""),"",IFERROR(IF(AND(IFERROR(--LEFT(I77,FIND("-",I77)-1),"")=AW77,IFERROR(--MID(I77,FIND("-",I77)+1,99),"")=AX77),10,5*(SIGN((IFERROR(--LEFT(I77,FIND("-",I77)-1),""))-(IFERROR(--MID(I77,FIND("-",I77)+1,99),"")))=SIGN((AW77)-(AX77)))+2*(((IFERROR(--LEFT(I77,FIND("-",I77)-1),""))-(IFERROR(--MID(I77,FIND("-",I77)+1,99),"")))=((AW77)-(AX77)))+2*((IFERROR(--LEFT(I77,FIND("-",I77)-1),""))=(AW77))+2*((IFERROR(--MID(I77,FIND("-",I77)+1,99),""))=(AX77))),""))</f>
        <v>10</v>
      </c>
      <c r="K77" s="10" t="s">
        <v>56</v>
      </c>
      <c r="L77" s="11">
        <f>IF(OR($C77="",K77=""),"",IFERROR(IF(AND(IFERROR(--LEFT(K77,FIND("-",K77)-1),"")=AW77,IFERROR(--MID(K77,FIND("-",K77)+1,99),"")=AX77),10,5*(SIGN((IFERROR(--LEFT(K77,FIND("-",K77)-1),""))-(IFERROR(--MID(K77,FIND("-",K77)+1,99),"")))=SIGN((AW77)-(AX77)))+2*(((IFERROR(--LEFT(K77,FIND("-",K77)-1),""))-(IFERROR(--MID(K77,FIND("-",K77)+1,99),"")))=((AW77)-(AX77)))+2*((IFERROR(--LEFT(K77,FIND("-",K77)-1),""))=(AW77))+2*((IFERROR(--MID(K77,FIND("-",K77)+1,99),""))=(AX77))),""))</f>
        <v>7</v>
      </c>
      <c r="M77" s="10" t="s">
        <v>37</v>
      </c>
      <c r="N77" s="11">
        <f>IF(OR($C77="",M77=""),"",IFERROR(IF(AND(IFERROR(--LEFT(M77,FIND("-",M77)-1),"")=AW77,IFERROR(--MID(M77,FIND("-",M77)+1,99),"")=AX77),10,5*(SIGN((IFERROR(--LEFT(M77,FIND("-",M77)-1),""))-(IFERROR(--MID(M77,FIND("-",M77)+1,99),"")))=SIGN((AW77)-(AX77)))+2*(((IFERROR(--LEFT(M77,FIND("-",M77)-1),""))-(IFERROR(--MID(M77,FIND("-",M77)+1,99),"")))=((AW77)-(AX77)))+2*((IFERROR(--LEFT(M77,FIND("-",M77)-1),""))=(AW77))+2*((IFERROR(--MID(M77,FIND("-",M77)+1,99),""))=(AX77))),""))</f>
        <v>7</v>
      </c>
      <c r="O77" s="10" t="s">
        <v>48</v>
      </c>
      <c r="P77" s="11">
        <f>IF(OR($C77="",O77=""),"",IFERROR(IF(AND(IFERROR(--LEFT(O77,FIND("-",O77)-1),"")=AW77,IFERROR(--MID(O77,FIND("-",O77)+1,99),"")=AX77),10,5*(SIGN((IFERROR(--LEFT(O77,FIND("-",O77)-1),""))-(IFERROR(--MID(O77,FIND("-",O77)+1,99),"")))=SIGN((AW77)-(AX77)))+2*(((IFERROR(--LEFT(O77,FIND("-",O77)-1),""))-(IFERROR(--MID(O77,FIND("-",O77)+1,99),"")))=((AW77)-(AX77)))+2*((IFERROR(--LEFT(O77,FIND("-",O77)-1),""))=(AW77))+2*((IFERROR(--MID(O77,FIND("-",O77)+1,99),""))=(AX77))),""))</f>
        <v>7</v>
      </c>
      <c r="Q77" s="10" t="s">
        <v>56</v>
      </c>
      <c r="R77" s="11">
        <f>IF(OR($C77="",Q77=""),"",IFERROR(IF(AND(IFERROR(--LEFT(Q77,FIND("-",Q77)-1),"")=AW77,IFERROR(--MID(Q77,FIND("-",Q77)+1,99),"")=AX77),10,5*(SIGN((IFERROR(--LEFT(Q77,FIND("-",Q77)-1),""))-(IFERROR(--MID(Q77,FIND("-",Q77)+1,99),"")))=SIGN((AW77)-(AX77)))+2*(((IFERROR(--LEFT(Q77,FIND("-",Q77)-1),""))-(IFERROR(--MID(Q77,FIND("-",Q77)+1,99),"")))=((AW77)-(AX77)))+2*((IFERROR(--LEFT(Q77,FIND("-",Q77)-1),""))=(AW77))+2*((IFERROR(--MID(Q77,FIND("-",Q77)+1,99),""))=(AX77))),""))</f>
        <v>7</v>
      </c>
      <c r="S77" s="10" t="s">
        <v>35</v>
      </c>
      <c r="T77" s="11">
        <f>IF(OR($C77="",S77=""),"",IFERROR(IF(AND(IFERROR(--LEFT(S77,FIND("-",S77)-1),"")=AW77,IFERROR(--MID(S77,FIND("-",S77)+1,99),"")=AX77),10,5*(SIGN((IFERROR(--LEFT(S77,FIND("-",S77)-1),""))-(IFERROR(--MID(S77,FIND("-",S77)+1,99),"")))=SIGN((AW77)-(AX77)))+2*(((IFERROR(--LEFT(S77,FIND("-",S77)-1),""))-(IFERROR(--MID(S77,FIND("-",S77)+1,99),"")))=((AW77)-(AX77)))+2*((IFERROR(--LEFT(S77,FIND("-",S77)-1),""))=(AW77))+2*((IFERROR(--MID(S77,FIND("-",S77)+1,99),""))=(AX77))),""))</f>
        <v>2</v>
      </c>
      <c r="U77" s="10" t="s">
        <v>48</v>
      </c>
      <c r="V77" s="11">
        <f>IF(OR($C77="",U77=""),"",IFERROR(IF(AND(IFERROR(--LEFT(U77,FIND("-",U77)-1),"")=AW77,IFERROR(--MID(U77,FIND("-",U77)+1,99),"")=AX77),10,5*(SIGN((IFERROR(--LEFT(U77,FIND("-",U77)-1),""))-(IFERROR(--MID(U77,FIND("-",U77)+1,99),"")))=SIGN((AW77)-(AX77)))+2*(((IFERROR(--LEFT(U77,FIND("-",U77)-1),""))-(IFERROR(--MID(U77,FIND("-",U77)+1,99),"")))=((AW77)-(AX77)))+2*((IFERROR(--LEFT(U77,FIND("-",U77)-1),""))=(AW77))+2*((IFERROR(--MID(U77,FIND("-",U77)+1,99),""))=(AX77))),""))</f>
        <v>7</v>
      </c>
      <c r="W77" s="10" t="s">
        <v>48</v>
      </c>
      <c r="X77" s="11">
        <f>IF(OR($C77="",W77=""),"",IFERROR(IF(AND(IFERROR(--LEFT(W77,FIND("-",W77)-1),"")=AW77,IFERROR(--MID(W77,FIND("-",W77)+1,99),"")=AX77),10,5*(SIGN((IFERROR(--LEFT(W77,FIND("-",W77)-1),""))-(IFERROR(--MID(W77,FIND("-",W77)+1,99),"")))=SIGN((AW77)-(AX77)))+2*(((IFERROR(--LEFT(W77,FIND("-",W77)-1),""))-(IFERROR(--MID(W77,FIND("-",W77)+1,99),"")))=((AW77)-(AX77)))+2*((IFERROR(--LEFT(W77,FIND("-",W77)-1),""))=(AW77))+2*((IFERROR(--MID(W77,FIND("-",W77)+1,99),""))=(AX77))),""))</f>
        <v>7</v>
      </c>
      <c r="Y77" s="10" t="s">
        <v>48</v>
      </c>
      <c r="Z77" s="11">
        <f>IF(OR($C77="",Y77=""),"",IFERROR(IF(AND(IFERROR(--LEFT(Y77,FIND("-",Y77)-1),"")=AW77,IFERROR(--MID(Y77,FIND("-",Y77)+1,99),"")=AX77),10,5*(SIGN((IFERROR(--LEFT(Y77,FIND("-",Y77)-1),""))-(IFERROR(--MID(Y77,FIND("-",Y77)+1,99),"")))=SIGN((AW77)-(AX77)))+2*(((IFERROR(--LEFT(Y77,FIND("-",Y77)-1),""))-(IFERROR(--MID(Y77,FIND("-",Y77)+1,99),"")))=((AW77)-(AX77)))+2*((IFERROR(--LEFT(Y77,FIND("-",Y77)-1),""))=(AW77))+2*((IFERROR(--MID(Y77,FIND("-",Y77)+1,99),""))=(AX77))),""))</f>
        <v>7</v>
      </c>
      <c r="AA77" s="10" t="s">
        <v>48</v>
      </c>
      <c r="AB77" s="11">
        <f>IF(OR($C77="",AA77=""),"",IFERROR(IF(AND(IFERROR(--LEFT(AA77,FIND("-",AA77)-1),"")=AW77,IFERROR(--MID(AA77,FIND("-",AA77)+1,99),"")=AX77),10,5*(SIGN((IFERROR(--LEFT(AA77,FIND("-",AA77)-1),""))-(IFERROR(--MID(AA77,FIND("-",AA77)+1,99),"")))=SIGN((AW77)-(AX77)))+2*(((IFERROR(--LEFT(AA77,FIND("-",AA77)-1),""))-(IFERROR(--MID(AA77,FIND("-",AA77)+1,99),"")))=((AW77)-(AX77)))+2*((IFERROR(--LEFT(AA77,FIND("-",AA77)-1),""))=(AW77))+2*((IFERROR(--MID(AA77,FIND("-",AA77)+1,99),""))=(AX77))),""))</f>
        <v>7</v>
      </c>
      <c r="AC77" s="28" t="s">
        <v>33</v>
      </c>
      <c r="AD77" s="11">
        <f>IF(OR($C77="",AC77=""),"",IFERROR(IF(AND(IFERROR(--LEFT(AC77,FIND("-",AC77)-1),"")=AW77,IFERROR(--MID(AC77,FIND("-",AC77)+1,99),"")=AX77),10,5*(SIGN((IFERROR(--LEFT(AC77,FIND("-",AC77)-1),""))-(IFERROR(--MID(AC77,FIND("-",AC77)+1,99),"")))=SIGN((AW77)-(AX77)))+2*(((IFERROR(--LEFT(AC77,FIND("-",AC77)-1),""))-(IFERROR(--MID(AC77,FIND("-",AC77)+1,99),"")))=((AW77)-(AX77)))+2*((IFERROR(--LEFT(AC77,FIND("-",AC77)-1),""))=(AW77))+2*((IFERROR(--MID(AC77,FIND("-",AC77)+1,99),""))=(AX77))),""))</f>
        <v>2</v>
      </c>
      <c r="AE77" s="10" t="s">
        <v>48</v>
      </c>
      <c r="AF77" s="11">
        <f>IF(OR($C77="",AE77=""),"",IFERROR(IF(AND(IFERROR(--LEFT(AE77,FIND("-",AE77)-1),"")=AW77,IFERROR(--MID(AE77,FIND("-",AE77)+1,99),"")=AX77),10,5*(SIGN((IFERROR(--LEFT(AE77,FIND("-",AE77)-1),""))-(IFERROR(--MID(AE77,FIND("-",AE77)+1,99),"")))=SIGN((AW77)-(AX77)))+2*(((IFERROR(--LEFT(AE77,FIND("-",AE77)-1),""))-(IFERROR(--MID(AE77,FIND("-",AE77)+1,99),"")))=((AW77)-(AX77)))+2*((IFERROR(--LEFT(AE77,FIND("-",AE77)-1),""))=(AW77))+2*((IFERROR(--MID(AE77,FIND("-",AE77)+1,99),""))=(AX77))),""))</f>
        <v>7</v>
      </c>
      <c r="AG77" s="10" t="s">
        <v>48</v>
      </c>
      <c r="AH77" s="11">
        <f>IF(OR($C77="",AG77=""),"",IFERROR(IF(AND(IFERROR(--LEFT(AG77,FIND("-",AG77)-1),"")=AW77,IFERROR(--MID(AG77,FIND("-",AG77)+1,99),"")=AX77),10,5*(SIGN((IFERROR(--LEFT(AG77,FIND("-",AG77)-1),""))-(IFERROR(--MID(AG77,FIND("-",AG77)+1,99),"")))=SIGN((AW77)-(AX77)))+2*(((IFERROR(--LEFT(AG77,FIND("-",AG77)-1),""))-(IFERROR(--MID(AG77,FIND("-",AG77)+1,99),"")))=((AW77)-(AX77)))+2*((IFERROR(--LEFT(AG77,FIND("-",AG77)-1),""))=(AW77))+2*((IFERROR(--MID(AG77,FIND("-",AG77)+1,99),""))=(AX77))),""))</f>
        <v>7</v>
      </c>
      <c r="AI77" s="10" t="s">
        <v>56</v>
      </c>
      <c r="AJ77" s="11">
        <f>IF(OR($C77="",AI77=""),"",IFERROR(IF(AND(IFERROR(--LEFT(AI77,FIND("-",AI77)-1),"")=AW77,IFERROR(--MID(AI77,FIND("-",AI77)+1,99),"")=AX77),10,5*(SIGN((IFERROR(--LEFT(AI77,FIND("-",AI77)-1),""))-(IFERROR(--MID(AI77,FIND("-",AI77)+1,99),"")))=SIGN((AW77)-(AX77)))+2*(((IFERROR(--LEFT(AI77,FIND("-",AI77)-1),""))-(IFERROR(--MID(AI77,FIND("-",AI77)+1,99),"")))=((AW77)-(AX77)))+2*((IFERROR(--LEFT(AI77,FIND("-",AI77)-1),""))=(AW77))+2*((IFERROR(--MID(AI77,FIND("-",AI77)+1,99),""))=(AX77))),""))</f>
        <v>7</v>
      </c>
      <c r="AK77" s="10" t="s">
        <v>48</v>
      </c>
      <c r="AL77" s="11">
        <f>IF(OR($C77="",AK77=""),"",IFERROR(IF(AND(IFERROR(--LEFT(AK77,FIND("-",AK77)-1),"")=AW77,IFERROR(--MID(AK77,FIND("-",AK77)+1,99),"")=AX77),10,5*(SIGN((IFERROR(--LEFT(AK77,FIND("-",AK77)-1),""))-(IFERROR(--MID(AK77,FIND("-",AK77)+1,99),"")))=SIGN((AW77)-(AX77)))+2*(((IFERROR(--LEFT(AK77,FIND("-",AK77)-1),""))-(IFERROR(--MID(AK77,FIND("-",AK77)+1,99),"")))=((AW77)-(AX77)))+2*((IFERROR(--LEFT(AK77,FIND("-",AK77)-1),""))=(AW77))+2*((IFERROR(--MID(AK77,FIND("-",AK77)+1,99),""))=(AX77))),""))</f>
        <v>7</v>
      </c>
      <c r="AM77" s="10" t="s">
        <v>48</v>
      </c>
      <c r="AN77" s="11">
        <f>IF(OR($C77="",AM77=""),"",IFERROR(IF(AND(IFERROR(--LEFT(AM77,FIND("-",AM77)-1),"")=AW77,IFERROR(--MID(AM77,FIND("-",AM77)+1,99),"")=AX77),10,5*(SIGN((IFERROR(--LEFT(AM77,FIND("-",AM77)-1),""))-(IFERROR(--MID(AM77,FIND("-",AM77)+1,99),"")))=SIGN((AW77)-(AX77)))+2*(((IFERROR(--LEFT(AM77,FIND("-",AM77)-1),""))-(IFERROR(--MID(AM77,FIND("-",AM77)+1,99),"")))=((AW77)-(AX77)))+2*((IFERROR(--LEFT(AM77,FIND("-",AM77)-1),""))=(AW77))+2*((IFERROR(--MID(AM77,FIND("-",AM77)+1,99),""))=(AX77))),""))</f>
        <v>7</v>
      </c>
      <c r="AO77" s="10" t="s">
        <v>37</v>
      </c>
      <c r="AP77" s="11">
        <f>IF(OR($C77="",AO77=""),"",IFERROR(IF(AND(IFERROR(--LEFT(AO77,FIND("-",AO77)-1),"")=AW77,IFERROR(--MID(AO77,FIND("-",AO77)+1,99),"")=AX77),10,5*(SIGN((IFERROR(--LEFT(AO77,FIND("-",AO77)-1),""))-(IFERROR(--MID(AO77,FIND("-",AO77)+1,99),"")))=SIGN((AW77)-(AX77)))+2*(((IFERROR(--LEFT(AO77,FIND("-",AO77)-1),""))-(IFERROR(--MID(AO77,FIND("-",AO77)+1,99),"")))=((AW77)-(AX77)))+2*((IFERROR(--LEFT(AO77,FIND("-",AO77)-1),""))=(AW77))+2*((IFERROR(--MID(AO77,FIND("-",AO77)+1,99),""))=(AX77))),""))</f>
        <v>7</v>
      </c>
      <c r="AQ77" s="10" t="s">
        <v>35</v>
      </c>
      <c r="AR77" s="11">
        <f>IF(OR($C77="",AQ77=""),"",IFERROR(IF(AND(IFERROR(--LEFT(AQ77,FIND("-",AQ77)-1),"")=AW77,IFERROR(--MID(AQ77,FIND("-",AQ77)+1,99),"")=AX77),10,5*(SIGN((IFERROR(--LEFT(AQ77,FIND("-",AQ77)-1),""))-(IFERROR(--MID(AQ77,FIND("-",AQ77)+1,99),"")))=SIGN((AW77)-(AX77)))+2*(((IFERROR(--LEFT(AQ77,FIND("-",AQ77)-1),""))-(IFERROR(--MID(AQ77,FIND("-",AQ77)+1,99),"")))=((AW77)-(AX77)))+2*((IFERROR(--LEFT(AQ77,FIND("-",AQ77)-1),""))=(AW77))+2*((IFERROR(--MID(AQ77,FIND("-",AQ77)+1,99),""))=(AX77))),""))</f>
        <v>2</v>
      </c>
      <c r="AS77" s="10" t="s">
        <v>37</v>
      </c>
      <c r="AT77" s="11">
        <f>IF(OR($C77="",AS77=""),"",IFERROR(IF(AND(IFERROR(--LEFT(AS77,FIND("-",AS77)-1),"")=AW77,IFERROR(--MID(AS77,FIND("-",AS77)+1,99),"")=AX77),10,5*(SIGN((IFERROR(--LEFT(AS77,FIND("-",AS77)-1),""))-(IFERROR(--MID(AS77,FIND("-",AS77)+1,99),"")))=SIGN((AW77)-(AX77)))+2*(((IFERROR(--LEFT(AS77,FIND("-",AS77)-1),""))-(IFERROR(--MID(AS77,FIND("-",AS77)+1,99),"")))=((AW77)-(AX77)))+2*((IFERROR(--LEFT(AS77,FIND("-",AS77)-1),""))=(AW77))+2*((IFERROR(--MID(AS77,FIND("-",AS77)+1,99),""))=(AX77))),""))</f>
        <v>7</v>
      </c>
      <c r="AU77" s="10" t="s">
        <v>45</v>
      </c>
      <c r="AV77" s="11">
        <f>IF(OR($C77="",AU77=""),"",IFERROR(IF(AND(IFERROR(--LEFT(AU77,FIND("-",AU77)-1),"")=AW77,IFERROR(--MID(AU77,FIND("-",AU77)+1,99),"")=AX77),10,5*(SIGN((IFERROR(--LEFT(AU77,FIND("-",AU77)-1),""))-(IFERROR(--MID(AU77,FIND("-",AU77)+1,99),"")))=SIGN((AW77)-(AX77)))+2*(((IFERROR(--LEFT(AU77,FIND("-",AU77)-1),""))-(IFERROR(--MID(AU77,FIND("-",AU77)+1,99),"")))=((AW77)-(AX77)))+2*((IFERROR(--LEFT(AU77,FIND("-",AU77)-1),""))=(AW77))+2*((IFERROR(--MID(AU77,FIND("-",AU77)+1,99),""))=(AX77))),""))</f>
        <v>10</v>
      </c>
      <c r="AW77" s="11">
        <f>IF($C77="","",IFERROR(--LEFT($C77,FIND("-",$C77)-1),""))</f>
        <v>0</v>
      </c>
      <c r="AX77" s="11">
        <f>IF($C77="","",IFERROR(--MID($C77,FIND("-",$C77)+1,99),""))</f>
        <v>1</v>
      </c>
    </row>
    <row r="78" spans="1:50" ht="18" customHeight="1" x14ac:dyDescent="0.3">
      <c r="A78" s="9">
        <v>1.166666666666667</v>
      </c>
      <c r="B78" s="18" t="s">
        <v>108</v>
      </c>
      <c r="C78" s="10" t="s">
        <v>39</v>
      </c>
      <c r="D78" s="1" t="s">
        <v>100</v>
      </c>
      <c r="E78" s="10" t="s">
        <v>33</v>
      </c>
      <c r="F78" s="11">
        <f>IF(OR($C78="",E78=""),"",IFERROR(IF(AND(IFERROR(--LEFT(E78,FIND("-",E78)-1),"")=AW78,IFERROR(--MID(E78,FIND("-",E78)+1,99),"")=AX78),10,5*(SIGN((IFERROR(--LEFT(E78,FIND("-",E78)-1),""))-(IFERROR(--MID(E78,FIND("-",E78)+1,99),"")))=SIGN((AW78)-(AX78)))+2*(((IFERROR(--LEFT(E78,FIND("-",E78)-1),""))-(IFERROR(--MID(E78,FIND("-",E78)+1,99),"")))=((AW78)-(AX78)))+2*((IFERROR(--LEFT(E78,FIND("-",E78)-1),""))=(AW78))+2*((IFERROR(--MID(E78,FIND("-",E78)+1,99),""))=(AX78))),""))</f>
        <v>7</v>
      </c>
      <c r="G78" s="10" t="s">
        <v>33</v>
      </c>
      <c r="H78" s="11">
        <f>IF(OR($C78="",G78=""),"",IFERROR(IF(AND(IFERROR(--LEFT(G78,FIND("-",G78)-1),"")=AW78,IFERROR(--MID(G78,FIND("-",G78)+1,99),"")=AX78),10,5*(SIGN((IFERROR(--LEFT(G78,FIND("-",G78)-1),""))-(IFERROR(--MID(G78,FIND("-",G78)+1,99),"")))=SIGN((AW78)-(AX78)))+2*(((IFERROR(--LEFT(G78,FIND("-",G78)-1),""))-(IFERROR(--MID(G78,FIND("-",G78)+1,99),"")))=((AW78)-(AX78)))+2*((IFERROR(--LEFT(G78,FIND("-",G78)-1),""))=(AW78))+2*((IFERROR(--MID(G78,FIND("-",G78)+1,99),""))=(AX78))),""))</f>
        <v>7</v>
      </c>
      <c r="I78" s="10" t="s">
        <v>33</v>
      </c>
      <c r="J78" s="11">
        <f>IF(OR($C78="",I78=""),"",IFERROR(IF(AND(IFERROR(--LEFT(I78,FIND("-",I78)-1),"")=AW78,IFERROR(--MID(I78,FIND("-",I78)+1,99),"")=AX78),10,5*(SIGN((IFERROR(--LEFT(I78,FIND("-",I78)-1),""))-(IFERROR(--MID(I78,FIND("-",I78)+1,99),"")))=SIGN((AW78)-(AX78)))+2*(((IFERROR(--LEFT(I78,FIND("-",I78)-1),""))-(IFERROR(--MID(I78,FIND("-",I78)+1,99),"")))=((AW78)-(AX78)))+2*((IFERROR(--LEFT(I78,FIND("-",I78)-1),""))=(AW78))+2*((IFERROR(--MID(I78,FIND("-",I78)+1,99),""))=(AX78))),""))</f>
        <v>7</v>
      </c>
      <c r="K78" s="10" t="s">
        <v>33</v>
      </c>
      <c r="L78" s="11">
        <f>IF(OR($C78="",K78=""),"",IFERROR(IF(AND(IFERROR(--LEFT(K78,FIND("-",K78)-1),"")=AW78,IFERROR(--MID(K78,FIND("-",K78)+1,99),"")=AX78),10,5*(SIGN((IFERROR(--LEFT(K78,FIND("-",K78)-1),""))-(IFERROR(--MID(K78,FIND("-",K78)+1,99),"")))=SIGN((AW78)-(AX78)))+2*(((IFERROR(--LEFT(K78,FIND("-",K78)-1),""))-(IFERROR(--MID(K78,FIND("-",K78)+1,99),"")))=((AW78)-(AX78)))+2*((IFERROR(--LEFT(K78,FIND("-",K78)-1),""))=(AW78))+2*((IFERROR(--MID(K78,FIND("-",K78)+1,99),""))=(AX78))),""))</f>
        <v>7</v>
      </c>
      <c r="M78" s="10" t="s">
        <v>35</v>
      </c>
      <c r="N78" s="11">
        <f>IF(OR($C78="",M78=""),"",IFERROR(IF(AND(IFERROR(--LEFT(M78,FIND("-",M78)-1),"")=AW78,IFERROR(--MID(M78,FIND("-",M78)+1,99),"")=AX78),10,5*(SIGN((IFERROR(--LEFT(M78,FIND("-",M78)-1),""))-(IFERROR(--MID(M78,FIND("-",M78)+1,99),"")))=SIGN((AW78)-(AX78)))+2*(((IFERROR(--LEFT(M78,FIND("-",M78)-1),""))-(IFERROR(--MID(M78,FIND("-",M78)+1,99),"")))=((AW78)-(AX78)))+2*((IFERROR(--LEFT(M78,FIND("-",M78)-1),""))=(AW78))+2*((IFERROR(--MID(M78,FIND("-",M78)+1,99),""))=(AX78))),""))</f>
        <v>2</v>
      </c>
      <c r="O78" s="10" t="s">
        <v>38</v>
      </c>
      <c r="P78" s="11">
        <f>IF(OR($C78="",O78=""),"",IFERROR(IF(AND(IFERROR(--LEFT(O78,FIND("-",O78)-1),"")=AW78,IFERROR(--MID(O78,FIND("-",O78)+1,99),"")=AX78),10,5*(SIGN((IFERROR(--LEFT(O78,FIND("-",O78)-1),""))-(IFERROR(--MID(O78,FIND("-",O78)+1,99),"")))=SIGN((AW78)-(AX78)))+2*(((IFERROR(--LEFT(O78,FIND("-",O78)-1),""))-(IFERROR(--MID(O78,FIND("-",O78)+1,99),"")))=((AW78)-(AX78)))+2*((IFERROR(--LEFT(O78,FIND("-",O78)-1),""))=(AW78))+2*((IFERROR(--MID(O78,FIND("-",O78)+1,99),""))=(AX78))),""))</f>
        <v>7</v>
      </c>
      <c r="Q78" s="10" t="s">
        <v>33</v>
      </c>
      <c r="R78" s="11">
        <f>IF(OR($C78="",Q78=""),"",IFERROR(IF(AND(IFERROR(--LEFT(Q78,FIND("-",Q78)-1),"")=AW78,IFERROR(--MID(Q78,FIND("-",Q78)+1,99),"")=AX78),10,5*(SIGN((IFERROR(--LEFT(Q78,FIND("-",Q78)-1),""))-(IFERROR(--MID(Q78,FIND("-",Q78)+1,99),"")))=SIGN((AW78)-(AX78)))+2*(((IFERROR(--LEFT(Q78,FIND("-",Q78)-1),""))-(IFERROR(--MID(Q78,FIND("-",Q78)+1,99),"")))=((AW78)-(AX78)))+2*((IFERROR(--LEFT(Q78,FIND("-",Q78)-1),""))=(AW78))+2*((IFERROR(--MID(Q78,FIND("-",Q78)+1,99),""))=(AX78))),""))</f>
        <v>7</v>
      </c>
      <c r="S78" s="10" t="s">
        <v>49</v>
      </c>
      <c r="T78" s="11">
        <f>IF(OR($C78="",S78=""),"",IFERROR(IF(AND(IFERROR(--LEFT(S78,FIND("-",S78)-1),"")=AW78,IFERROR(--MID(S78,FIND("-",S78)+1,99),"")=AX78),10,5*(SIGN((IFERROR(--LEFT(S78,FIND("-",S78)-1),""))-(IFERROR(--MID(S78,FIND("-",S78)+1,99),"")))=SIGN((AW78)-(AX78)))+2*(((IFERROR(--LEFT(S78,FIND("-",S78)-1),""))-(IFERROR(--MID(S78,FIND("-",S78)+1,99),"")))=((AW78)-(AX78)))+2*((IFERROR(--LEFT(S78,FIND("-",S78)-1),""))=(AW78))+2*((IFERROR(--MID(S78,FIND("-",S78)+1,99),""))=(AX78))),""))</f>
        <v>0</v>
      </c>
      <c r="U78" s="10" t="s">
        <v>33</v>
      </c>
      <c r="V78" s="11">
        <f>IF(OR($C78="",U78=""),"",IFERROR(IF(AND(IFERROR(--LEFT(U78,FIND("-",U78)-1),"")=AW78,IFERROR(--MID(U78,FIND("-",U78)+1,99),"")=AX78),10,5*(SIGN((IFERROR(--LEFT(U78,FIND("-",U78)-1),""))-(IFERROR(--MID(U78,FIND("-",U78)+1,99),"")))=SIGN((AW78)-(AX78)))+2*(((IFERROR(--LEFT(U78,FIND("-",U78)-1),""))-(IFERROR(--MID(U78,FIND("-",U78)+1,99),"")))=((AW78)-(AX78)))+2*((IFERROR(--LEFT(U78,FIND("-",U78)-1),""))=(AW78))+2*((IFERROR(--MID(U78,FIND("-",U78)+1,99),""))=(AX78))),""))</f>
        <v>7</v>
      </c>
      <c r="W78" s="10" t="s">
        <v>33</v>
      </c>
      <c r="X78" s="11">
        <f>IF(OR($C78="",W78=""),"",IFERROR(IF(AND(IFERROR(--LEFT(W78,FIND("-",W78)-1),"")=AW78,IFERROR(--MID(W78,FIND("-",W78)+1,99),"")=AX78),10,5*(SIGN((IFERROR(--LEFT(W78,FIND("-",W78)-1),""))-(IFERROR(--MID(W78,FIND("-",W78)+1,99),"")))=SIGN((AW78)-(AX78)))+2*(((IFERROR(--LEFT(W78,FIND("-",W78)-1),""))-(IFERROR(--MID(W78,FIND("-",W78)+1,99),"")))=((AW78)-(AX78)))+2*((IFERROR(--LEFT(W78,FIND("-",W78)-1),""))=(AW78))+2*((IFERROR(--MID(W78,FIND("-",W78)+1,99),""))=(AX78))),""))</f>
        <v>7</v>
      </c>
      <c r="Y78" s="10" t="s">
        <v>35</v>
      </c>
      <c r="Z78" s="11">
        <f>IF(OR($C78="",Y78=""),"",IFERROR(IF(AND(IFERROR(--LEFT(Y78,FIND("-",Y78)-1),"")=AW78,IFERROR(--MID(Y78,FIND("-",Y78)+1,99),"")=AX78),10,5*(SIGN((IFERROR(--LEFT(Y78,FIND("-",Y78)-1),""))-(IFERROR(--MID(Y78,FIND("-",Y78)+1,99),"")))=SIGN((AW78)-(AX78)))+2*(((IFERROR(--LEFT(Y78,FIND("-",Y78)-1),""))-(IFERROR(--MID(Y78,FIND("-",Y78)+1,99),"")))=((AW78)-(AX78)))+2*((IFERROR(--LEFT(Y78,FIND("-",Y78)-1),""))=(AW78))+2*((IFERROR(--MID(Y78,FIND("-",Y78)+1,99),""))=(AX78))),""))</f>
        <v>2</v>
      </c>
      <c r="AA78" s="10" t="s">
        <v>37</v>
      </c>
      <c r="AB78" s="11">
        <f>IF(OR($C78="",AA78=""),"",IFERROR(IF(AND(IFERROR(--LEFT(AA78,FIND("-",AA78)-1),"")=AW78,IFERROR(--MID(AA78,FIND("-",AA78)+1,99),"")=AX78),10,5*(SIGN((IFERROR(--LEFT(AA78,FIND("-",AA78)-1),""))-(IFERROR(--MID(AA78,FIND("-",AA78)+1,99),"")))=SIGN((AW78)-(AX78)))+2*(((IFERROR(--LEFT(AA78,FIND("-",AA78)-1),""))-(IFERROR(--MID(AA78,FIND("-",AA78)+1,99),"")))=((AW78)-(AX78)))+2*((IFERROR(--LEFT(AA78,FIND("-",AA78)-1),""))=(AW78))+2*((IFERROR(--MID(AA78,FIND("-",AA78)+1,99),""))=(AX78))),""))</f>
        <v>2</v>
      </c>
      <c r="AC78" s="28" t="s">
        <v>49</v>
      </c>
      <c r="AD78" s="11">
        <f>IF(OR($C78="",AC78=""),"",IFERROR(IF(AND(IFERROR(--LEFT(AC78,FIND("-",AC78)-1),"")=AW78,IFERROR(--MID(AC78,FIND("-",AC78)+1,99),"")=AX78),10,5*(SIGN((IFERROR(--LEFT(AC78,FIND("-",AC78)-1),""))-(IFERROR(--MID(AC78,FIND("-",AC78)+1,99),"")))=SIGN((AW78)-(AX78)))+2*(((IFERROR(--LEFT(AC78,FIND("-",AC78)-1),""))-(IFERROR(--MID(AC78,FIND("-",AC78)+1,99),"")))=((AW78)-(AX78)))+2*((IFERROR(--LEFT(AC78,FIND("-",AC78)-1),""))=(AW78))+2*((IFERROR(--MID(AC78,FIND("-",AC78)+1,99),""))=(AX78))),""))</f>
        <v>0</v>
      </c>
      <c r="AE78" s="10" t="s">
        <v>36</v>
      </c>
      <c r="AF78" s="11">
        <f>IF(OR($C78="",AE78=""),"",IFERROR(IF(AND(IFERROR(--LEFT(AE78,FIND("-",AE78)-1),"")=AW78,IFERROR(--MID(AE78,FIND("-",AE78)+1,99),"")=AX78),10,5*(SIGN((IFERROR(--LEFT(AE78,FIND("-",AE78)-1),""))-(IFERROR(--MID(AE78,FIND("-",AE78)+1,99),"")))=SIGN((AW78)-(AX78)))+2*(((IFERROR(--LEFT(AE78,FIND("-",AE78)-1),""))-(IFERROR(--MID(AE78,FIND("-",AE78)+1,99),"")))=((AW78)-(AX78)))+2*((IFERROR(--LEFT(AE78,FIND("-",AE78)-1),""))=(AW78))+2*((IFERROR(--MID(AE78,FIND("-",AE78)+1,99),""))=(AX78))),""))</f>
        <v>7</v>
      </c>
      <c r="AG78" s="10" t="s">
        <v>36</v>
      </c>
      <c r="AH78" s="11">
        <f>IF(OR($C78="",AG78=""),"",IFERROR(IF(AND(IFERROR(--LEFT(AG78,FIND("-",AG78)-1),"")=AW78,IFERROR(--MID(AG78,FIND("-",AG78)+1,99),"")=AX78),10,5*(SIGN((IFERROR(--LEFT(AG78,FIND("-",AG78)-1),""))-(IFERROR(--MID(AG78,FIND("-",AG78)+1,99),"")))=SIGN((AW78)-(AX78)))+2*(((IFERROR(--LEFT(AG78,FIND("-",AG78)-1),""))-(IFERROR(--MID(AG78,FIND("-",AG78)+1,99),"")))=((AW78)-(AX78)))+2*((IFERROR(--LEFT(AG78,FIND("-",AG78)-1),""))=(AW78))+2*((IFERROR(--MID(AG78,FIND("-",AG78)+1,99),""))=(AX78))),""))</f>
        <v>7</v>
      </c>
      <c r="AI78" s="10" t="s">
        <v>39</v>
      </c>
      <c r="AJ78" s="11">
        <f>IF(OR($C78="",AI78=""),"",IFERROR(IF(AND(IFERROR(--LEFT(AI78,FIND("-",AI78)-1),"")=AW78,IFERROR(--MID(AI78,FIND("-",AI78)+1,99),"")=AX78),10,5*(SIGN((IFERROR(--LEFT(AI78,FIND("-",AI78)-1),""))-(IFERROR(--MID(AI78,FIND("-",AI78)+1,99),"")))=SIGN((AW78)-(AX78)))+2*(((IFERROR(--LEFT(AI78,FIND("-",AI78)-1),""))-(IFERROR(--MID(AI78,FIND("-",AI78)+1,99),"")))=((AW78)-(AX78)))+2*((IFERROR(--LEFT(AI78,FIND("-",AI78)-1),""))=(AW78))+2*((IFERROR(--MID(AI78,FIND("-",AI78)+1,99),""))=(AX78))),""))</f>
        <v>10</v>
      </c>
      <c r="AK78" s="10" t="s">
        <v>36</v>
      </c>
      <c r="AL78" s="11">
        <f>IF(OR($C78="",AK78=""),"",IFERROR(IF(AND(IFERROR(--LEFT(AK78,FIND("-",AK78)-1),"")=AW78,IFERROR(--MID(AK78,FIND("-",AK78)+1,99),"")=AX78),10,5*(SIGN((IFERROR(--LEFT(AK78,FIND("-",AK78)-1),""))-(IFERROR(--MID(AK78,FIND("-",AK78)+1,99),"")))=SIGN((AW78)-(AX78)))+2*(((IFERROR(--LEFT(AK78,FIND("-",AK78)-1),""))-(IFERROR(--MID(AK78,FIND("-",AK78)+1,99),"")))=((AW78)-(AX78)))+2*((IFERROR(--LEFT(AK78,FIND("-",AK78)-1),""))=(AW78))+2*((IFERROR(--MID(AK78,FIND("-",AK78)+1,99),""))=(AX78))),""))</f>
        <v>7</v>
      </c>
      <c r="AM78" s="10" t="s">
        <v>45</v>
      </c>
      <c r="AN78" s="11">
        <f>IF(OR($C78="",AM78=""),"",IFERROR(IF(AND(IFERROR(--LEFT(AM78,FIND("-",AM78)-1),"")=AW78,IFERROR(--MID(AM78,FIND("-",AM78)+1,99),"")=AX78),10,5*(SIGN((IFERROR(--LEFT(AM78,FIND("-",AM78)-1),""))-(IFERROR(--MID(AM78,FIND("-",AM78)+1,99),"")))=SIGN((AW78)-(AX78)))+2*(((IFERROR(--LEFT(AM78,FIND("-",AM78)-1),""))-(IFERROR(--MID(AM78,FIND("-",AM78)+1,99),"")))=((AW78)-(AX78)))+2*((IFERROR(--LEFT(AM78,FIND("-",AM78)-1),""))=(AW78))+2*((IFERROR(--MID(AM78,FIND("-",AM78)+1,99),""))=(AX78))),""))</f>
        <v>0</v>
      </c>
      <c r="AO78" s="10" t="s">
        <v>36</v>
      </c>
      <c r="AP78" s="11">
        <f>IF(OR($C78="",AO78=""),"",IFERROR(IF(AND(IFERROR(--LEFT(AO78,FIND("-",AO78)-1),"")=AW78,IFERROR(--MID(AO78,FIND("-",AO78)+1,99),"")=AX78),10,5*(SIGN((IFERROR(--LEFT(AO78,FIND("-",AO78)-1),""))-(IFERROR(--MID(AO78,FIND("-",AO78)+1,99),"")))=SIGN((AW78)-(AX78)))+2*(((IFERROR(--LEFT(AO78,FIND("-",AO78)-1),""))-(IFERROR(--MID(AO78,FIND("-",AO78)+1,99),"")))=((AW78)-(AX78)))+2*((IFERROR(--LEFT(AO78,FIND("-",AO78)-1),""))=(AW78))+2*((IFERROR(--MID(AO78,FIND("-",AO78)+1,99),""))=(AX78))),""))</f>
        <v>7</v>
      </c>
      <c r="AQ78" s="10" t="s">
        <v>33</v>
      </c>
      <c r="AR78" s="11">
        <f>IF(OR($C78="",AQ78=""),"",IFERROR(IF(AND(IFERROR(--LEFT(AQ78,FIND("-",AQ78)-1),"")=AW78,IFERROR(--MID(AQ78,FIND("-",AQ78)+1,99),"")=AX78),10,5*(SIGN((IFERROR(--LEFT(AQ78,FIND("-",AQ78)-1),""))-(IFERROR(--MID(AQ78,FIND("-",AQ78)+1,99),"")))=SIGN((AW78)-(AX78)))+2*(((IFERROR(--LEFT(AQ78,FIND("-",AQ78)-1),""))-(IFERROR(--MID(AQ78,FIND("-",AQ78)+1,99),"")))=((AW78)-(AX78)))+2*((IFERROR(--LEFT(AQ78,FIND("-",AQ78)-1),""))=(AW78))+2*((IFERROR(--MID(AQ78,FIND("-",AQ78)+1,99),""))=(AX78))),""))</f>
        <v>7</v>
      </c>
      <c r="AS78" s="10" t="s">
        <v>39</v>
      </c>
      <c r="AT78" s="11">
        <f>IF(OR($C78="",AS78=""),"",IFERROR(IF(AND(IFERROR(--LEFT(AS78,FIND("-",AS78)-1),"")=AW78,IFERROR(--MID(AS78,FIND("-",AS78)+1,99),"")=AX78),10,5*(SIGN((IFERROR(--LEFT(AS78,FIND("-",AS78)-1),""))-(IFERROR(--MID(AS78,FIND("-",AS78)+1,99),"")))=SIGN((AW78)-(AX78)))+2*(((IFERROR(--LEFT(AS78,FIND("-",AS78)-1),""))-(IFERROR(--MID(AS78,FIND("-",AS78)+1,99),"")))=((AW78)-(AX78)))+2*((IFERROR(--LEFT(AS78,FIND("-",AS78)-1),""))=(AW78))+2*((IFERROR(--MID(AS78,FIND("-",AS78)+1,99),""))=(AX78))),""))</f>
        <v>10</v>
      </c>
      <c r="AU78" s="10" t="s">
        <v>36</v>
      </c>
      <c r="AV78" s="11">
        <f>IF(OR($C78="",AU78=""),"",IFERROR(IF(AND(IFERROR(--LEFT(AU78,FIND("-",AU78)-1),"")=AW78,IFERROR(--MID(AU78,FIND("-",AU78)+1,99),"")=AX78),10,5*(SIGN((IFERROR(--LEFT(AU78,FIND("-",AU78)-1),""))-(IFERROR(--MID(AU78,FIND("-",AU78)+1,99),"")))=SIGN((AW78)-(AX78)))+2*(((IFERROR(--LEFT(AU78,FIND("-",AU78)-1),""))-(IFERROR(--MID(AU78,FIND("-",AU78)+1,99),"")))=((AW78)-(AX78)))+2*((IFERROR(--LEFT(AU78,FIND("-",AU78)-1),""))=(AW78))+2*((IFERROR(--MID(AU78,FIND("-",AU78)+1,99),""))=(AX78))),""))</f>
        <v>7</v>
      </c>
      <c r="AW78" s="11">
        <f>IF($C78="","",IFERROR(--LEFT($C78,FIND("-",$C78)-1),""))</f>
        <v>1</v>
      </c>
      <c r="AX78" s="11">
        <f>IF($C78="","",IFERROR(--MID($C78,FIND("-",$C78)+1,99),""))</f>
        <v>0</v>
      </c>
    </row>
    <row r="79" spans="1:50" ht="18" customHeight="1" x14ac:dyDescent="0.3">
      <c r="A79" s="9">
        <v>1.875</v>
      </c>
      <c r="B79" s="18" t="s">
        <v>55</v>
      </c>
      <c r="C79" s="10" t="s">
        <v>33</v>
      </c>
      <c r="D79" s="1" t="s">
        <v>46</v>
      </c>
      <c r="E79" s="10" t="s">
        <v>35</v>
      </c>
      <c r="F79" s="11">
        <f>IF(OR($C79="",E79=""),"",IFERROR(IF(AND(IFERROR(--LEFT(E79,FIND("-",E79)-1),"")=AW79,IFERROR(--MID(E79,FIND("-",E79)+1,99),"")=AX79),10,5*(SIGN((IFERROR(--LEFT(E79,FIND("-",E79)-1),""))-(IFERROR(--MID(E79,FIND("-",E79)+1,99),"")))=SIGN((AW79)-(AX79)))+2*(((IFERROR(--LEFT(E79,FIND("-",E79)-1),""))-(IFERROR(--MID(E79,FIND("-",E79)+1,99),"")))=((AW79)-(AX79)))+2*((IFERROR(--LEFT(E79,FIND("-",E79)-1),""))=(AW79))+2*((IFERROR(--MID(E79,FIND("-",E79)+1,99),""))=(AX79))),""))</f>
        <v>2</v>
      </c>
      <c r="G79" s="10" t="s">
        <v>35</v>
      </c>
      <c r="H79" s="11">
        <f>IF(OR($C79="",G79=""),"",IFERROR(IF(AND(IFERROR(--LEFT(G79,FIND("-",G79)-1),"")=AW79,IFERROR(--MID(G79,FIND("-",G79)+1,99),"")=AX79),10,5*(SIGN((IFERROR(--LEFT(G79,FIND("-",G79)-1),""))-(IFERROR(--MID(G79,FIND("-",G79)+1,99),"")))=SIGN((AW79)-(AX79)))+2*(((IFERROR(--LEFT(G79,FIND("-",G79)-1),""))-(IFERROR(--MID(G79,FIND("-",G79)+1,99),"")))=((AW79)-(AX79)))+2*((IFERROR(--LEFT(G79,FIND("-",G79)-1),""))=(AW79))+2*((IFERROR(--MID(G79,FIND("-",G79)+1,99),""))=(AX79))),""))</f>
        <v>2</v>
      </c>
      <c r="I79" s="10" t="s">
        <v>36</v>
      </c>
      <c r="J79" s="11">
        <f>IF(OR($C79="",I79=""),"",IFERROR(IF(AND(IFERROR(--LEFT(I79,FIND("-",I79)-1),"")=AW79,IFERROR(--MID(I79,FIND("-",I79)+1,99),"")=AX79),10,5*(SIGN((IFERROR(--LEFT(I79,FIND("-",I79)-1),""))-(IFERROR(--MID(I79,FIND("-",I79)+1,99),"")))=SIGN((AW79)-(AX79)))+2*(((IFERROR(--LEFT(I79,FIND("-",I79)-1),""))-(IFERROR(--MID(I79,FIND("-",I79)+1,99),"")))=((AW79)-(AX79)))+2*((IFERROR(--LEFT(I79,FIND("-",I79)-1),""))=(AW79))+2*((IFERROR(--MID(I79,FIND("-",I79)+1,99),""))=(AX79))),""))</f>
        <v>7</v>
      </c>
      <c r="K79" s="10" t="s">
        <v>37</v>
      </c>
      <c r="L79" s="11">
        <f>IF(OR($C79="",K79=""),"",IFERROR(IF(AND(IFERROR(--LEFT(K79,FIND("-",K79)-1),"")=AW79,IFERROR(--MID(K79,FIND("-",K79)+1,99),"")=AX79),10,5*(SIGN((IFERROR(--LEFT(K79,FIND("-",K79)-1),""))-(IFERROR(--MID(K79,FIND("-",K79)+1,99),"")))=SIGN((AW79)-(AX79)))+2*(((IFERROR(--LEFT(K79,FIND("-",K79)-1),""))-(IFERROR(--MID(K79,FIND("-",K79)+1,99),"")))=((AW79)-(AX79)))+2*((IFERROR(--LEFT(K79,FIND("-",K79)-1),""))=(AW79))+2*((IFERROR(--MID(K79,FIND("-",K79)+1,99),""))=(AX79))),""))</f>
        <v>0</v>
      </c>
      <c r="M79" s="10" t="s">
        <v>33</v>
      </c>
      <c r="N79" s="11">
        <f>IF(OR($C79="",M79=""),"",IFERROR(IF(AND(IFERROR(--LEFT(M79,FIND("-",M79)-1),"")=AW79,IFERROR(--MID(M79,FIND("-",M79)+1,99),"")=AX79),10,5*(SIGN((IFERROR(--LEFT(M79,FIND("-",M79)-1),""))-(IFERROR(--MID(M79,FIND("-",M79)+1,99),"")))=SIGN((AW79)-(AX79)))+2*(((IFERROR(--LEFT(M79,FIND("-",M79)-1),""))-(IFERROR(--MID(M79,FIND("-",M79)+1,99),"")))=((AW79)-(AX79)))+2*((IFERROR(--LEFT(M79,FIND("-",M79)-1),""))=(AW79))+2*((IFERROR(--MID(M79,FIND("-",M79)+1,99),""))=(AX79))),""))</f>
        <v>10</v>
      </c>
      <c r="O79" s="10" t="s">
        <v>33</v>
      </c>
      <c r="P79" s="11">
        <f>IF(OR($C79="",O79=""),"",IFERROR(IF(AND(IFERROR(--LEFT(O79,FIND("-",O79)-1),"")=AW79,IFERROR(--MID(O79,FIND("-",O79)+1,99),"")=AX79),10,5*(SIGN((IFERROR(--LEFT(O79,FIND("-",O79)-1),""))-(IFERROR(--MID(O79,FIND("-",O79)+1,99),"")))=SIGN((AW79)-(AX79)))+2*(((IFERROR(--LEFT(O79,FIND("-",O79)-1),""))-(IFERROR(--MID(O79,FIND("-",O79)+1,99),"")))=((AW79)-(AX79)))+2*((IFERROR(--LEFT(O79,FIND("-",O79)-1),""))=(AW79))+2*((IFERROR(--MID(O79,FIND("-",O79)+1,99),""))=(AX79))),""))</f>
        <v>10</v>
      </c>
      <c r="Q79" s="10" t="s">
        <v>49</v>
      </c>
      <c r="R79" s="11">
        <f>IF(OR($C79="",Q79=""),"",IFERROR(IF(AND(IFERROR(--LEFT(Q79,FIND("-",Q79)-1),"")=AW79,IFERROR(--MID(Q79,FIND("-",Q79)+1,99),"")=AX79),10,5*(SIGN((IFERROR(--LEFT(Q79,FIND("-",Q79)-1),""))-(IFERROR(--MID(Q79,FIND("-",Q79)+1,99),"")))=SIGN((AW79)-(AX79)))+2*(((IFERROR(--LEFT(Q79,FIND("-",Q79)-1),""))-(IFERROR(--MID(Q79,FIND("-",Q79)+1,99),"")))=((AW79)-(AX79)))+2*((IFERROR(--LEFT(Q79,FIND("-",Q79)-1),""))=(AW79))+2*((IFERROR(--MID(Q79,FIND("-",Q79)+1,99),""))=(AX79))),""))</f>
        <v>2</v>
      </c>
      <c r="S79" s="10" t="s">
        <v>37</v>
      </c>
      <c r="T79" s="11">
        <f>IF(OR($C79="",S79=""),"",IFERROR(IF(AND(IFERROR(--LEFT(S79,FIND("-",S79)-1),"")=AW79,IFERROR(--MID(S79,FIND("-",S79)+1,99),"")=AX79),10,5*(SIGN((IFERROR(--LEFT(S79,FIND("-",S79)-1),""))-(IFERROR(--MID(S79,FIND("-",S79)+1,99),"")))=SIGN((AW79)-(AX79)))+2*(((IFERROR(--LEFT(S79,FIND("-",S79)-1),""))-(IFERROR(--MID(S79,FIND("-",S79)+1,99),"")))=((AW79)-(AX79)))+2*((IFERROR(--LEFT(S79,FIND("-",S79)-1),""))=(AW79))+2*((IFERROR(--MID(S79,FIND("-",S79)+1,99),""))=(AX79))),""))</f>
        <v>0</v>
      </c>
      <c r="U79" s="10" t="s">
        <v>35</v>
      </c>
      <c r="V79" s="11">
        <f>IF(OR($C79="",U79=""),"",IFERROR(IF(AND(IFERROR(--LEFT(U79,FIND("-",U79)-1),"")=AW79,IFERROR(--MID(U79,FIND("-",U79)+1,99),"")=AX79),10,5*(SIGN((IFERROR(--LEFT(U79,FIND("-",U79)-1),""))-(IFERROR(--MID(U79,FIND("-",U79)+1,99),"")))=SIGN((AW79)-(AX79)))+2*(((IFERROR(--LEFT(U79,FIND("-",U79)-1),""))-(IFERROR(--MID(U79,FIND("-",U79)+1,99),"")))=((AW79)-(AX79)))+2*((IFERROR(--LEFT(U79,FIND("-",U79)-1),""))=(AW79))+2*((IFERROR(--MID(U79,FIND("-",U79)+1,99),""))=(AX79))),""))</f>
        <v>2</v>
      </c>
      <c r="W79" s="10" t="s">
        <v>35</v>
      </c>
      <c r="X79" s="11">
        <f>IF(OR($C79="",W79=""),"",IFERROR(IF(AND(IFERROR(--LEFT(W79,FIND("-",W79)-1),"")=AW79,IFERROR(--MID(W79,FIND("-",W79)+1,99),"")=AX79),10,5*(SIGN((IFERROR(--LEFT(W79,FIND("-",W79)-1),""))-(IFERROR(--MID(W79,FIND("-",W79)+1,99),"")))=SIGN((AW79)-(AX79)))+2*(((IFERROR(--LEFT(W79,FIND("-",W79)-1),""))-(IFERROR(--MID(W79,FIND("-",W79)+1,99),"")))=((AW79)-(AX79)))+2*((IFERROR(--LEFT(W79,FIND("-",W79)-1),""))=(AW79))+2*((IFERROR(--MID(W79,FIND("-",W79)+1,99),""))=(AX79))),""))</f>
        <v>2</v>
      </c>
      <c r="Y79" s="10" t="s">
        <v>35</v>
      </c>
      <c r="Z79" s="11">
        <f>IF(OR($C79="",Y79=""),"",IFERROR(IF(AND(IFERROR(--LEFT(Y79,FIND("-",Y79)-1),"")=AW79,IFERROR(--MID(Y79,FIND("-",Y79)+1,99),"")=AX79),10,5*(SIGN((IFERROR(--LEFT(Y79,FIND("-",Y79)-1),""))-(IFERROR(--MID(Y79,FIND("-",Y79)+1,99),"")))=SIGN((AW79)-(AX79)))+2*(((IFERROR(--LEFT(Y79,FIND("-",Y79)-1),""))-(IFERROR(--MID(Y79,FIND("-",Y79)+1,99),"")))=((AW79)-(AX79)))+2*((IFERROR(--LEFT(Y79,FIND("-",Y79)-1),""))=(AW79))+2*((IFERROR(--MID(Y79,FIND("-",Y79)+1,99),""))=(AX79))),""))</f>
        <v>2</v>
      </c>
      <c r="AA79" s="10" t="s">
        <v>35</v>
      </c>
      <c r="AB79" s="11">
        <f>IF(OR($C79="",AA79=""),"",IFERROR(IF(AND(IFERROR(--LEFT(AA79,FIND("-",AA79)-1),"")=AW79,IFERROR(--MID(AA79,FIND("-",AA79)+1,99),"")=AX79),10,5*(SIGN((IFERROR(--LEFT(AA79,FIND("-",AA79)-1),""))-(IFERROR(--MID(AA79,FIND("-",AA79)+1,99),"")))=SIGN((AW79)-(AX79)))+2*(((IFERROR(--LEFT(AA79,FIND("-",AA79)-1),""))-(IFERROR(--MID(AA79,FIND("-",AA79)+1,99),"")))=((AW79)-(AX79)))+2*((IFERROR(--LEFT(AA79,FIND("-",AA79)-1),""))=(AW79))+2*((IFERROR(--MID(AA79,FIND("-",AA79)+1,99),""))=(AX79))),""))</f>
        <v>2</v>
      </c>
      <c r="AC79" s="28" t="s">
        <v>49</v>
      </c>
      <c r="AD79" s="11">
        <f>IF(OR($C79="",AC79=""),"",IFERROR(IF(AND(IFERROR(--LEFT(AC79,FIND("-",AC79)-1),"")=AW79,IFERROR(--MID(AC79,FIND("-",AC79)+1,99),"")=AX79),10,5*(SIGN((IFERROR(--LEFT(AC79,FIND("-",AC79)-1),""))-(IFERROR(--MID(AC79,FIND("-",AC79)+1,99),"")))=SIGN((AW79)-(AX79)))+2*(((IFERROR(--LEFT(AC79,FIND("-",AC79)-1),""))-(IFERROR(--MID(AC79,FIND("-",AC79)+1,99),"")))=((AW79)-(AX79)))+2*((IFERROR(--LEFT(AC79,FIND("-",AC79)-1),""))=(AW79))+2*((IFERROR(--MID(AC79,FIND("-",AC79)+1,99),""))=(AX79))),""))</f>
        <v>2</v>
      </c>
      <c r="AE79" s="10" t="s">
        <v>33</v>
      </c>
      <c r="AF79" s="11">
        <f>IF(OR($C79="",AE79=""),"",IFERROR(IF(AND(IFERROR(--LEFT(AE79,FIND("-",AE79)-1),"")=AW79,IFERROR(--MID(AE79,FIND("-",AE79)+1,99),"")=AX79),10,5*(SIGN((IFERROR(--LEFT(AE79,FIND("-",AE79)-1),""))-(IFERROR(--MID(AE79,FIND("-",AE79)+1,99),"")))=SIGN((AW79)-(AX79)))+2*(((IFERROR(--LEFT(AE79,FIND("-",AE79)-1),""))-(IFERROR(--MID(AE79,FIND("-",AE79)+1,99),"")))=((AW79)-(AX79)))+2*((IFERROR(--LEFT(AE79,FIND("-",AE79)-1),""))=(AW79))+2*((IFERROR(--MID(AE79,FIND("-",AE79)+1,99),""))=(AX79))),""))</f>
        <v>10</v>
      </c>
      <c r="AG79" s="10" t="s">
        <v>39</v>
      </c>
      <c r="AH79" s="11">
        <f>IF(OR($C79="",AG79=""),"",IFERROR(IF(AND(IFERROR(--LEFT(AG79,FIND("-",AG79)-1),"")=AW79,IFERROR(--MID(AG79,FIND("-",AG79)+1,99),"")=AX79),10,5*(SIGN((IFERROR(--LEFT(AG79,FIND("-",AG79)-1),""))-(IFERROR(--MID(AG79,FIND("-",AG79)+1,99),"")))=SIGN((AW79)-(AX79)))+2*(((IFERROR(--LEFT(AG79,FIND("-",AG79)-1),""))-(IFERROR(--MID(AG79,FIND("-",AG79)+1,99),"")))=((AW79)-(AX79)))+2*((IFERROR(--LEFT(AG79,FIND("-",AG79)-1),""))=(AW79))+2*((IFERROR(--MID(AG79,FIND("-",AG79)+1,99),""))=(AX79))),""))</f>
        <v>7</v>
      </c>
      <c r="AI79" s="10" t="s">
        <v>35</v>
      </c>
      <c r="AJ79" s="11">
        <f>IF(OR($C79="",AI79=""),"",IFERROR(IF(AND(IFERROR(--LEFT(AI79,FIND("-",AI79)-1),"")=AW79,IFERROR(--MID(AI79,FIND("-",AI79)+1,99),"")=AX79),10,5*(SIGN((IFERROR(--LEFT(AI79,FIND("-",AI79)-1),""))-(IFERROR(--MID(AI79,FIND("-",AI79)+1,99),"")))=SIGN((AW79)-(AX79)))+2*(((IFERROR(--LEFT(AI79,FIND("-",AI79)-1),""))-(IFERROR(--MID(AI79,FIND("-",AI79)+1,99),"")))=((AW79)-(AX79)))+2*((IFERROR(--LEFT(AI79,FIND("-",AI79)-1),""))=(AW79))+2*((IFERROR(--MID(AI79,FIND("-",AI79)+1,99),""))=(AX79))),""))</f>
        <v>2</v>
      </c>
      <c r="AK79" s="10" t="s">
        <v>33</v>
      </c>
      <c r="AL79" s="11">
        <f>IF(OR($C79="",AK79=""),"",IFERROR(IF(AND(IFERROR(--LEFT(AK79,FIND("-",AK79)-1),"")=AW79,IFERROR(--MID(AK79,FIND("-",AK79)+1,99),"")=AX79),10,5*(SIGN((IFERROR(--LEFT(AK79,FIND("-",AK79)-1),""))-(IFERROR(--MID(AK79,FIND("-",AK79)+1,99),"")))=SIGN((AW79)-(AX79)))+2*(((IFERROR(--LEFT(AK79,FIND("-",AK79)-1),""))-(IFERROR(--MID(AK79,FIND("-",AK79)+1,99),"")))=((AW79)-(AX79)))+2*((IFERROR(--LEFT(AK79,FIND("-",AK79)-1),""))=(AW79))+2*((IFERROR(--MID(AK79,FIND("-",AK79)+1,99),""))=(AX79))),""))</f>
        <v>10</v>
      </c>
      <c r="AM79" s="10" t="s">
        <v>34</v>
      </c>
      <c r="AN79" s="11">
        <f>IF(OR($C79="",AM79=""),"",IFERROR(IF(AND(IFERROR(--LEFT(AM79,FIND("-",AM79)-1),"")=AW79,IFERROR(--MID(AM79,FIND("-",AM79)+1,99),"")=AX79),10,5*(SIGN((IFERROR(--LEFT(AM79,FIND("-",AM79)-1),""))-(IFERROR(--MID(AM79,FIND("-",AM79)+1,99),"")))=SIGN((AW79)-(AX79)))+2*(((IFERROR(--LEFT(AM79,FIND("-",AM79)-1),""))-(IFERROR(--MID(AM79,FIND("-",AM79)+1,99),"")))=((AW79)-(AX79)))+2*((IFERROR(--LEFT(AM79,FIND("-",AM79)-1),""))=(AW79))+2*((IFERROR(--MID(AM79,FIND("-",AM79)+1,99),""))=(AX79))),""))</f>
        <v>7</v>
      </c>
      <c r="AO79" s="10" t="s">
        <v>33</v>
      </c>
      <c r="AP79" s="11">
        <f>IF(OR($C79="",AO79=""),"",IFERROR(IF(AND(IFERROR(--LEFT(AO79,FIND("-",AO79)-1),"")=AW79,IFERROR(--MID(AO79,FIND("-",AO79)+1,99),"")=AX79),10,5*(SIGN((IFERROR(--LEFT(AO79,FIND("-",AO79)-1),""))-(IFERROR(--MID(AO79,FIND("-",AO79)+1,99),"")))=SIGN((AW79)-(AX79)))+2*(((IFERROR(--LEFT(AO79,FIND("-",AO79)-1),""))-(IFERROR(--MID(AO79,FIND("-",AO79)+1,99),"")))=((AW79)-(AX79)))+2*((IFERROR(--LEFT(AO79,FIND("-",AO79)-1),""))=(AW79))+2*((IFERROR(--MID(AO79,FIND("-",AO79)+1,99),""))=(AX79))),""))</f>
        <v>10</v>
      </c>
      <c r="AQ79" s="10" t="s">
        <v>49</v>
      </c>
      <c r="AR79" s="11">
        <f>IF(OR($C79="",AQ79=""),"",IFERROR(IF(AND(IFERROR(--LEFT(AQ79,FIND("-",AQ79)-1),"")=AW79,IFERROR(--MID(AQ79,FIND("-",AQ79)+1,99),"")=AX79),10,5*(SIGN((IFERROR(--LEFT(AQ79,FIND("-",AQ79)-1),""))-(IFERROR(--MID(AQ79,FIND("-",AQ79)+1,99),"")))=SIGN((AW79)-(AX79)))+2*(((IFERROR(--LEFT(AQ79,FIND("-",AQ79)-1),""))-(IFERROR(--MID(AQ79,FIND("-",AQ79)+1,99),"")))=((AW79)-(AX79)))+2*((IFERROR(--LEFT(AQ79,FIND("-",AQ79)-1),""))=(AW79))+2*((IFERROR(--MID(AQ79,FIND("-",AQ79)+1,99),""))=(AX79))),""))</f>
        <v>2</v>
      </c>
      <c r="AS79" s="10" t="s">
        <v>39</v>
      </c>
      <c r="AT79" s="11">
        <f>IF(OR($C79="",AS79=""),"",IFERROR(IF(AND(IFERROR(--LEFT(AS79,FIND("-",AS79)-1),"")=AW79,IFERROR(--MID(AS79,FIND("-",AS79)+1,99),"")=AX79),10,5*(SIGN((IFERROR(--LEFT(AS79,FIND("-",AS79)-1),""))-(IFERROR(--MID(AS79,FIND("-",AS79)+1,99),"")))=SIGN((AW79)-(AX79)))+2*(((IFERROR(--LEFT(AS79,FIND("-",AS79)-1),""))-(IFERROR(--MID(AS79,FIND("-",AS79)+1,99),"")))=((AW79)-(AX79)))+2*((IFERROR(--LEFT(AS79,FIND("-",AS79)-1),""))=(AW79))+2*((IFERROR(--MID(AS79,FIND("-",AS79)+1,99),""))=(AX79))),""))</f>
        <v>7</v>
      </c>
      <c r="AU79" s="10" t="s">
        <v>35</v>
      </c>
      <c r="AV79" s="11">
        <f>IF(OR($C79="",AU79=""),"",IFERROR(IF(AND(IFERROR(--LEFT(AU79,FIND("-",AU79)-1),"")=AW79,IFERROR(--MID(AU79,FIND("-",AU79)+1,99),"")=AX79),10,5*(SIGN((IFERROR(--LEFT(AU79,FIND("-",AU79)-1),""))-(IFERROR(--MID(AU79,FIND("-",AU79)+1,99),"")))=SIGN((AW79)-(AX79)))+2*(((IFERROR(--LEFT(AU79,FIND("-",AU79)-1),""))-(IFERROR(--MID(AU79,FIND("-",AU79)+1,99),"")))=((AW79)-(AX79)))+2*((IFERROR(--LEFT(AU79,FIND("-",AU79)-1),""))=(AW79))+2*((IFERROR(--MID(AU79,FIND("-",AU79)+1,99),""))=(AX79))),""))</f>
        <v>2</v>
      </c>
      <c r="AW79" s="11">
        <f>IF($C79="","",IFERROR(--LEFT($C79,FIND("-",$C79)-1),""))</f>
        <v>2</v>
      </c>
      <c r="AX79" s="11">
        <f>IF($C79="","",IFERROR(--MID($C79,FIND("-",$C79)+1,99),""))</f>
        <v>1</v>
      </c>
    </row>
    <row r="80" spans="1:50" ht="18" customHeight="1" x14ac:dyDescent="0.3">
      <c r="A80" s="9">
        <v>1.875</v>
      </c>
      <c r="B80" s="18" t="s">
        <v>47</v>
      </c>
      <c r="C80" s="10" t="s">
        <v>34</v>
      </c>
      <c r="D80" s="1" t="s">
        <v>54</v>
      </c>
      <c r="E80" s="10" t="s">
        <v>33</v>
      </c>
      <c r="F80" s="11">
        <f>IF(OR($C80="",E80=""),"",IFERROR(IF(AND(IFERROR(--LEFT(E80,FIND("-",E80)-1),"")=AW80,IFERROR(--MID(E80,FIND("-",E80)+1,99),"")=AX80),10,5*(SIGN((IFERROR(--LEFT(E80,FIND("-",E80)-1),""))-(IFERROR(--MID(E80,FIND("-",E80)+1,99),"")))=SIGN((AW80)-(AX80)))+2*(((IFERROR(--LEFT(E80,FIND("-",E80)-1),""))-(IFERROR(--MID(E80,FIND("-",E80)+1,99),"")))=((AW80)-(AX80)))+2*((IFERROR(--LEFT(E80,FIND("-",E80)-1),""))=(AW80))+2*((IFERROR(--MID(E80,FIND("-",E80)+1,99),""))=(AX80))),""))</f>
        <v>7</v>
      </c>
      <c r="G80" s="10" t="s">
        <v>35</v>
      </c>
      <c r="H80" s="11">
        <f>IF(OR($C80="",G80=""),"",IFERROR(IF(AND(IFERROR(--LEFT(G80,FIND("-",G80)-1),"")=AW80,IFERROR(--MID(G80,FIND("-",G80)+1,99),"")=AX80),10,5*(SIGN((IFERROR(--LEFT(G80,FIND("-",G80)-1),""))-(IFERROR(--MID(G80,FIND("-",G80)+1,99),"")))=SIGN((AW80)-(AX80)))+2*(((IFERROR(--LEFT(G80,FIND("-",G80)-1),""))-(IFERROR(--MID(G80,FIND("-",G80)+1,99),"")))=((AW80)-(AX80)))+2*((IFERROR(--LEFT(G80,FIND("-",G80)-1),""))=(AW80))+2*((IFERROR(--MID(G80,FIND("-",G80)+1,99),""))=(AX80))),""))</f>
        <v>2</v>
      </c>
      <c r="I80" s="10" t="s">
        <v>39</v>
      </c>
      <c r="J80" s="11">
        <f>IF(OR($C80="",I80=""),"",IFERROR(IF(AND(IFERROR(--LEFT(I80,FIND("-",I80)-1),"")=AW80,IFERROR(--MID(I80,FIND("-",I80)+1,99),"")=AX80),10,5*(SIGN((IFERROR(--LEFT(I80,FIND("-",I80)-1),""))-(IFERROR(--MID(I80,FIND("-",I80)+1,99),"")))=SIGN((AW80)-(AX80)))+2*(((IFERROR(--LEFT(I80,FIND("-",I80)-1),""))-(IFERROR(--MID(I80,FIND("-",I80)+1,99),"")))=((AW80)-(AX80)))+2*((IFERROR(--LEFT(I80,FIND("-",I80)-1),""))=(AW80))+2*((IFERROR(--MID(I80,FIND("-",I80)+1,99),""))=(AX80))),""))</f>
        <v>5</v>
      </c>
      <c r="K80" s="10" t="s">
        <v>35</v>
      </c>
      <c r="L80" s="11">
        <f>IF(OR($C80="",K80=""),"",IFERROR(IF(AND(IFERROR(--LEFT(K80,FIND("-",K80)-1),"")=AW80,IFERROR(--MID(K80,FIND("-",K80)+1,99),"")=AX80),10,5*(SIGN((IFERROR(--LEFT(K80,FIND("-",K80)-1),""))-(IFERROR(--MID(K80,FIND("-",K80)+1,99),"")))=SIGN((AW80)-(AX80)))+2*(((IFERROR(--LEFT(K80,FIND("-",K80)-1),""))-(IFERROR(--MID(K80,FIND("-",K80)+1,99),"")))=((AW80)-(AX80)))+2*((IFERROR(--LEFT(K80,FIND("-",K80)-1),""))=(AW80))+2*((IFERROR(--MID(K80,FIND("-",K80)+1,99),""))=(AX80))),""))</f>
        <v>2</v>
      </c>
      <c r="M80" s="10" t="s">
        <v>36</v>
      </c>
      <c r="N80" s="11">
        <f>IF(OR($C80="",M80=""),"",IFERROR(IF(AND(IFERROR(--LEFT(M80,FIND("-",M80)-1),"")=AW80,IFERROR(--MID(M80,FIND("-",M80)+1,99),"")=AX80),10,5*(SIGN((IFERROR(--LEFT(M80,FIND("-",M80)-1),""))-(IFERROR(--MID(M80,FIND("-",M80)+1,99),"")))=SIGN((AW80)-(AX80)))+2*(((IFERROR(--LEFT(M80,FIND("-",M80)-1),""))-(IFERROR(--MID(M80,FIND("-",M80)+1,99),"")))=((AW80)-(AX80)))+2*((IFERROR(--LEFT(M80,FIND("-",M80)-1),""))=(AW80))+2*((IFERROR(--MID(M80,FIND("-",M80)+1,99),""))=(AX80))),""))</f>
        <v>7</v>
      </c>
      <c r="O80" s="10" t="s">
        <v>36</v>
      </c>
      <c r="P80" s="11">
        <f>IF(OR($C80="",O80=""),"",IFERROR(IF(AND(IFERROR(--LEFT(O80,FIND("-",O80)-1),"")=AW80,IFERROR(--MID(O80,FIND("-",O80)+1,99),"")=AX80),10,5*(SIGN((IFERROR(--LEFT(O80,FIND("-",O80)-1),""))-(IFERROR(--MID(O80,FIND("-",O80)+1,99),"")))=SIGN((AW80)-(AX80)))+2*(((IFERROR(--LEFT(O80,FIND("-",O80)-1),""))-(IFERROR(--MID(O80,FIND("-",O80)+1,99),"")))=((AW80)-(AX80)))+2*((IFERROR(--LEFT(O80,FIND("-",O80)-1),""))=(AW80))+2*((IFERROR(--MID(O80,FIND("-",O80)+1,99),""))=(AX80))),""))</f>
        <v>7</v>
      </c>
      <c r="Q80" s="10" t="s">
        <v>38</v>
      </c>
      <c r="R80" s="11">
        <f>IF(OR($C80="",Q80=""),"",IFERROR(IF(AND(IFERROR(--LEFT(Q80,FIND("-",Q80)-1),"")=AW80,IFERROR(--MID(Q80,FIND("-",Q80)+1,99),"")=AX80),10,5*(SIGN((IFERROR(--LEFT(Q80,FIND("-",Q80)-1),""))-(IFERROR(--MID(Q80,FIND("-",Q80)+1,99),"")))=SIGN((AW80)-(AX80)))+2*(((IFERROR(--LEFT(Q80,FIND("-",Q80)-1),""))-(IFERROR(--MID(Q80,FIND("-",Q80)+1,99),"")))=((AW80)-(AX80)))+2*((IFERROR(--LEFT(Q80,FIND("-",Q80)-1),""))=(AW80))+2*((IFERROR(--MID(Q80,FIND("-",Q80)+1,99),""))=(AX80))),""))</f>
        <v>7</v>
      </c>
      <c r="S80" s="10" t="s">
        <v>35</v>
      </c>
      <c r="T80" s="11">
        <f>IF(OR($C80="",S80=""),"",IFERROR(IF(AND(IFERROR(--LEFT(S80,FIND("-",S80)-1),"")=AW80,IFERROR(--MID(S80,FIND("-",S80)+1,99),"")=AX80),10,5*(SIGN((IFERROR(--LEFT(S80,FIND("-",S80)-1),""))-(IFERROR(--MID(S80,FIND("-",S80)+1,99),"")))=SIGN((AW80)-(AX80)))+2*(((IFERROR(--LEFT(S80,FIND("-",S80)-1),""))-(IFERROR(--MID(S80,FIND("-",S80)+1,99),"")))=((AW80)-(AX80)))+2*((IFERROR(--LEFT(S80,FIND("-",S80)-1),""))=(AW80))+2*((IFERROR(--MID(S80,FIND("-",S80)+1,99),""))=(AX80))),""))</f>
        <v>2</v>
      </c>
      <c r="U80" s="10" t="s">
        <v>36</v>
      </c>
      <c r="V80" s="11">
        <f>IF(OR($C80="",U80=""),"",IFERROR(IF(AND(IFERROR(--LEFT(U80,FIND("-",U80)-1),"")=AW80,IFERROR(--MID(U80,FIND("-",U80)+1,99),"")=AX80),10,5*(SIGN((IFERROR(--LEFT(U80,FIND("-",U80)-1),""))-(IFERROR(--MID(U80,FIND("-",U80)+1,99),"")))=SIGN((AW80)-(AX80)))+2*(((IFERROR(--LEFT(U80,FIND("-",U80)-1),""))-(IFERROR(--MID(U80,FIND("-",U80)+1,99),"")))=((AW80)-(AX80)))+2*((IFERROR(--LEFT(U80,FIND("-",U80)-1),""))=(AW80))+2*((IFERROR(--MID(U80,FIND("-",U80)+1,99),""))=(AX80))),""))</f>
        <v>7</v>
      </c>
      <c r="W80" s="10" t="s">
        <v>39</v>
      </c>
      <c r="X80" s="11">
        <f>IF(OR($C80="",W80=""),"",IFERROR(IF(AND(IFERROR(--LEFT(W80,FIND("-",W80)-1),"")=AW80,IFERROR(--MID(W80,FIND("-",W80)+1,99),"")=AX80),10,5*(SIGN((IFERROR(--LEFT(W80,FIND("-",W80)-1),""))-(IFERROR(--MID(W80,FIND("-",W80)+1,99),"")))=SIGN((AW80)-(AX80)))+2*(((IFERROR(--LEFT(W80,FIND("-",W80)-1),""))-(IFERROR(--MID(W80,FIND("-",W80)+1,99),"")))=((AW80)-(AX80)))+2*((IFERROR(--LEFT(W80,FIND("-",W80)-1),""))=(AW80))+2*((IFERROR(--MID(W80,FIND("-",W80)+1,99),""))=(AX80))),""))</f>
        <v>5</v>
      </c>
      <c r="Y80" s="10" t="s">
        <v>33</v>
      </c>
      <c r="Z80" s="11">
        <f>IF(OR($C80="",Y80=""),"",IFERROR(IF(AND(IFERROR(--LEFT(Y80,FIND("-",Y80)-1),"")=AW80,IFERROR(--MID(Y80,FIND("-",Y80)+1,99),"")=AX80),10,5*(SIGN((IFERROR(--LEFT(Y80,FIND("-",Y80)-1),""))-(IFERROR(--MID(Y80,FIND("-",Y80)+1,99),"")))=SIGN((AW80)-(AX80)))+2*(((IFERROR(--LEFT(Y80,FIND("-",Y80)-1),""))-(IFERROR(--MID(Y80,FIND("-",Y80)+1,99),"")))=((AW80)-(AX80)))+2*((IFERROR(--LEFT(Y80,FIND("-",Y80)-1),""))=(AW80))+2*((IFERROR(--MID(Y80,FIND("-",Y80)+1,99),""))=(AX80))),""))</f>
        <v>7</v>
      </c>
      <c r="AA80" s="10" t="s">
        <v>38</v>
      </c>
      <c r="AB80" s="11">
        <f>IF(OR($C80="",AA80=""),"",IFERROR(IF(AND(IFERROR(--LEFT(AA80,FIND("-",AA80)-1),"")=AW80,IFERROR(--MID(AA80,FIND("-",AA80)+1,99),"")=AX80),10,5*(SIGN((IFERROR(--LEFT(AA80,FIND("-",AA80)-1),""))-(IFERROR(--MID(AA80,FIND("-",AA80)+1,99),"")))=SIGN((AW80)-(AX80)))+2*(((IFERROR(--LEFT(AA80,FIND("-",AA80)-1),""))-(IFERROR(--MID(AA80,FIND("-",AA80)+1,99),"")))=((AW80)-(AX80)))+2*((IFERROR(--LEFT(AA80,FIND("-",AA80)-1),""))=(AW80))+2*((IFERROR(--MID(AA80,FIND("-",AA80)+1,99),""))=(AX80))),""))</f>
        <v>7</v>
      </c>
      <c r="AC80" s="28" t="s">
        <v>34</v>
      </c>
      <c r="AD80" s="11">
        <f>IF(OR($C80="",AC80=""),"",IFERROR(IF(AND(IFERROR(--LEFT(AC80,FIND("-",AC80)-1),"")=AW80,IFERROR(--MID(AC80,FIND("-",AC80)+1,99),"")=AX80),10,5*(SIGN((IFERROR(--LEFT(AC80,FIND("-",AC80)-1),""))-(IFERROR(--MID(AC80,FIND("-",AC80)+1,99),"")))=SIGN((AW80)-(AX80)))+2*(((IFERROR(--LEFT(AC80,FIND("-",AC80)-1),""))-(IFERROR(--MID(AC80,FIND("-",AC80)+1,99),"")))=((AW80)-(AX80)))+2*((IFERROR(--LEFT(AC80,FIND("-",AC80)-1),""))=(AW80))+2*((IFERROR(--MID(AC80,FIND("-",AC80)+1,99),""))=(AX80))),""))</f>
        <v>10</v>
      </c>
      <c r="AE80" s="10" t="s">
        <v>36</v>
      </c>
      <c r="AF80" s="11">
        <f>IF(OR($C80="",AE80=""),"",IFERROR(IF(AND(IFERROR(--LEFT(AE80,FIND("-",AE80)-1),"")=AW80,IFERROR(--MID(AE80,FIND("-",AE80)+1,99),"")=AX80),10,5*(SIGN((IFERROR(--LEFT(AE80,FIND("-",AE80)-1),""))-(IFERROR(--MID(AE80,FIND("-",AE80)+1,99),"")))=SIGN((AW80)-(AX80)))+2*(((IFERROR(--LEFT(AE80,FIND("-",AE80)-1),""))-(IFERROR(--MID(AE80,FIND("-",AE80)+1,99),"")))=((AW80)-(AX80)))+2*((IFERROR(--LEFT(AE80,FIND("-",AE80)-1),""))=(AW80))+2*((IFERROR(--MID(AE80,FIND("-",AE80)+1,99),""))=(AX80))),""))</f>
        <v>7</v>
      </c>
      <c r="AG80" s="10" t="s">
        <v>33</v>
      </c>
      <c r="AH80" s="11">
        <f>IF(OR($C80="",AG80=""),"",IFERROR(IF(AND(IFERROR(--LEFT(AG80,FIND("-",AG80)-1),"")=AW80,IFERROR(--MID(AG80,FIND("-",AG80)+1,99),"")=AX80),10,5*(SIGN((IFERROR(--LEFT(AG80,FIND("-",AG80)-1),""))-(IFERROR(--MID(AG80,FIND("-",AG80)+1,99),"")))=SIGN((AW80)-(AX80)))+2*(((IFERROR(--LEFT(AG80,FIND("-",AG80)-1),""))-(IFERROR(--MID(AG80,FIND("-",AG80)+1,99),"")))=((AW80)-(AX80)))+2*((IFERROR(--LEFT(AG80,FIND("-",AG80)-1),""))=(AW80))+2*((IFERROR(--MID(AG80,FIND("-",AG80)+1,99),""))=(AX80))),""))</f>
        <v>7</v>
      </c>
      <c r="AI80" s="10" t="s">
        <v>35</v>
      </c>
      <c r="AJ80" s="11">
        <f>IF(OR($C80="",AI80=""),"",IFERROR(IF(AND(IFERROR(--LEFT(AI80,FIND("-",AI80)-1),"")=AW80,IFERROR(--MID(AI80,FIND("-",AI80)+1,99),"")=AX80),10,5*(SIGN((IFERROR(--LEFT(AI80,FIND("-",AI80)-1),""))-(IFERROR(--MID(AI80,FIND("-",AI80)+1,99),"")))=SIGN((AW80)-(AX80)))+2*(((IFERROR(--LEFT(AI80,FIND("-",AI80)-1),""))-(IFERROR(--MID(AI80,FIND("-",AI80)+1,99),"")))=((AW80)-(AX80)))+2*((IFERROR(--LEFT(AI80,FIND("-",AI80)-1),""))=(AW80))+2*((IFERROR(--MID(AI80,FIND("-",AI80)+1,99),""))=(AX80))),""))</f>
        <v>2</v>
      </c>
      <c r="AK80" s="10" t="s">
        <v>33</v>
      </c>
      <c r="AL80" s="11">
        <f>IF(OR($C80="",AK80=""),"",IFERROR(IF(AND(IFERROR(--LEFT(AK80,FIND("-",AK80)-1),"")=AW80,IFERROR(--MID(AK80,FIND("-",AK80)+1,99),"")=AX80),10,5*(SIGN((IFERROR(--LEFT(AK80,FIND("-",AK80)-1),""))-(IFERROR(--MID(AK80,FIND("-",AK80)+1,99),"")))=SIGN((AW80)-(AX80)))+2*(((IFERROR(--LEFT(AK80,FIND("-",AK80)-1),""))-(IFERROR(--MID(AK80,FIND("-",AK80)+1,99),"")))=((AW80)-(AX80)))+2*((IFERROR(--LEFT(AK80,FIND("-",AK80)-1),""))=(AW80))+2*((IFERROR(--MID(AK80,FIND("-",AK80)+1,99),""))=(AX80))),""))</f>
        <v>7</v>
      </c>
      <c r="AM80" s="10" t="s">
        <v>36</v>
      </c>
      <c r="AN80" s="11">
        <f>IF(OR($C80="",AM80=""),"",IFERROR(IF(AND(IFERROR(--LEFT(AM80,FIND("-",AM80)-1),"")=AW80,IFERROR(--MID(AM80,FIND("-",AM80)+1,99),"")=AX80),10,5*(SIGN((IFERROR(--LEFT(AM80,FIND("-",AM80)-1),""))-(IFERROR(--MID(AM80,FIND("-",AM80)+1,99),"")))=SIGN((AW80)-(AX80)))+2*(((IFERROR(--LEFT(AM80,FIND("-",AM80)-1),""))-(IFERROR(--MID(AM80,FIND("-",AM80)+1,99),"")))=((AW80)-(AX80)))+2*((IFERROR(--LEFT(AM80,FIND("-",AM80)-1),""))=(AW80))+2*((IFERROR(--MID(AM80,FIND("-",AM80)+1,99),""))=(AX80))),""))</f>
        <v>7</v>
      </c>
      <c r="AO80" s="10" t="s">
        <v>35</v>
      </c>
      <c r="AP80" s="11">
        <f>IF(OR($C80="",AO80=""),"",IFERROR(IF(AND(IFERROR(--LEFT(AO80,FIND("-",AO80)-1),"")=AW80,IFERROR(--MID(AO80,FIND("-",AO80)+1,99),"")=AX80),10,5*(SIGN((IFERROR(--LEFT(AO80,FIND("-",AO80)-1),""))-(IFERROR(--MID(AO80,FIND("-",AO80)+1,99),"")))=SIGN((AW80)-(AX80)))+2*(((IFERROR(--LEFT(AO80,FIND("-",AO80)-1),""))-(IFERROR(--MID(AO80,FIND("-",AO80)+1,99),"")))=((AW80)-(AX80)))+2*((IFERROR(--LEFT(AO80,FIND("-",AO80)-1),""))=(AW80))+2*((IFERROR(--MID(AO80,FIND("-",AO80)+1,99),""))=(AX80))),""))</f>
        <v>2</v>
      </c>
      <c r="AQ80" s="10" t="s">
        <v>61</v>
      </c>
      <c r="AR80" s="11">
        <f>IF(OR($C80="",AQ80=""),"",IFERROR(IF(AND(IFERROR(--LEFT(AQ80,FIND("-",AQ80)-1),"")=AW80,IFERROR(--MID(AQ80,FIND("-",AQ80)+1,99),"")=AX80),10,5*(SIGN((IFERROR(--LEFT(AQ80,FIND("-",AQ80)-1),""))-(IFERROR(--MID(AQ80,FIND("-",AQ80)+1,99),"")))=SIGN((AW80)-(AX80)))+2*(((IFERROR(--LEFT(AQ80,FIND("-",AQ80)-1),""))-(IFERROR(--MID(AQ80,FIND("-",AQ80)+1,99),"")))=((AW80)-(AX80)))+2*((IFERROR(--LEFT(AQ80,FIND("-",AQ80)-1),""))=(AW80))+2*((IFERROR(--MID(AQ80,FIND("-",AQ80)+1,99),""))=(AX80))),""))</f>
        <v>7</v>
      </c>
      <c r="AS80" s="10" t="s">
        <v>50</v>
      </c>
      <c r="AT80" s="11">
        <f>IF(OR($C80="",AS80=""),"",IFERROR(IF(AND(IFERROR(--LEFT(AS80,FIND("-",AS80)-1),"")=AW80,IFERROR(--MID(AS80,FIND("-",AS80)+1,99),"")=AX80),10,5*(SIGN((IFERROR(--LEFT(AS80,FIND("-",AS80)-1),""))-(IFERROR(--MID(AS80,FIND("-",AS80)+1,99),"")))=SIGN((AW80)-(AX80)))+2*(((IFERROR(--LEFT(AS80,FIND("-",AS80)-1),""))-(IFERROR(--MID(AS80,FIND("-",AS80)+1,99),"")))=((AW80)-(AX80)))+2*((IFERROR(--LEFT(AS80,FIND("-",AS80)-1),""))=(AW80))+2*((IFERROR(--MID(AS80,FIND("-",AS80)+1,99),""))=(AX80))),""))</f>
        <v>0</v>
      </c>
      <c r="AU80" s="10" t="s">
        <v>50</v>
      </c>
      <c r="AV80" s="11">
        <f>IF(OR($C80="",AU80=""),"",IFERROR(IF(AND(IFERROR(--LEFT(AU80,FIND("-",AU80)-1),"")=AW80,IFERROR(--MID(AU80,FIND("-",AU80)+1,99),"")=AX80),10,5*(SIGN((IFERROR(--LEFT(AU80,FIND("-",AU80)-1),""))-(IFERROR(--MID(AU80,FIND("-",AU80)+1,99),"")))=SIGN((AW80)-(AX80)))+2*(((IFERROR(--LEFT(AU80,FIND("-",AU80)-1),""))-(IFERROR(--MID(AU80,FIND("-",AU80)+1,99),"")))=((AW80)-(AX80)))+2*((IFERROR(--LEFT(AU80,FIND("-",AU80)-1),""))=(AW80))+2*((IFERROR(--MID(AU80,FIND("-",AU80)+1,99),""))=(AX80))),""))</f>
        <v>0</v>
      </c>
      <c r="AW80" s="11">
        <f>IF($C80="","",IFERROR(--LEFT($C80,FIND("-",$C80)-1),""))</f>
        <v>3</v>
      </c>
      <c r="AX80" s="11">
        <f>IF($C80="","",IFERROR(--MID($C80,FIND("-",$C80)+1,99),""))</f>
        <v>1</v>
      </c>
    </row>
    <row r="81" spans="1:50" ht="18" customHeight="1" x14ac:dyDescent="0.3">
      <c r="A81" s="12"/>
      <c r="B81" s="18"/>
      <c r="C81" s="13"/>
      <c r="D81" s="1"/>
      <c r="E81" s="22"/>
      <c r="F81" s="12"/>
      <c r="G81" s="22"/>
      <c r="H81" s="12"/>
      <c r="I81" s="22"/>
      <c r="J81" s="12"/>
      <c r="K81" s="22"/>
      <c r="L81" s="12"/>
      <c r="M81" s="22"/>
      <c r="N81" s="12"/>
      <c r="O81" s="22"/>
      <c r="P81" s="12"/>
      <c r="Q81" s="22"/>
      <c r="R81" s="12"/>
      <c r="S81" s="22"/>
      <c r="T81" s="12"/>
      <c r="U81" s="13"/>
      <c r="V81" s="12"/>
      <c r="W81" s="22"/>
      <c r="X81" s="12"/>
      <c r="Y81" s="22"/>
      <c r="Z81" s="12"/>
      <c r="AA81" s="22"/>
      <c r="AB81" s="12"/>
      <c r="AC81" s="22"/>
      <c r="AD81" s="12"/>
      <c r="AE81" s="22"/>
      <c r="AF81" s="12"/>
      <c r="AG81" s="22"/>
      <c r="AH81" s="12"/>
      <c r="AI81" s="22"/>
      <c r="AJ81" s="12"/>
      <c r="AK81" s="22"/>
      <c r="AL81" s="12"/>
      <c r="AM81" s="22"/>
      <c r="AN81" s="12"/>
      <c r="AO81" s="22"/>
      <c r="AP81" s="12"/>
      <c r="AQ81" s="22"/>
      <c r="AR81" s="12" t="str">
        <f>IF(OR($C81="",AQ81=""),"",IFERROR(IF(AND(IFERROR(--LEFT(AQ81,FIND("-",AQ81)-1),"")=AW81,IFERROR(--MID(AQ81,FIND("-",AQ81)+1,99),"")=AX81),10,5*(SIGN((IFERROR(--LEFT(AQ81,FIND("-",AQ81)-1),""))-(IFERROR(--MID(AQ81,FIND("-",AQ81)+1,99),"")))=SIGN((AW81)-(AX81)))+2*(((IFERROR(--LEFT(AQ81,FIND("-",AQ81)-1),""))-(IFERROR(--MID(AQ81,FIND("-",AQ81)+1,99),"")))=((AW81)-(AX81)))+2*((IFERROR(--LEFT(AQ81,FIND("-",AQ81)-1),""))=(AW81))+2*((IFERROR(--MID(AQ81,FIND("-",AQ81)+1,99),""))=(AX81))),""))</f>
        <v/>
      </c>
      <c r="AS81" s="22"/>
      <c r="AT81" s="12" t="str">
        <f>IF(OR($C81="",AS81=""),"",IFERROR(IF(AND(IFERROR(--LEFT(AS81,FIND("-",AS81)-1),"")=AW81,IFERROR(--MID(AS81,FIND("-",AS81)+1,99),"")=AX81),10,5*(SIGN((IFERROR(--LEFT(AS81,FIND("-",AS81)-1),""))-(IFERROR(--MID(AS81,FIND("-",AS81)+1,99),"")))=SIGN((AW81)-(AX81)))+2*(((IFERROR(--LEFT(AS81,FIND("-",AS81)-1),""))-(IFERROR(--MID(AS81,FIND("-",AS81)+1,99),"")))=((AW81)-(AX81)))+2*((IFERROR(--LEFT(AS81,FIND("-",AS81)-1),""))=(AW81))+2*((IFERROR(--MID(AS81,FIND("-",AS81)+1,99),""))=(AX81))),""))</f>
        <v/>
      </c>
      <c r="AU81" s="22"/>
      <c r="AV81" s="12"/>
      <c r="AW81" s="12"/>
      <c r="AX81" s="12"/>
    </row>
    <row r="82" spans="1:50" ht="20.100000000000001" customHeight="1" x14ac:dyDescent="0.3">
      <c r="A82" s="36" t="s">
        <v>119</v>
      </c>
      <c r="B82" s="37"/>
      <c r="C82" s="38"/>
      <c r="D82" s="37"/>
      <c r="E82" s="38"/>
      <c r="F82" s="37"/>
      <c r="G82" s="38"/>
      <c r="H82" s="37"/>
      <c r="I82" s="38"/>
      <c r="J82" s="37"/>
      <c r="K82" s="38"/>
      <c r="L82" s="37"/>
      <c r="M82" s="38"/>
      <c r="N82" s="37"/>
      <c r="O82" s="38"/>
      <c r="P82" s="37"/>
      <c r="Q82" s="38"/>
      <c r="R82" s="37"/>
      <c r="S82" s="38"/>
      <c r="T82" s="37"/>
      <c r="U82" s="38"/>
      <c r="V82" s="37"/>
      <c r="W82" s="38"/>
      <c r="X82" s="37"/>
      <c r="Y82" s="38"/>
      <c r="Z82" s="37"/>
      <c r="AA82" s="38"/>
      <c r="AB82" s="37"/>
      <c r="AC82" s="38"/>
      <c r="AD82" s="37"/>
      <c r="AE82" s="38"/>
      <c r="AF82" s="37"/>
      <c r="AG82" s="38"/>
      <c r="AH82" s="37"/>
      <c r="AI82" s="38"/>
      <c r="AJ82" s="37"/>
      <c r="AK82" s="38"/>
      <c r="AL82" s="37"/>
      <c r="AM82" s="38"/>
      <c r="AN82" s="37"/>
      <c r="AO82" s="38"/>
      <c r="AP82" s="37"/>
      <c r="AQ82" s="37"/>
      <c r="AR82" s="37"/>
      <c r="AS82" s="37"/>
      <c r="AT82" s="37"/>
      <c r="AU82" s="38"/>
      <c r="AV82" s="39"/>
      <c r="AW82" s="8"/>
      <c r="AX82" s="8"/>
    </row>
    <row r="83" spans="1:50" ht="18" customHeight="1" x14ac:dyDescent="0.3">
      <c r="A83" s="9">
        <v>1</v>
      </c>
      <c r="B83" s="18" t="s">
        <v>65</v>
      </c>
      <c r="C83" s="10" t="s">
        <v>56</v>
      </c>
      <c r="D83" s="1" t="s">
        <v>59</v>
      </c>
      <c r="E83" s="10" t="s">
        <v>56</v>
      </c>
      <c r="F83" s="11">
        <f t="shared" ref="F83:F88" si="6">IF(OR($C83="",E83=""),"",IFERROR(IF(AND(IFERROR(--LEFT(E83,FIND("-",E83)-1),"")=AW83,IFERROR(--MID(E83,FIND("-",E83)+1,99),"")=AX83),10,5*(SIGN((IFERROR(--LEFT(E83,FIND("-",E83)-1),""))-(IFERROR(--MID(E83,FIND("-",E83)+1,99),"")))=SIGN((AW83)-(AX83)))+2*(((IFERROR(--LEFT(E83,FIND("-",E83)-1),""))-(IFERROR(--MID(E83,FIND("-",E83)+1,99),"")))=((AW83)-(AX83)))+2*((IFERROR(--LEFT(E83,FIND("-",E83)-1),""))=(AW83))+2*((IFERROR(--MID(E83,FIND("-",E83)+1,99),""))=(AX83))),""))</f>
        <v>10</v>
      </c>
      <c r="G83" s="10" t="s">
        <v>39</v>
      </c>
      <c r="H83" s="11">
        <f t="shared" ref="H83:H88" si="7">IF(OR($C83="",G83=""),"",IFERROR(IF(AND(IFERROR(--LEFT(G83,FIND("-",G83)-1),"")=AW83,IFERROR(--MID(G83,FIND("-",G83)+1,99),"")=AX83),10,5*(SIGN((IFERROR(--LEFT(G83,FIND("-",G83)-1),""))-(IFERROR(--MID(G83,FIND("-",G83)+1,99),"")))=SIGN((AW83)-(AX83)))+2*(((IFERROR(--LEFT(G83,FIND("-",G83)-1),""))-(IFERROR(--MID(G83,FIND("-",G83)+1,99),"")))=((AW83)-(AX83)))+2*((IFERROR(--LEFT(G83,FIND("-",G83)-1),""))=(AW83))+2*((IFERROR(--MID(G83,FIND("-",G83)+1,99),""))=(AX83))),""))</f>
        <v>0</v>
      </c>
      <c r="I83" s="10" t="s">
        <v>48</v>
      </c>
      <c r="J83" s="11">
        <f t="shared" ref="J83:J88" si="8">IF(OR($C83="",I83=""),"",IFERROR(IF(AND(IFERROR(--LEFT(I83,FIND("-",I83)-1),"")=AW83,IFERROR(--MID(I83,FIND("-",I83)+1,99),"")=AX83),10,5*(SIGN((IFERROR(--LEFT(I83,FIND("-",I83)-1),""))-(IFERROR(--MID(I83,FIND("-",I83)+1,99),"")))=SIGN((AW83)-(AX83)))+2*(((IFERROR(--LEFT(I83,FIND("-",I83)-1),""))-(IFERROR(--MID(I83,FIND("-",I83)+1,99),"")))=((AW83)-(AX83)))+2*((IFERROR(--LEFT(I83,FIND("-",I83)-1),""))=(AW83))+2*((IFERROR(--MID(I83,FIND("-",I83)+1,99),""))=(AX83))),""))</f>
        <v>7</v>
      </c>
      <c r="K83" s="10" t="s">
        <v>33</v>
      </c>
      <c r="L83" s="11">
        <f t="shared" ref="L83:L88" si="9">IF(OR($C83="",K83=""),"",IFERROR(IF(AND(IFERROR(--LEFT(K83,FIND("-",K83)-1),"")=AW83,IFERROR(--MID(K83,FIND("-",K83)+1,99),"")=AX83),10,5*(SIGN((IFERROR(--LEFT(K83,FIND("-",K83)-1),""))-(IFERROR(--MID(K83,FIND("-",K83)+1,99),"")))=SIGN((AW83)-(AX83)))+2*(((IFERROR(--LEFT(K83,FIND("-",K83)-1),""))-(IFERROR(--MID(K83,FIND("-",K83)+1,99),"")))=((AW83)-(AX83)))+2*((IFERROR(--LEFT(K83,FIND("-",K83)-1),""))=(AW83))+2*((IFERROR(--MID(K83,FIND("-",K83)+1,99),""))=(AX83))),""))</f>
        <v>0</v>
      </c>
      <c r="M83" s="10" t="s">
        <v>33</v>
      </c>
      <c r="N83" s="11">
        <f t="shared" ref="N83:N88" si="10">IF(OR($C83="",M83=""),"",IFERROR(IF(AND(IFERROR(--LEFT(M83,FIND("-",M83)-1),"")=AW83,IFERROR(--MID(M83,FIND("-",M83)+1,99),"")=AX83),10,5*(SIGN((IFERROR(--LEFT(M83,FIND("-",M83)-1),""))-(IFERROR(--MID(M83,FIND("-",M83)+1,99),"")))=SIGN((AW83)-(AX83)))+2*(((IFERROR(--LEFT(M83,FIND("-",M83)-1),""))-(IFERROR(--MID(M83,FIND("-",M83)+1,99),"")))=((AW83)-(AX83)))+2*((IFERROR(--LEFT(M83,FIND("-",M83)-1),""))=(AW83))+2*((IFERROR(--MID(M83,FIND("-",M83)+1,99),""))=(AX83))),""))</f>
        <v>0</v>
      </c>
      <c r="O83" s="10" t="s">
        <v>57</v>
      </c>
      <c r="P83" s="11">
        <f t="shared" ref="P83:P88" si="11">IF(OR($C83="",O83=""),"",IFERROR(IF(AND(IFERROR(--LEFT(O83,FIND("-",O83)-1),"")=AW83,IFERROR(--MID(O83,FIND("-",O83)+1,99),"")=AX83),10,5*(SIGN((IFERROR(--LEFT(O83,FIND("-",O83)-1),""))-(IFERROR(--MID(O83,FIND("-",O83)+1,99),"")))=SIGN((AW83)-(AX83)))+2*(((IFERROR(--LEFT(O83,FIND("-",O83)-1),""))-(IFERROR(--MID(O83,FIND("-",O83)+1,99),"")))=((AW83)-(AX83)))+2*((IFERROR(--LEFT(O83,FIND("-",O83)-1),""))=(AW83))+2*((IFERROR(--MID(O83,FIND("-",O83)+1,99),""))=(AX83))),""))</f>
        <v>7</v>
      </c>
      <c r="Q83" s="10" t="s">
        <v>49</v>
      </c>
      <c r="R83" s="11">
        <f t="shared" ref="R83:R88" si="12">IF(OR($C83="",Q83=""),"",IFERROR(IF(AND(IFERROR(--LEFT(Q83,FIND("-",Q83)-1),"")=AW83,IFERROR(--MID(Q83,FIND("-",Q83)+1,99),"")=AX83),10,5*(SIGN((IFERROR(--LEFT(Q83,FIND("-",Q83)-1),""))-(IFERROR(--MID(Q83,FIND("-",Q83)+1,99),"")))=SIGN((AW83)-(AX83)))+2*(((IFERROR(--LEFT(Q83,FIND("-",Q83)-1),""))-(IFERROR(--MID(Q83,FIND("-",Q83)+1,99),"")))=((AW83)-(AX83)))+2*((IFERROR(--LEFT(Q83,FIND("-",Q83)-1),""))=(AW83))+2*((IFERROR(--MID(Q83,FIND("-",Q83)+1,99),""))=(AX83))),""))</f>
        <v>0</v>
      </c>
      <c r="S83" s="10" t="s">
        <v>115</v>
      </c>
      <c r="T83" s="11">
        <f t="shared" ref="T83:T88" si="13">IF(OR($C83="",S83=""),"",IFERROR(IF(AND(IFERROR(--LEFT(S83,FIND("-",S83)-1),"")=AW83,IFERROR(--MID(S83,FIND("-",S83)+1,99),"")=AX83),10,5*(SIGN((IFERROR(--LEFT(S83,FIND("-",S83)-1),""))-(IFERROR(--MID(S83,FIND("-",S83)+1,99),"")))=SIGN((AW83)-(AX83)))+2*(((IFERROR(--LEFT(S83,FIND("-",S83)-1),""))-(IFERROR(--MID(S83,FIND("-",S83)+1,99),"")))=((AW83)-(AX83)))+2*((IFERROR(--LEFT(S83,FIND("-",S83)-1),""))=(AW83))+2*((IFERROR(--MID(S83,FIND("-",S83)+1,99),""))=(AX83))),""))</f>
        <v>7</v>
      </c>
      <c r="U83" s="10" t="s">
        <v>48</v>
      </c>
      <c r="V83" s="11">
        <f t="shared" ref="V83:V88" si="14">IF(OR($C83="",U83=""),"",IFERROR(IF(AND(IFERROR(--LEFT(U83,FIND("-",U83)-1),"")=AW83,IFERROR(--MID(U83,FIND("-",U83)+1,99),"")=AX83),10,5*(SIGN((IFERROR(--LEFT(U83,FIND("-",U83)-1),""))-(IFERROR(--MID(U83,FIND("-",U83)+1,99),"")))=SIGN((AW83)-(AX83)))+2*(((IFERROR(--LEFT(U83,FIND("-",U83)-1),""))-(IFERROR(--MID(U83,FIND("-",U83)+1,99),"")))=((AW83)-(AX83)))+2*((IFERROR(--LEFT(U83,FIND("-",U83)-1),""))=(AW83))+2*((IFERROR(--MID(U83,FIND("-",U83)+1,99),""))=(AX83))),""))</f>
        <v>7</v>
      </c>
      <c r="W83" s="10" t="s">
        <v>37</v>
      </c>
      <c r="X83" s="11">
        <f t="shared" ref="X83:X88" si="15">IF(OR($C83="",W83=""),"",IFERROR(IF(AND(IFERROR(--LEFT(W83,FIND("-",W83)-1),"")=AW83,IFERROR(--MID(W83,FIND("-",W83)+1,99),"")=AX83),10,5*(SIGN((IFERROR(--LEFT(W83,FIND("-",W83)-1),""))-(IFERROR(--MID(W83,FIND("-",W83)+1,99),"")))=SIGN((AW83)-(AX83)))+2*(((IFERROR(--LEFT(W83,FIND("-",W83)-1),""))-(IFERROR(--MID(W83,FIND("-",W83)+1,99),"")))=((AW83)-(AX83)))+2*((IFERROR(--LEFT(W83,FIND("-",W83)-1),""))=(AW83))+2*((IFERROR(--MID(W83,FIND("-",W83)+1,99),""))=(AX83))),""))</f>
        <v>5</v>
      </c>
      <c r="Y83" s="10" t="s">
        <v>48</v>
      </c>
      <c r="Z83" s="11">
        <f t="shared" ref="Z83:Z88" si="16">IF(OR($C83="",Y83=""),"",IFERROR(IF(AND(IFERROR(--LEFT(Y83,FIND("-",Y83)-1),"")=AW83,IFERROR(--MID(Y83,FIND("-",Y83)+1,99),"")=AX83),10,5*(SIGN((IFERROR(--LEFT(Y83,FIND("-",Y83)-1),""))-(IFERROR(--MID(Y83,FIND("-",Y83)+1,99),"")))=SIGN((AW83)-(AX83)))+2*(((IFERROR(--LEFT(Y83,FIND("-",Y83)-1),""))-(IFERROR(--MID(Y83,FIND("-",Y83)+1,99),"")))=((AW83)-(AX83)))+2*((IFERROR(--LEFT(Y83,FIND("-",Y83)-1),""))=(AW83))+2*((IFERROR(--MID(Y83,FIND("-",Y83)+1,99),""))=(AX83))),""))</f>
        <v>7</v>
      </c>
      <c r="AA83" s="10" t="s">
        <v>33</v>
      </c>
      <c r="AB83" s="11">
        <f t="shared" ref="AB83:AB88" si="17">IF(OR($C83="",AA83=""),"",IFERROR(IF(AND(IFERROR(--LEFT(AA83,FIND("-",AA83)-1),"")=AW83,IFERROR(--MID(AA83,FIND("-",AA83)+1,99),"")=AX83),10,5*(SIGN((IFERROR(--LEFT(AA83,FIND("-",AA83)-1),""))-(IFERROR(--MID(AA83,FIND("-",AA83)+1,99),"")))=SIGN((AW83)-(AX83)))+2*(((IFERROR(--LEFT(AA83,FIND("-",AA83)-1),""))-(IFERROR(--MID(AA83,FIND("-",AA83)+1,99),"")))=((AW83)-(AX83)))+2*((IFERROR(--LEFT(AA83,FIND("-",AA83)-1),""))=(AW83))+2*((IFERROR(--MID(AA83,FIND("-",AA83)+1,99),""))=(AX83))),""))</f>
        <v>0</v>
      </c>
      <c r="AC83" s="28" t="s">
        <v>45</v>
      </c>
      <c r="AD83" s="11">
        <f t="shared" ref="AD83:AD88" si="18">IF(OR($C83="",AC83=""),"",IFERROR(IF(AND(IFERROR(--LEFT(AC83,FIND("-",AC83)-1),"")=AW83,IFERROR(--MID(AC83,FIND("-",AC83)+1,99),"")=AX83),10,5*(SIGN((IFERROR(--LEFT(AC83,FIND("-",AC83)-1),""))-(IFERROR(--MID(AC83,FIND("-",AC83)+1,99),"")))=SIGN((AW83)-(AX83)))+2*(((IFERROR(--LEFT(AC83,FIND("-",AC83)-1),""))-(IFERROR(--MID(AC83,FIND("-",AC83)+1,99),"")))=((AW83)-(AX83)))+2*((IFERROR(--LEFT(AC83,FIND("-",AC83)-1),""))=(AW83))+2*((IFERROR(--MID(AC83,FIND("-",AC83)+1,99),""))=(AX83))),""))</f>
        <v>7</v>
      </c>
      <c r="AE83" s="10" t="s">
        <v>48</v>
      </c>
      <c r="AF83" s="11">
        <f t="shared" ref="AF83:AF88" si="19">IF(OR($C83="",AE83=""),"",IFERROR(IF(AND(IFERROR(--LEFT(AE83,FIND("-",AE83)-1),"")=AW83,IFERROR(--MID(AE83,FIND("-",AE83)+1,99),"")=AX83),10,5*(SIGN((IFERROR(--LEFT(AE83,FIND("-",AE83)-1),""))-(IFERROR(--MID(AE83,FIND("-",AE83)+1,99),"")))=SIGN((AW83)-(AX83)))+2*(((IFERROR(--LEFT(AE83,FIND("-",AE83)-1),""))-(IFERROR(--MID(AE83,FIND("-",AE83)+1,99),"")))=((AW83)-(AX83)))+2*((IFERROR(--LEFT(AE83,FIND("-",AE83)-1),""))=(AW83))+2*((IFERROR(--MID(AE83,FIND("-",AE83)+1,99),""))=(AX83))),""))</f>
        <v>7</v>
      </c>
      <c r="AG83" s="10" t="s">
        <v>48</v>
      </c>
      <c r="AH83" s="11">
        <f t="shared" ref="AH83:AH88" si="20">IF(OR($C83="",AG83=""),"",IFERROR(IF(AND(IFERROR(--LEFT(AG83,FIND("-",AG83)-1),"")=AW83,IFERROR(--MID(AG83,FIND("-",AG83)+1,99),"")=AX83),10,5*(SIGN((IFERROR(--LEFT(AG83,FIND("-",AG83)-1),""))-(IFERROR(--MID(AG83,FIND("-",AG83)+1,99),"")))=SIGN((AW83)-(AX83)))+2*(((IFERROR(--LEFT(AG83,FIND("-",AG83)-1),""))-(IFERROR(--MID(AG83,FIND("-",AG83)+1,99),"")))=((AW83)-(AX83)))+2*((IFERROR(--LEFT(AG83,FIND("-",AG83)-1),""))=(AW83))+2*((IFERROR(--MID(AG83,FIND("-",AG83)+1,99),""))=(AX83))),""))</f>
        <v>7</v>
      </c>
      <c r="AI83" s="10" t="s">
        <v>57</v>
      </c>
      <c r="AJ83" s="11">
        <f t="shared" ref="AJ83:AJ88" si="21">IF(OR($C83="",AI83=""),"",IFERROR(IF(AND(IFERROR(--LEFT(AI83,FIND("-",AI83)-1),"")=AW83,IFERROR(--MID(AI83,FIND("-",AI83)+1,99),"")=AX83),10,5*(SIGN((IFERROR(--LEFT(AI83,FIND("-",AI83)-1),""))-(IFERROR(--MID(AI83,FIND("-",AI83)+1,99),"")))=SIGN((AW83)-(AX83)))+2*(((IFERROR(--LEFT(AI83,FIND("-",AI83)-1),""))-(IFERROR(--MID(AI83,FIND("-",AI83)+1,99),"")))=((AW83)-(AX83)))+2*((IFERROR(--LEFT(AI83,FIND("-",AI83)-1),""))=(AW83))+2*((IFERROR(--MID(AI83,FIND("-",AI83)+1,99),""))=(AX83))),""))</f>
        <v>7</v>
      </c>
      <c r="AK83" s="10" t="s">
        <v>48</v>
      </c>
      <c r="AL83" s="11">
        <f t="shared" ref="AL83:AL88" si="22">IF(OR($C83="",AK83=""),"",IFERROR(IF(AND(IFERROR(--LEFT(AK83,FIND("-",AK83)-1),"")=AW83,IFERROR(--MID(AK83,FIND("-",AK83)+1,99),"")=AX83),10,5*(SIGN((IFERROR(--LEFT(AK83,FIND("-",AK83)-1),""))-(IFERROR(--MID(AK83,FIND("-",AK83)+1,99),"")))=SIGN((AW83)-(AX83)))+2*(((IFERROR(--LEFT(AK83,FIND("-",AK83)-1),""))-(IFERROR(--MID(AK83,FIND("-",AK83)+1,99),"")))=((AW83)-(AX83)))+2*((IFERROR(--LEFT(AK83,FIND("-",AK83)-1),""))=(AW83))+2*((IFERROR(--MID(AK83,FIND("-",AK83)+1,99),""))=(AX83))),""))</f>
        <v>7</v>
      </c>
      <c r="AM83" s="10" t="s">
        <v>37</v>
      </c>
      <c r="AN83" s="11">
        <f t="shared" ref="AN83:AN88" si="23">IF(OR($C83="",AM83=""),"",IFERROR(IF(AND(IFERROR(--LEFT(AM83,FIND("-",AM83)-1),"")=AW83,IFERROR(--MID(AM83,FIND("-",AM83)+1,99),"")=AX83),10,5*(SIGN((IFERROR(--LEFT(AM83,FIND("-",AM83)-1),""))-(IFERROR(--MID(AM83,FIND("-",AM83)+1,99),"")))=SIGN((AW83)-(AX83)))+2*(((IFERROR(--LEFT(AM83,FIND("-",AM83)-1),""))-(IFERROR(--MID(AM83,FIND("-",AM83)+1,99),"")))=((AW83)-(AX83)))+2*((IFERROR(--LEFT(AM83,FIND("-",AM83)-1),""))=(AW83))+2*((IFERROR(--MID(AM83,FIND("-",AM83)+1,99),""))=(AX83))),""))</f>
        <v>5</v>
      </c>
      <c r="AO83" s="10" t="s">
        <v>57</v>
      </c>
      <c r="AP83" s="11">
        <f t="shared" ref="AP83:AP88" si="24">IF(OR($C83="",AO83=""),"",IFERROR(IF(AND(IFERROR(--LEFT(AO83,FIND("-",AO83)-1),"")=AW83,IFERROR(--MID(AO83,FIND("-",AO83)+1,99),"")=AX83),10,5*(SIGN((IFERROR(--LEFT(AO83,FIND("-",AO83)-1),""))-(IFERROR(--MID(AO83,FIND("-",AO83)+1,99),"")))=SIGN((AW83)-(AX83)))+2*(((IFERROR(--LEFT(AO83,FIND("-",AO83)-1),""))-(IFERROR(--MID(AO83,FIND("-",AO83)+1,99),"")))=((AW83)-(AX83)))+2*((IFERROR(--LEFT(AO83,FIND("-",AO83)-1),""))=(AW83))+2*((IFERROR(--MID(AO83,FIND("-",AO83)+1,99),""))=(AX83))),""))</f>
        <v>7</v>
      </c>
      <c r="AQ83" s="10" t="s">
        <v>35</v>
      </c>
      <c r="AR83" s="11">
        <f t="shared" ref="AR83:AR89" si="25">IF(OR($C83="",AQ83=""),"",IFERROR(IF(AND(IFERROR(--LEFT(AQ83,FIND("-",AQ83)-1),"")=AW83,IFERROR(--MID(AQ83,FIND("-",AQ83)+1,99),"")=AX83),10,5*(SIGN((IFERROR(--LEFT(AQ83,FIND("-",AQ83)-1),""))-(IFERROR(--MID(AQ83,FIND("-",AQ83)+1,99),"")))=SIGN((AW83)-(AX83)))+2*(((IFERROR(--LEFT(AQ83,FIND("-",AQ83)-1),""))-(IFERROR(--MID(AQ83,FIND("-",AQ83)+1,99),"")))=((AW83)-(AX83)))+2*((IFERROR(--LEFT(AQ83,FIND("-",AQ83)-1),""))=(AW83))+2*((IFERROR(--MID(AQ83,FIND("-",AQ83)+1,99),""))=(AX83))),""))</f>
        <v>0</v>
      </c>
      <c r="AS83" s="10" t="s">
        <v>115</v>
      </c>
      <c r="AT83" s="11">
        <f t="shared" ref="AT83:AT89" si="26">IF(OR($C83="",AS83=""),"",IFERROR(IF(AND(IFERROR(--LEFT(AS83,FIND("-",AS83)-1),"")=AW83,IFERROR(--MID(AS83,FIND("-",AS83)+1,99),"")=AX83),10,5*(SIGN((IFERROR(--LEFT(AS83,FIND("-",AS83)-1),""))-(IFERROR(--MID(AS83,FIND("-",AS83)+1,99),"")))=SIGN((AW83)-(AX83)))+2*(((IFERROR(--LEFT(AS83,FIND("-",AS83)-1),""))-(IFERROR(--MID(AS83,FIND("-",AS83)+1,99),"")))=((AW83)-(AX83)))+2*((IFERROR(--LEFT(AS83,FIND("-",AS83)-1),""))=(AW83))+2*((IFERROR(--MID(AS83,FIND("-",AS83)+1,99),""))=(AX83))),""))</f>
        <v>7</v>
      </c>
      <c r="AU83" s="10" t="s">
        <v>56</v>
      </c>
      <c r="AV83" s="11">
        <f t="shared" ref="AV83:AV88" si="27">IF(OR($C83="",AU83=""),"",IFERROR(IF(AND(IFERROR(--LEFT(AU83,FIND("-",AU83)-1),"")=AW83,IFERROR(--MID(AU83,FIND("-",AU83)+1,99),"")=AX83),10,5*(SIGN((IFERROR(--LEFT(AU83,FIND("-",AU83)-1),""))-(IFERROR(--MID(AU83,FIND("-",AU83)+1,99),"")))=SIGN((AW83)-(AX83)))+2*(((IFERROR(--LEFT(AU83,FIND("-",AU83)-1),""))-(IFERROR(--MID(AU83,FIND("-",AU83)+1,99),"")))=((AW83)-(AX83)))+2*((IFERROR(--LEFT(AU83,FIND("-",AU83)-1),""))=(AW83))+2*((IFERROR(--MID(AU83,FIND("-",AU83)+1,99),""))=(AX83))),""))</f>
        <v>10</v>
      </c>
      <c r="AW83" s="11">
        <f t="shared" ref="AW83:AW88" si="28">IF($C83="","",IFERROR(--LEFT($C83,FIND("-",$C83)-1),""))</f>
        <v>0</v>
      </c>
      <c r="AX83" s="11">
        <f t="shared" ref="AX83:AX88" si="29">IF($C83="","",IFERROR(--MID($C83,FIND("-",$C83)+1,99),""))</f>
        <v>3</v>
      </c>
    </row>
    <row r="84" spans="1:50" ht="18" customHeight="1" x14ac:dyDescent="0.3">
      <c r="A84" s="9">
        <v>1</v>
      </c>
      <c r="B84" s="18" t="s">
        <v>60</v>
      </c>
      <c r="C84" s="10" t="s">
        <v>62</v>
      </c>
      <c r="D84" s="1" t="s">
        <v>64</v>
      </c>
      <c r="E84" s="10" t="s">
        <v>38</v>
      </c>
      <c r="F84" s="11">
        <f t="shared" si="6"/>
        <v>5</v>
      </c>
      <c r="G84" s="10" t="s">
        <v>38</v>
      </c>
      <c r="H84" s="11">
        <f t="shared" si="7"/>
        <v>5</v>
      </c>
      <c r="I84" s="10" t="s">
        <v>33</v>
      </c>
      <c r="J84" s="11">
        <f t="shared" si="8"/>
        <v>5</v>
      </c>
      <c r="K84" s="10" t="s">
        <v>113</v>
      </c>
      <c r="L84" s="11">
        <f t="shared" si="9"/>
        <v>5</v>
      </c>
      <c r="M84" s="10" t="s">
        <v>38</v>
      </c>
      <c r="N84" s="11">
        <f t="shared" si="10"/>
        <v>5</v>
      </c>
      <c r="O84" s="10" t="s">
        <v>36</v>
      </c>
      <c r="P84" s="11">
        <f t="shared" si="11"/>
        <v>7</v>
      </c>
      <c r="Q84" s="10" t="s">
        <v>34</v>
      </c>
      <c r="R84" s="11">
        <f t="shared" si="12"/>
        <v>7</v>
      </c>
      <c r="S84" s="10" t="s">
        <v>37</v>
      </c>
      <c r="T84" s="11">
        <f t="shared" si="13"/>
        <v>2</v>
      </c>
      <c r="U84" s="10" t="s">
        <v>36</v>
      </c>
      <c r="V84" s="11">
        <f t="shared" si="14"/>
        <v>7</v>
      </c>
      <c r="W84" s="10" t="s">
        <v>36</v>
      </c>
      <c r="X84" s="11">
        <f t="shared" si="15"/>
        <v>7</v>
      </c>
      <c r="Y84" s="10" t="s">
        <v>36</v>
      </c>
      <c r="Z84" s="11">
        <f t="shared" si="16"/>
        <v>7</v>
      </c>
      <c r="AA84" s="10" t="s">
        <v>38</v>
      </c>
      <c r="AB84" s="11">
        <f t="shared" si="17"/>
        <v>5</v>
      </c>
      <c r="AC84" s="28" t="s">
        <v>61</v>
      </c>
      <c r="AD84" s="11">
        <f t="shared" si="18"/>
        <v>7</v>
      </c>
      <c r="AE84" s="10" t="s">
        <v>36</v>
      </c>
      <c r="AF84" s="11">
        <f t="shared" si="19"/>
        <v>7</v>
      </c>
      <c r="AG84" s="10" t="s">
        <v>38</v>
      </c>
      <c r="AH84" s="11">
        <f t="shared" si="20"/>
        <v>5</v>
      </c>
      <c r="AI84" s="10" t="s">
        <v>36</v>
      </c>
      <c r="AJ84" s="11">
        <f t="shared" si="21"/>
        <v>7</v>
      </c>
      <c r="AK84" s="10" t="s">
        <v>36</v>
      </c>
      <c r="AL84" s="11">
        <f t="shared" si="22"/>
        <v>7</v>
      </c>
      <c r="AM84" s="10" t="s">
        <v>39</v>
      </c>
      <c r="AN84" s="11">
        <f t="shared" si="23"/>
        <v>5</v>
      </c>
      <c r="AO84" s="10" t="s">
        <v>36</v>
      </c>
      <c r="AP84" s="11">
        <f t="shared" si="24"/>
        <v>7</v>
      </c>
      <c r="AQ84" s="10" t="s">
        <v>33</v>
      </c>
      <c r="AR84" s="11">
        <f t="shared" si="25"/>
        <v>5</v>
      </c>
      <c r="AS84" s="10" t="s">
        <v>36</v>
      </c>
      <c r="AT84" s="11">
        <f t="shared" si="26"/>
        <v>7</v>
      </c>
      <c r="AU84" s="10" t="s">
        <v>36</v>
      </c>
      <c r="AV84" s="11">
        <f t="shared" si="27"/>
        <v>7</v>
      </c>
      <c r="AW84" s="11">
        <f t="shared" si="28"/>
        <v>4</v>
      </c>
      <c r="AX84" s="11">
        <f t="shared" si="29"/>
        <v>2</v>
      </c>
    </row>
    <row r="85" spans="1:50" ht="18" customHeight="1" x14ac:dyDescent="0.3">
      <c r="A85" s="9">
        <v>1.125</v>
      </c>
      <c r="B85" s="18" t="s">
        <v>42</v>
      </c>
      <c r="C85" s="10" t="s">
        <v>56</v>
      </c>
      <c r="D85" s="1" t="s">
        <v>31</v>
      </c>
      <c r="E85" s="10" t="s">
        <v>35</v>
      </c>
      <c r="F85" s="11">
        <f t="shared" si="6"/>
        <v>0</v>
      </c>
      <c r="G85" s="10" t="s">
        <v>48</v>
      </c>
      <c r="H85" s="11">
        <f t="shared" si="7"/>
        <v>7</v>
      </c>
      <c r="I85" s="10" t="s">
        <v>37</v>
      </c>
      <c r="J85" s="11">
        <f t="shared" si="8"/>
        <v>5</v>
      </c>
      <c r="K85" s="10" t="s">
        <v>120</v>
      </c>
      <c r="L85" s="11">
        <f t="shared" si="9"/>
        <v>5</v>
      </c>
      <c r="M85" s="10" t="s">
        <v>37</v>
      </c>
      <c r="N85" s="11">
        <f t="shared" si="10"/>
        <v>5</v>
      </c>
      <c r="O85" s="10" t="s">
        <v>35</v>
      </c>
      <c r="P85" s="11">
        <f t="shared" si="11"/>
        <v>0</v>
      </c>
      <c r="Q85" s="10" t="s">
        <v>49</v>
      </c>
      <c r="R85" s="11">
        <f t="shared" si="12"/>
        <v>0</v>
      </c>
      <c r="S85" s="10" t="s">
        <v>56</v>
      </c>
      <c r="T85" s="11">
        <f t="shared" si="13"/>
        <v>10</v>
      </c>
      <c r="U85" s="10" t="s">
        <v>37</v>
      </c>
      <c r="V85" s="11">
        <f t="shared" si="14"/>
        <v>5</v>
      </c>
      <c r="W85" s="10" t="s">
        <v>37</v>
      </c>
      <c r="X85" s="11">
        <f t="shared" si="15"/>
        <v>5</v>
      </c>
      <c r="Y85" s="10" t="s">
        <v>35</v>
      </c>
      <c r="Z85" s="11">
        <f t="shared" si="16"/>
        <v>0</v>
      </c>
      <c r="AA85" s="10" t="s">
        <v>37</v>
      </c>
      <c r="AB85" s="11">
        <f t="shared" si="17"/>
        <v>5</v>
      </c>
      <c r="AC85" s="28" t="s">
        <v>61</v>
      </c>
      <c r="AD85" s="11">
        <f t="shared" si="18"/>
        <v>0</v>
      </c>
      <c r="AE85" s="10" t="s">
        <v>35</v>
      </c>
      <c r="AF85" s="11">
        <f t="shared" si="19"/>
        <v>0</v>
      </c>
      <c r="AG85" s="10" t="s">
        <v>37</v>
      </c>
      <c r="AH85" s="11">
        <f t="shared" si="20"/>
        <v>5</v>
      </c>
      <c r="AI85" s="10" t="s">
        <v>33</v>
      </c>
      <c r="AJ85" s="11">
        <f t="shared" si="21"/>
        <v>0</v>
      </c>
      <c r="AK85" s="10" t="s">
        <v>37</v>
      </c>
      <c r="AL85" s="11">
        <f t="shared" si="22"/>
        <v>5</v>
      </c>
      <c r="AM85" s="10" t="s">
        <v>37</v>
      </c>
      <c r="AN85" s="11">
        <f t="shared" si="23"/>
        <v>5</v>
      </c>
      <c r="AO85" s="10" t="s">
        <v>57</v>
      </c>
      <c r="AP85" s="11">
        <f t="shared" si="24"/>
        <v>7</v>
      </c>
      <c r="AQ85" s="10" t="s">
        <v>49</v>
      </c>
      <c r="AR85" s="11">
        <f t="shared" si="25"/>
        <v>0</v>
      </c>
      <c r="AS85" s="10" t="s">
        <v>35</v>
      </c>
      <c r="AT85" s="11">
        <f t="shared" si="26"/>
        <v>0</v>
      </c>
      <c r="AU85" s="10" t="s">
        <v>57</v>
      </c>
      <c r="AV85" s="11">
        <f t="shared" si="27"/>
        <v>7</v>
      </c>
      <c r="AW85" s="11">
        <f t="shared" si="28"/>
        <v>0</v>
      </c>
      <c r="AX85" s="11">
        <f t="shared" si="29"/>
        <v>3</v>
      </c>
    </row>
    <row r="86" spans="1:50" ht="18" customHeight="1" x14ac:dyDescent="0.3">
      <c r="A86" s="9">
        <v>1.125</v>
      </c>
      <c r="B86" s="18" t="s">
        <v>32</v>
      </c>
      <c r="C86" s="10" t="s">
        <v>39</v>
      </c>
      <c r="D86" s="1" t="s">
        <v>41</v>
      </c>
      <c r="E86" s="10" t="s">
        <v>37</v>
      </c>
      <c r="F86" s="11">
        <f t="shared" si="6"/>
        <v>2</v>
      </c>
      <c r="G86" s="10" t="s">
        <v>57</v>
      </c>
      <c r="H86" s="11">
        <f t="shared" si="7"/>
        <v>2</v>
      </c>
      <c r="I86" s="10" t="s">
        <v>50</v>
      </c>
      <c r="J86" s="11">
        <f t="shared" si="8"/>
        <v>2</v>
      </c>
      <c r="K86" s="10" t="s">
        <v>49</v>
      </c>
      <c r="L86" s="11">
        <f t="shared" si="9"/>
        <v>0</v>
      </c>
      <c r="M86" s="10" t="s">
        <v>37</v>
      </c>
      <c r="N86" s="11">
        <f t="shared" si="10"/>
        <v>2</v>
      </c>
      <c r="O86" s="10" t="s">
        <v>49</v>
      </c>
      <c r="P86" s="11">
        <f t="shared" si="11"/>
        <v>0</v>
      </c>
      <c r="Q86" s="10" t="s">
        <v>49</v>
      </c>
      <c r="R86" s="11">
        <f t="shared" si="12"/>
        <v>0</v>
      </c>
      <c r="S86" s="10" t="s">
        <v>35</v>
      </c>
      <c r="T86" s="11">
        <f t="shared" si="13"/>
        <v>2</v>
      </c>
      <c r="U86" s="10" t="s">
        <v>45</v>
      </c>
      <c r="V86" s="11">
        <f t="shared" si="14"/>
        <v>0</v>
      </c>
      <c r="W86" s="10" t="s">
        <v>45</v>
      </c>
      <c r="X86" s="11">
        <f t="shared" si="15"/>
        <v>0</v>
      </c>
      <c r="Y86" s="10" t="s">
        <v>48</v>
      </c>
      <c r="Z86" s="11">
        <f t="shared" si="16"/>
        <v>0</v>
      </c>
      <c r="AA86" s="10" t="s">
        <v>37</v>
      </c>
      <c r="AB86" s="11">
        <f t="shared" si="17"/>
        <v>2</v>
      </c>
      <c r="AC86" s="28" t="s">
        <v>33</v>
      </c>
      <c r="AD86" s="11">
        <f t="shared" si="18"/>
        <v>7</v>
      </c>
      <c r="AE86" s="10" t="s">
        <v>35</v>
      </c>
      <c r="AF86" s="11">
        <f t="shared" si="19"/>
        <v>2</v>
      </c>
      <c r="AG86" s="10" t="s">
        <v>45</v>
      </c>
      <c r="AH86" s="11">
        <f t="shared" si="20"/>
        <v>0</v>
      </c>
      <c r="AI86" s="10" t="s">
        <v>35</v>
      </c>
      <c r="AJ86" s="11">
        <f t="shared" si="21"/>
        <v>2</v>
      </c>
      <c r="AK86" s="10" t="s">
        <v>35</v>
      </c>
      <c r="AL86" s="11">
        <f t="shared" si="22"/>
        <v>2</v>
      </c>
      <c r="AM86" s="10" t="s">
        <v>45</v>
      </c>
      <c r="AN86" s="11">
        <f t="shared" si="23"/>
        <v>0</v>
      </c>
      <c r="AO86" s="10" t="s">
        <v>35</v>
      </c>
      <c r="AP86" s="11">
        <f t="shared" si="24"/>
        <v>2</v>
      </c>
      <c r="AQ86" s="10" t="s">
        <v>37</v>
      </c>
      <c r="AR86" s="11">
        <f t="shared" si="25"/>
        <v>2</v>
      </c>
      <c r="AS86" s="10" t="s">
        <v>37</v>
      </c>
      <c r="AT86" s="11">
        <f t="shared" si="26"/>
        <v>2</v>
      </c>
      <c r="AU86" s="10" t="s">
        <v>48</v>
      </c>
      <c r="AV86" s="11">
        <f t="shared" si="27"/>
        <v>0</v>
      </c>
      <c r="AW86" s="11">
        <f t="shared" si="28"/>
        <v>1</v>
      </c>
      <c r="AX86" s="11">
        <f t="shared" si="29"/>
        <v>0</v>
      </c>
    </row>
    <row r="87" spans="1:50" ht="18" customHeight="1" x14ac:dyDescent="0.3">
      <c r="A87" s="9">
        <v>1.916666666666667</v>
      </c>
      <c r="B87" s="18" t="s">
        <v>70</v>
      </c>
      <c r="C87" s="10" t="s">
        <v>48</v>
      </c>
      <c r="D87" s="1" t="s">
        <v>76</v>
      </c>
      <c r="E87" s="10" t="s">
        <v>48</v>
      </c>
      <c r="F87" s="11">
        <f t="shared" si="6"/>
        <v>10</v>
      </c>
      <c r="G87" s="10" t="s">
        <v>35</v>
      </c>
      <c r="H87" s="11">
        <f t="shared" si="7"/>
        <v>0</v>
      </c>
      <c r="I87" s="10" t="s">
        <v>56</v>
      </c>
      <c r="J87" s="11">
        <f t="shared" si="8"/>
        <v>7</v>
      </c>
      <c r="K87" s="10" t="s">
        <v>35</v>
      </c>
      <c r="L87" s="11">
        <f t="shared" si="9"/>
        <v>0</v>
      </c>
      <c r="M87" s="10" t="s">
        <v>49</v>
      </c>
      <c r="N87" s="11">
        <f t="shared" si="10"/>
        <v>2</v>
      </c>
      <c r="O87" s="10" t="s">
        <v>48</v>
      </c>
      <c r="P87" s="11">
        <f t="shared" si="11"/>
        <v>10</v>
      </c>
      <c r="Q87" s="10" t="s">
        <v>35</v>
      </c>
      <c r="R87" s="11">
        <f t="shared" si="12"/>
        <v>0</v>
      </c>
      <c r="S87" s="10" t="s">
        <v>37</v>
      </c>
      <c r="T87" s="11">
        <f t="shared" si="13"/>
        <v>7</v>
      </c>
      <c r="U87" s="10" t="s">
        <v>48</v>
      </c>
      <c r="V87" s="11">
        <f t="shared" si="14"/>
        <v>10</v>
      </c>
      <c r="W87" s="10" t="s">
        <v>48</v>
      </c>
      <c r="X87" s="11">
        <f t="shared" si="15"/>
        <v>10</v>
      </c>
      <c r="Y87" s="10" t="s">
        <v>37</v>
      </c>
      <c r="Z87" s="11">
        <f t="shared" si="16"/>
        <v>7</v>
      </c>
      <c r="AA87" s="10" t="s">
        <v>57</v>
      </c>
      <c r="AB87" s="11">
        <f t="shared" si="17"/>
        <v>7</v>
      </c>
      <c r="AC87" s="28" t="s">
        <v>49</v>
      </c>
      <c r="AD87" s="11">
        <f t="shared" si="18"/>
        <v>2</v>
      </c>
      <c r="AE87" s="10" t="s">
        <v>48</v>
      </c>
      <c r="AF87" s="11">
        <f t="shared" si="19"/>
        <v>10</v>
      </c>
      <c r="AG87" s="10" t="s">
        <v>48</v>
      </c>
      <c r="AH87" s="11">
        <f t="shared" si="20"/>
        <v>10</v>
      </c>
      <c r="AI87" s="10" t="s">
        <v>50</v>
      </c>
      <c r="AJ87" s="11">
        <f t="shared" si="21"/>
        <v>2</v>
      </c>
      <c r="AK87" s="10" t="s">
        <v>48</v>
      </c>
      <c r="AL87" s="11">
        <f t="shared" si="22"/>
        <v>10</v>
      </c>
      <c r="AM87" s="10" t="s">
        <v>48</v>
      </c>
      <c r="AN87" s="11">
        <f t="shared" si="23"/>
        <v>10</v>
      </c>
      <c r="AO87" s="10" t="s">
        <v>57</v>
      </c>
      <c r="AP87" s="11">
        <f t="shared" si="24"/>
        <v>7</v>
      </c>
      <c r="AQ87" s="10" t="s">
        <v>57</v>
      </c>
      <c r="AR87" s="11">
        <f t="shared" si="25"/>
        <v>7</v>
      </c>
      <c r="AS87" s="10" t="s">
        <v>36</v>
      </c>
      <c r="AT87" s="11">
        <f t="shared" si="26"/>
        <v>0</v>
      </c>
      <c r="AU87" s="10" t="s">
        <v>39</v>
      </c>
      <c r="AV87" s="11">
        <f t="shared" si="27"/>
        <v>0</v>
      </c>
      <c r="AW87" s="11">
        <f t="shared" si="28"/>
        <v>0</v>
      </c>
      <c r="AX87" s="11">
        <f t="shared" si="29"/>
        <v>2</v>
      </c>
    </row>
    <row r="88" spans="1:50" ht="18" customHeight="1" x14ac:dyDescent="0.3">
      <c r="A88" s="9">
        <v>1.916666666666667</v>
      </c>
      <c r="B88" s="18" t="s">
        <v>77</v>
      </c>
      <c r="C88" s="10" t="s">
        <v>33</v>
      </c>
      <c r="D88" s="1" t="s">
        <v>69</v>
      </c>
      <c r="E88" s="10" t="s">
        <v>37</v>
      </c>
      <c r="F88" s="11">
        <f t="shared" si="6"/>
        <v>0</v>
      </c>
      <c r="G88" s="10" t="s">
        <v>48</v>
      </c>
      <c r="H88" s="11">
        <f t="shared" si="7"/>
        <v>0</v>
      </c>
      <c r="I88" s="10" t="s">
        <v>45</v>
      </c>
      <c r="J88" s="11">
        <f t="shared" si="8"/>
        <v>2</v>
      </c>
      <c r="K88" s="10" t="s">
        <v>121</v>
      </c>
      <c r="L88" s="11">
        <f t="shared" si="9"/>
        <v>2</v>
      </c>
      <c r="M88" s="10" t="s">
        <v>57</v>
      </c>
      <c r="N88" s="11">
        <f t="shared" si="10"/>
        <v>0</v>
      </c>
      <c r="O88" s="10" t="s">
        <v>44</v>
      </c>
      <c r="P88" s="11">
        <f t="shared" si="11"/>
        <v>2</v>
      </c>
      <c r="Q88" s="10" t="s">
        <v>115</v>
      </c>
      <c r="R88" s="11">
        <f t="shared" si="12"/>
        <v>0</v>
      </c>
      <c r="S88" s="10" t="s">
        <v>66</v>
      </c>
      <c r="T88" s="11">
        <f t="shared" si="13"/>
        <v>0</v>
      </c>
      <c r="U88" s="10" t="s">
        <v>48</v>
      </c>
      <c r="V88" s="11">
        <f t="shared" si="14"/>
        <v>0</v>
      </c>
      <c r="W88" s="10" t="s">
        <v>48</v>
      </c>
      <c r="X88" s="11">
        <f t="shared" si="15"/>
        <v>0</v>
      </c>
      <c r="Y88" s="10" t="s">
        <v>35</v>
      </c>
      <c r="Z88" s="11">
        <f t="shared" si="16"/>
        <v>2</v>
      </c>
      <c r="AA88" s="10" t="s">
        <v>45</v>
      </c>
      <c r="AB88" s="11">
        <f t="shared" si="17"/>
        <v>2</v>
      </c>
      <c r="AC88" s="28" t="s">
        <v>35</v>
      </c>
      <c r="AD88" s="11">
        <f t="shared" si="18"/>
        <v>2</v>
      </c>
      <c r="AE88" s="10" t="s">
        <v>37</v>
      </c>
      <c r="AF88" s="11">
        <f t="shared" si="19"/>
        <v>0</v>
      </c>
      <c r="AG88" s="10" t="s">
        <v>37</v>
      </c>
      <c r="AH88" s="11">
        <f t="shared" si="20"/>
        <v>0</v>
      </c>
      <c r="AI88" s="10" t="s">
        <v>121</v>
      </c>
      <c r="AJ88" s="11">
        <f t="shared" si="21"/>
        <v>2</v>
      </c>
      <c r="AK88" s="10" t="s">
        <v>37</v>
      </c>
      <c r="AL88" s="11">
        <f t="shared" si="22"/>
        <v>0</v>
      </c>
      <c r="AM88" s="10" t="s">
        <v>37</v>
      </c>
      <c r="AN88" s="11">
        <f t="shared" si="23"/>
        <v>0</v>
      </c>
      <c r="AO88" s="10" t="s">
        <v>35</v>
      </c>
      <c r="AP88" s="11">
        <f t="shared" si="24"/>
        <v>2</v>
      </c>
      <c r="AQ88" s="10" t="s">
        <v>37</v>
      </c>
      <c r="AR88" s="11">
        <f t="shared" si="25"/>
        <v>0</v>
      </c>
      <c r="AS88" s="10" t="s">
        <v>44</v>
      </c>
      <c r="AT88" s="11">
        <f t="shared" si="26"/>
        <v>2</v>
      </c>
      <c r="AU88" s="10" t="s">
        <v>39</v>
      </c>
      <c r="AV88" s="11">
        <f t="shared" si="27"/>
        <v>7</v>
      </c>
      <c r="AW88" s="11">
        <f t="shared" si="28"/>
        <v>2</v>
      </c>
      <c r="AX88" s="11">
        <f t="shared" si="29"/>
        <v>1</v>
      </c>
    </row>
    <row r="89" spans="1:50" ht="18" customHeight="1" x14ac:dyDescent="0.3">
      <c r="A89" s="12"/>
      <c r="B89" s="18"/>
      <c r="C89" s="13"/>
      <c r="D89" s="1"/>
      <c r="E89" s="22"/>
      <c r="F89" s="12"/>
      <c r="G89" s="22"/>
      <c r="H89" s="12"/>
      <c r="I89" s="22"/>
      <c r="J89" s="12"/>
      <c r="K89" s="22"/>
      <c r="L89" s="12"/>
      <c r="M89" s="22"/>
      <c r="N89" s="12"/>
      <c r="O89" s="22"/>
      <c r="P89" s="12"/>
      <c r="Q89" s="22"/>
      <c r="R89" s="12"/>
      <c r="S89" s="22"/>
      <c r="T89" s="12"/>
      <c r="U89" s="13"/>
      <c r="V89" s="12"/>
      <c r="W89" s="22"/>
      <c r="X89" s="12"/>
      <c r="Y89" s="22"/>
      <c r="Z89" s="12"/>
      <c r="AA89" s="22"/>
      <c r="AB89" s="12"/>
      <c r="AC89" s="22"/>
      <c r="AD89" s="12"/>
      <c r="AE89" s="22"/>
      <c r="AF89" s="12"/>
      <c r="AG89" s="22"/>
      <c r="AH89" s="12"/>
      <c r="AI89" s="22"/>
      <c r="AJ89" s="12"/>
      <c r="AK89" s="22"/>
      <c r="AL89" s="12"/>
      <c r="AM89" s="22"/>
      <c r="AN89" s="12"/>
      <c r="AO89" s="22"/>
      <c r="AP89" s="12"/>
      <c r="AQ89" s="22"/>
      <c r="AR89" s="12" t="str">
        <f t="shared" si="25"/>
        <v/>
      </c>
      <c r="AS89" s="22"/>
      <c r="AT89" s="12" t="str">
        <f t="shared" si="26"/>
        <v/>
      </c>
      <c r="AU89" s="22"/>
      <c r="AV89" s="12"/>
      <c r="AW89" s="12"/>
      <c r="AX89" s="12"/>
    </row>
    <row r="90" spans="1:50" ht="20.100000000000001" customHeight="1" x14ac:dyDescent="0.3">
      <c r="A90" s="36" t="s">
        <v>122</v>
      </c>
      <c r="B90" s="37"/>
      <c r="C90" s="38"/>
      <c r="D90" s="37"/>
      <c r="E90" s="38"/>
      <c r="F90" s="37"/>
      <c r="G90" s="38"/>
      <c r="H90" s="37"/>
      <c r="I90" s="38"/>
      <c r="J90" s="37"/>
      <c r="K90" s="38"/>
      <c r="L90" s="37"/>
      <c r="M90" s="38"/>
      <c r="N90" s="37"/>
      <c r="O90" s="38"/>
      <c r="P90" s="37"/>
      <c r="Q90" s="38"/>
      <c r="R90" s="37"/>
      <c r="S90" s="38"/>
      <c r="T90" s="37"/>
      <c r="U90" s="38"/>
      <c r="V90" s="37"/>
      <c r="W90" s="38"/>
      <c r="X90" s="37"/>
      <c r="Y90" s="38"/>
      <c r="Z90" s="37"/>
      <c r="AA90" s="38"/>
      <c r="AB90" s="37"/>
      <c r="AC90" s="38"/>
      <c r="AD90" s="37"/>
      <c r="AE90" s="38"/>
      <c r="AF90" s="37"/>
      <c r="AG90" s="38"/>
      <c r="AH90" s="37"/>
      <c r="AI90" s="38"/>
      <c r="AJ90" s="37"/>
      <c r="AK90" s="38"/>
      <c r="AL90" s="37"/>
      <c r="AM90" s="38"/>
      <c r="AN90" s="37"/>
      <c r="AO90" s="38"/>
      <c r="AP90" s="37"/>
      <c r="AQ90" s="37"/>
      <c r="AR90" s="37"/>
      <c r="AS90" s="37"/>
      <c r="AT90" s="37"/>
      <c r="AU90" s="38"/>
      <c r="AV90" s="39"/>
      <c r="AW90" s="8"/>
      <c r="AX90" s="8"/>
    </row>
    <row r="91" spans="1:50" ht="18" customHeight="1" x14ac:dyDescent="0.3">
      <c r="A91" s="9">
        <v>1.041666666666667</v>
      </c>
      <c r="B91" s="18" t="s">
        <v>74</v>
      </c>
      <c r="C91" s="10" t="s">
        <v>35</v>
      </c>
      <c r="D91" s="1" t="s">
        <v>78</v>
      </c>
      <c r="E91" s="10" t="s">
        <v>33</v>
      </c>
      <c r="F91" s="11">
        <f t="shared" ref="F91:F96" si="30">IF(OR($C91="",E91=""),"",IFERROR(IF(AND(IFERROR(--LEFT(E91,FIND("-",E91)-1),"")=AW91,IFERROR(--MID(E91,FIND("-",E91)+1,99),"")=AX91),10,5*(SIGN((IFERROR(--LEFT(E91,FIND("-",E91)-1),""))-(IFERROR(--MID(E91,FIND("-",E91)+1,99),"")))=SIGN((AW91)-(AX91)))+2*(((IFERROR(--LEFT(E91,FIND("-",E91)-1),""))-(IFERROR(--MID(E91,FIND("-",E91)+1,99),"")))=((AW91)-(AX91)))+2*((IFERROR(--LEFT(E91,FIND("-",E91)-1),""))=(AW91))+2*((IFERROR(--MID(E91,FIND("-",E91)+1,99),""))=(AX91))),""))</f>
        <v>2</v>
      </c>
      <c r="G91" s="10" t="s">
        <v>33</v>
      </c>
      <c r="H91" s="11">
        <f t="shared" ref="H91:H96" si="31">IF(OR($C91="",G91=""),"",IFERROR(IF(AND(IFERROR(--LEFT(G91,FIND("-",G91)-1),"")=AW91,IFERROR(--MID(G91,FIND("-",G91)+1,99),"")=AX91),10,5*(SIGN((IFERROR(--LEFT(G91,FIND("-",G91)-1),""))-(IFERROR(--MID(G91,FIND("-",G91)+1,99),"")))=SIGN((AW91)-(AX91)))+2*(((IFERROR(--LEFT(G91,FIND("-",G91)-1),""))-(IFERROR(--MID(G91,FIND("-",G91)+1,99),"")))=((AW91)-(AX91)))+2*((IFERROR(--LEFT(G91,FIND("-",G91)-1),""))=(AW91))+2*((IFERROR(--MID(G91,FIND("-",G91)+1,99),""))=(AX91))),""))</f>
        <v>2</v>
      </c>
      <c r="I91" s="10" t="s">
        <v>50</v>
      </c>
      <c r="J91" s="11">
        <f t="shared" ref="J91:J96" si="32">IF(OR($C91="",I91=""),"",IFERROR(IF(AND(IFERROR(--LEFT(I91,FIND("-",I91)-1),"")=AW91,IFERROR(--MID(I91,FIND("-",I91)+1,99),"")=AX91),10,5*(SIGN((IFERROR(--LEFT(I91,FIND("-",I91)-1),""))-(IFERROR(--MID(I91,FIND("-",I91)+1,99),"")))=SIGN((AW91)-(AX91)))+2*(((IFERROR(--LEFT(I91,FIND("-",I91)-1),""))-(IFERROR(--MID(I91,FIND("-",I91)+1,99),"")))=((AW91)-(AX91)))+2*((IFERROR(--LEFT(I91,FIND("-",I91)-1),""))=(AW91))+2*((IFERROR(--MID(I91,FIND("-",I91)+1,99),""))=(AX91))),""))</f>
        <v>7</v>
      </c>
      <c r="K91" s="10" t="s">
        <v>57</v>
      </c>
      <c r="L91" s="11">
        <f t="shared" ref="L91:L96" si="33">IF(OR($C91="",K91=""),"",IFERROR(IF(AND(IFERROR(--LEFT(K91,FIND("-",K91)-1),"")=AW91,IFERROR(--MID(K91,FIND("-",K91)+1,99),"")=AX91),10,5*(SIGN((IFERROR(--LEFT(K91,FIND("-",K91)-1),""))-(IFERROR(--MID(K91,FIND("-",K91)+1,99),"")))=SIGN((AW91)-(AX91)))+2*(((IFERROR(--LEFT(K91,FIND("-",K91)-1),""))-(IFERROR(--MID(K91,FIND("-",K91)+1,99),"")))=((AW91)-(AX91)))+2*((IFERROR(--LEFT(K91,FIND("-",K91)-1),""))=(AW91))+2*((IFERROR(--MID(K91,FIND("-",K91)+1,99),""))=(AX91))),""))</f>
        <v>2</v>
      </c>
      <c r="M91" s="10" t="s">
        <v>33</v>
      </c>
      <c r="N91" s="11">
        <f t="shared" ref="N91:N96" si="34">IF(OR($C91="",M91=""),"",IFERROR(IF(AND(IFERROR(--LEFT(M91,FIND("-",M91)-1),"")=AW91,IFERROR(--MID(M91,FIND("-",M91)+1,99),"")=AX91),10,5*(SIGN((IFERROR(--LEFT(M91,FIND("-",M91)-1),""))-(IFERROR(--MID(M91,FIND("-",M91)+1,99),"")))=SIGN((AW91)-(AX91)))+2*(((IFERROR(--LEFT(M91,FIND("-",M91)-1),""))-(IFERROR(--MID(M91,FIND("-",M91)+1,99),"")))=((AW91)-(AX91)))+2*((IFERROR(--LEFT(M91,FIND("-",M91)-1),""))=(AW91))+2*((IFERROR(--MID(M91,FIND("-",M91)+1,99),""))=(AX91))),""))</f>
        <v>2</v>
      </c>
      <c r="O91" s="10" t="s">
        <v>49</v>
      </c>
      <c r="P91" s="11">
        <f t="shared" ref="P91:P96" si="35">IF(OR($C91="",O91=""),"",IFERROR(IF(AND(IFERROR(--LEFT(O91,FIND("-",O91)-1),"")=AW91,IFERROR(--MID(O91,FIND("-",O91)+1,99),"")=AX91),10,5*(SIGN((IFERROR(--LEFT(O91,FIND("-",O91)-1),""))-(IFERROR(--MID(O91,FIND("-",O91)+1,99),"")))=SIGN((AW91)-(AX91)))+2*(((IFERROR(--LEFT(O91,FIND("-",O91)-1),""))-(IFERROR(--MID(O91,FIND("-",O91)+1,99),"")))=((AW91)-(AX91)))+2*((IFERROR(--LEFT(O91,FIND("-",O91)-1),""))=(AW91))+2*((IFERROR(--MID(O91,FIND("-",O91)+1,99),""))=(AX91))),""))</f>
        <v>7</v>
      </c>
      <c r="Q91" s="10" t="s">
        <v>123</v>
      </c>
      <c r="R91" s="11">
        <f t="shared" ref="R91:R96" si="36">IF(OR($C91="",Q91=""),"",IFERROR(IF(AND(IFERROR(--LEFT(Q91,FIND("-",Q91)-1),"")=AW91,IFERROR(--MID(Q91,FIND("-",Q91)+1,99),"")=AX91),10,5*(SIGN((IFERROR(--LEFT(Q91,FIND("-",Q91)-1),""))-(IFERROR(--MID(Q91,FIND("-",Q91)+1,99),"")))=SIGN((AW91)-(AX91)))+2*(((IFERROR(--LEFT(Q91,FIND("-",Q91)-1),""))-(IFERROR(--MID(Q91,FIND("-",Q91)+1,99),"")))=((AW91)-(AX91)))+2*((IFERROR(--LEFT(Q91,FIND("-",Q91)-1),""))=(AW91))+2*((IFERROR(--MID(Q91,FIND("-",Q91)+1,99),""))=(AX91))),""))</f>
        <v>7</v>
      </c>
      <c r="S91" s="10" t="s">
        <v>33</v>
      </c>
      <c r="T91" s="11">
        <f t="shared" ref="T91:T96" si="37">IF(OR($C91="",S91=""),"",IFERROR(IF(AND(IFERROR(--LEFT(S91,FIND("-",S91)-1),"")=AW91,IFERROR(--MID(S91,FIND("-",S91)+1,99),"")=AX91),10,5*(SIGN((IFERROR(--LEFT(S91,FIND("-",S91)-1),""))-(IFERROR(--MID(S91,FIND("-",S91)+1,99),"")))=SIGN((AW91)-(AX91)))+2*(((IFERROR(--LEFT(S91,FIND("-",S91)-1),""))-(IFERROR(--MID(S91,FIND("-",S91)+1,99),"")))=((AW91)-(AX91)))+2*((IFERROR(--LEFT(S91,FIND("-",S91)-1),""))=(AW91))+2*((IFERROR(--MID(S91,FIND("-",S91)+1,99),""))=(AX91))),""))</f>
        <v>2</v>
      </c>
      <c r="U91" s="10" t="s">
        <v>35</v>
      </c>
      <c r="V91" s="11">
        <f t="shared" ref="V91:V96" si="38">IF(OR($C91="",U91=""),"",IFERROR(IF(AND(IFERROR(--LEFT(U91,FIND("-",U91)-1),"")=AW91,IFERROR(--MID(U91,FIND("-",U91)+1,99),"")=AX91),10,5*(SIGN((IFERROR(--LEFT(U91,FIND("-",U91)-1),""))-(IFERROR(--MID(U91,FIND("-",U91)+1,99),"")))=SIGN((AW91)-(AX91)))+2*(((IFERROR(--LEFT(U91,FIND("-",U91)-1),""))-(IFERROR(--MID(U91,FIND("-",U91)+1,99),"")))=((AW91)-(AX91)))+2*((IFERROR(--LEFT(U91,FIND("-",U91)-1),""))=(AW91))+2*((IFERROR(--MID(U91,FIND("-",U91)+1,99),""))=(AX91))),""))</f>
        <v>10</v>
      </c>
      <c r="W91" s="10" t="s">
        <v>35</v>
      </c>
      <c r="X91" s="11">
        <f t="shared" ref="X91:X96" si="39">IF(OR($C91="",W91=""),"",IFERROR(IF(AND(IFERROR(--LEFT(W91,FIND("-",W91)-1),"")=AW91,IFERROR(--MID(W91,FIND("-",W91)+1,99),"")=AX91),10,5*(SIGN((IFERROR(--LEFT(W91,FIND("-",W91)-1),""))-(IFERROR(--MID(W91,FIND("-",W91)+1,99),"")))=SIGN((AW91)-(AX91)))+2*(((IFERROR(--LEFT(W91,FIND("-",W91)-1),""))-(IFERROR(--MID(W91,FIND("-",W91)+1,99),"")))=((AW91)-(AX91)))+2*((IFERROR(--LEFT(W91,FIND("-",W91)-1),""))=(AW91))+2*((IFERROR(--MID(W91,FIND("-",W91)+1,99),""))=(AX91))),""))</f>
        <v>10</v>
      </c>
      <c r="Y91" s="10" t="s">
        <v>35</v>
      </c>
      <c r="Z91" s="11">
        <f t="shared" ref="Z91:Z96" si="40">IF(OR($C91="",Y91=""),"",IFERROR(IF(AND(IFERROR(--LEFT(Y91,FIND("-",Y91)-1),"")=AW91,IFERROR(--MID(Y91,FIND("-",Y91)+1,99),"")=AX91),10,5*(SIGN((IFERROR(--LEFT(Y91,FIND("-",Y91)-1),""))-(IFERROR(--MID(Y91,FIND("-",Y91)+1,99),"")))=SIGN((AW91)-(AX91)))+2*(((IFERROR(--LEFT(Y91,FIND("-",Y91)-1),""))-(IFERROR(--MID(Y91,FIND("-",Y91)+1,99),"")))=((AW91)-(AX91)))+2*((IFERROR(--LEFT(Y91,FIND("-",Y91)-1),""))=(AW91))+2*((IFERROR(--MID(Y91,FIND("-",Y91)+1,99),""))=(AX91))),""))</f>
        <v>10</v>
      </c>
      <c r="AA91" s="10" t="s">
        <v>35</v>
      </c>
      <c r="AB91" s="11">
        <f t="shared" ref="AB91:AB96" si="41">IF(OR($C91="",AA91=""),"",IFERROR(IF(AND(IFERROR(--LEFT(AA91,FIND("-",AA91)-1),"")=AW91,IFERROR(--MID(AA91,FIND("-",AA91)+1,99),"")=AX91),10,5*(SIGN((IFERROR(--LEFT(AA91,FIND("-",AA91)-1),""))-(IFERROR(--MID(AA91,FIND("-",AA91)+1,99),"")))=SIGN((AW91)-(AX91)))+2*(((IFERROR(--LEFT(AA91,FIND("-",AA91)-1),""))-(IFERROR(--MID(AA91,FIND("-",AA91)+1,99),"")))=((AW91)-(AX91)))+2*((IFERROR(--LEFT(AA91,FIND("-",AA91)-1),""))=(AW91))+2*((IFERROR(--MID(AA91,FIND("-",AA91)+1,99),""))=(AX91))),""))</f>
        <v>10</v>
      </c>
      <c r="AC91" s="28" t="s">
        <v>34</v>
      </c>
      <c r="AD91" s="11">
        <f t="shared" ref="AD91:AD96" si="42">IF(OR($C91="",AC91=""),"",IFERROR(IF(AND(IFERROR(--LEFT(AC91,FIND("-",AC91)-1),"")=AW91,IFERROR(--MID(AC91,FIND("-",AC91)+1,99),"")=AX91),10,5*(SIGN((IFERROR(--LEFT(AC91,FIND("-",AC91)-1),""))-(IFERROR(--MID(AC91,FIND("-",AC91)+1,99),"")))=SIGN((AW91)-(AX91)))+2*(((IFERROR(--LEFT(AC91,FIND("-",AC91)-1),""))-(IFERROR(--MID(AC91,FIND("-",AC91)+1,99),"")))=((AW91)-(AX91)))+2*((IFERROR(--LEFT(AC91,FIND("-",AC91)-1),""))=(AW91))+2*((IFERROR(--MID(AC91,FIND("-",AC91)+1,99),""))=(AX91))),""))</f>
        <v>2</v>
      </c>
      <c r="AE91" s="10" t="s">
        <v>35</v>
      </c>
      <c r="AF91" s="11">
        <f t="shared" ref="AF91:AF96" si="43">IF(OR($C91="",AE91=""),"",IFERROR(IF(AND(IFERROR(--LEFT(AE91,FIND("-",AE91)-1),"")=AW91,IFERROR(--MID(AE91,FIND("-",AE91)+1,99),"")=AX91),10,5*(SIGN((IFERROR(--LEFT(AE91,FIND("-",AE91)-1),""))-(IFERROR(--MID(AE91,FIND("-",AE91)+1,99),"")))=SIGN((AW91)-(AX91)))+2*(((IFERROR(--LEFT(AE91,FIND("-",AE91)-1),""))-(IFERROR(--MID(AE91,FIND("-",AE91)+1,99),"")))=((AW91)-(AX91)))+2*((IFERROR(--LEFT(AE91,FIND("-",AE91)-1),""))=(AW91))+2*((IFERROR(--MID(AE91,FIND("-",AE91)+1,99),""))=(AX91))),""))</f>
        <v>10</v>
      </c>
      <c r="AG91" s="10" t="s">
        <v>37</v>
      </c>
      <c r="AH91" s="11">
        <f t="shared" ref="AH91:AH96" si="44">IF(OR($C91="",AG91=""),"",IFERROR(IF(AND(IFERROR(--LEFT(AG91,FIND("-",AG91)-1),"")=AW91,IFERROR(--MID(AG91,FIND("-",AG91)+1,99),"")=AX91),10,5*(SIGN((IFERROR(--LEFT(AG91,FIND("-",AG91)-1),""))-(IFERROR(--MID(AG91,FIND("-",AG91)+1,99),"")))=SIGN((AW91)-(AX91)))+2*(((IFERROR(--LEFT(AG91,FIND("-",AG91)-1),""))-(IFERROR(--MID(AG91,FIND("-",AG91)+1,99),"")))=((AW91)-(AX91)))+2*((IFERROR(--LEFT(AG91,FIND("-",AG91)-1),""))=(AW91))+2*((IFERROR(--MID(AG91,FIND("-",AG91)+1,99),""))=(AX91))),""))</f>
        <v>2</v>
      </c>
      <c r="AI91" s="10" t="s">
        <v>37</v>
      </c>
      <c r="AJ91" s="11">
        <f t="shared" ref="AJ91:AJ96" si="45">IF(OR($C91="",AI91=""),"",IFERROR(IF(AND(IFERROR(--LEFT(AI91,FIND("-",AI91)-1),"")=AW91,IFERROR(--MID(AI91,FIND("-",AI91)+1,99),"")=AX91),10,5*(SIGN((IFERROR(--LEFT(AI91,FIND("-",AI91)-1),""))-(IFERROR(--MID(AI91,FIND("-",AI91)+1,99),"")))=SIGN((AW91)-(AX91)))+2*(((IFERROR(--LEFT(AI91,FIND("-",AI91)-1),""))-(IFERROR(--MID(AI91,FIND("-",AI91)+1,99),"")))=((AW91)-(AX91)))+2*((IFERROR(--LEFT(AI91,FIND("-",AI91)-1),""))=(AW91))+2*((IFERROR(--MID(AI91,FIND("-",AI91)+1,99),""))=(AX91))),""))</f>
        <v>2</v>
      </c>
      <c r="AK91" s="10" t="s">
        <v>33</v>
      </c>
      <c r="AL91" s="11">
        <f t="shared" ref="AL91:AL96" si="46">IF(OR($C91="",AK91=""),"",IFERROR(IF(AND(IFERROR(--LEFT(AK91,FIND("-",AK91)-1),"")=AW91,IFERROR(--MID(AK91,FIND("-",AK91)+1,99),"")=AX91),10,5*(SIGN((IFERROR(--LEFT(AK91,FIND("-",AK91)-1),""))-(IFERROR(--MID(AK91,FIND("-",AK91)+1,99),"")))=SIGN((AW91)-(AX91)))+2*(((IFERROR(--LEFT(AK91,FIND("-",AK91)-1),""))-(IFERROR(--MID(AK91,FIND("-",AK91)+1,99),"")))=((AW91)-(AX91)))+2*((IFERROR(--LEFT(AK91,FIND("-",AK91)-1),""))=(AW91))+2*((IFERROR(--MID(AK91,FIND("-",AK91)+1,99),""))=(AX91))),""))</f>
        <v>2</v>
      </c>
      <c r="AM91" s="10" t="s">
        <v>35</v>
      </c>
      <c r="AN91" s="11">
        <f t="shared" ref="AN91:AN96" si="47">IF(OR($C91="",AM91=""),"",IFERROR(IF(AND(IFERROR(--LEFT(AM91,FIND("-",AM91)-1),"")=AW91,IFERROR(--MID(AM91,FIND("-",AM91)+1,99),"")=AX91),10,5*(SIGN((IFERROR(--LEFT(AM91,FIND("-",AM91)-1),""))-(IFERROR(--MID(AM91,FIND("-",AM91)+1,99),"")))=SIGN((AW91)-(AX91)))+2*(((IFERROR(--LEFT(AM91,FIND("-",AM91)-1),""))-(IFERROR(--MID(AM91,FIND("-",AM91)+1,99),"")))=((AW91)-(AX91)))+2*((IFERROR(--LEFT(AM91,FIND("-",AM91)-1),""))=(AW91))+2*((IFERROR(--MID(AM91,FIND("-",AM91)+1,99),""))=(AX91))),""))</f>
        <v>10</v>
      </c>
      <c r="AO91" s="10" t="s">
        <v>33</v>
      </c>
      <c r="AP91" s="11">
        <f t="shared" ref="AP91:AP96" si="48">IF(OR($C91="",AO91=""),"",IFERROR(IF(AND(IFERROR(--LEFT(AO91,FIND("-",AO91)-1),"")=AW91,IFERROR(--MID(AO91,FIND("-",AO91)+1,99),"")=AX91),10,5*(SIGN((IFERROR(--LEFT(AO91,FIND("-",AO91)-1),""))-(IFERROR(--MID(AO91,FIND("-",AO91)+1,99),"")))=SIGN((AW91)-(AX91)))+2*(((IFERROR(--LEFT(AO91,FIND("-",AO91)-1),""))-(IFERROR(--MID(AO91,FIND("-",AO91)+1,99),"")))=((AW91)-(AX91)))+2*((IFERROR(--LEFT(AO91,FIND("-",AO91)-1),""))=(AW91))+2*((IFERROR(--MID(AO91,FIND("-",AO91)+1,99),""))=(AX91))),""))</f>
        <v>2</v>
      </c>
      <c r="AQ91" s="10" t="s">
        <v>33</v>
      </c>
      <c r="AR91" s="11">
        <f t="shared" ref="AR91:AR97" si="49">IF(OR($C91="",AQ91=""),"",IFERROR(IF(AND(IFERROR(--LEFT(AQ91,FIND("-",AQ91)-1),"")=AW91,IFERROR(--MID(AQ91,FIND("-",AQ91)+1,99),"")=AX91),10,5*(SIGN((IFERROR(--LEFT(AQ91,FIND("-",AQ91)-1),""))-(IFERROR(--MID(AQ91,FIND("-",AQ91)+1,99),"")))=SIGN((AW91)-(AX91)))+2*(((IFERROR(--LEFT(AQ91,FIND("-",AQ91)-1),""))-(IFERROR(--MID(AQ91,FIND("-",AQ91)+1,99),"")))=((AW91)-(AX91)))+2*((IFERROR(--LEFT(AQ91,FIND("-",AQ91)-1),""))=(AW91))+2*((IFERROR(--MID(AQ91,FIND("-",AQ91)+1,99),""))=(AX91))),""))</f>
        <v>2</v>
      </c>
      <c r="AS91" s="10" t="s">
        <v>37</v>
      </c>
      <c r="AT91" s="11">
        <f t="shared" ref="AT91:AT97" si="50">IF(OR($C91="",AS91=""),"",IFERROR(IF(AND(IFERROR(--LEFT(AS91,FIND("-",AS91)-1),"")=AW91,IFERROR(--MID(AS91,FIND("-",AS91)+1,99),"")=AX91),10,5*(SIGN((IFERROR(--LEFT(AS91,FIND("-",AS91)-1),""))-(IFERROR(--MID(AS91,FIND("-",AS91)+1,99),"")))=SIGN((AW91)-(AX91)))+2*(((IFERROR(--LEFT(AS91,FIND("-",AS91)-1),""))-(IFERROR(--MID(AS91,FIND("-",AS91)+1,99),"")))=((AW91)-(AX91)))+2*((IFERROR(--LEFT(AS91,FIND("-",AS91)-1),""))=(AW91))+2*((IFERROR(--MID(AS91,FIND("-",AS91)+1,99),""))=(AX91))),""))</f>
        <v>2</v>
      </c>
      <c r="AU91" s="10" t="s">
        <v>35</v>
      </c>
      <c r="AV91" s="11">
        <f t="shared" ref="AV91:AV96" si="51">IF(OR($C91="",AU91=""),"",IFERROR(IF(AND(IFERROR(--LEFT(AU91,FIND("-",AU91)-1),"")=AW91,IFERROR(--MID(AU91,FIND("-",AU91)+1,99),"")=AX91),10,5*(SIGN((IFERROR(--LEFT(AU91,FIND("-",AU91)-1),""))-(IFERROR(--MID(AU91,FIND("-",AU91)+1,99),"")))=SIGN((AW91)-(AX91)))+2*(((IFERROR(--LEFT(AU91,FIND("-",AU91)-1),""))-(IFERROR(--MID(AU91,FIND("-",AU91)+1,99),"")))=((AW91)-(AX91)))+2*((IFERROR(--LEFT(AU91,FIND("-",AU91)-1),""))=(AW91))+2*((IFERROR(--MID(AU91,FIND("-",AU91)+1,99),""))=(AX91))),""))</f>
        <v>10</v>
      </c>
      <c r="AW91" s="11">
        <f t="shared" ref="AW91:AW96" si="52">IF($C91="","",IFERROR(--LEFT($C91,FIND("-",$C91)-1),""))</f>
        <v>1</v>
      </c>
      <c r="AX91" s="11">
        <f t="shared" ref="AX91:AX96" si="53">IF($C91="","",IFERROR(--MID($C91,FIND("-",$C91)+1,99),""))</f>
        <v>1</v>
      </c>
    </row>
    <row r="92" spans="1:50" ht="18" customHeight="1" x14ac:dyDescent="0.3">
      <c r="A92" s="9">
        <v>1.041666666666667</v>
      </c>
      <c r="B92" s="18" t="s">
        <v>79</v>
      </c>
      <c r="C92" s="10" t="s">
        <v>57</v>
      </c>
      <c r="D92" s="1" t="s">
        <v>73</v>
      </c>
      <c r="E92" s="10" t="s">
        <v>56</v>
      </c>
      <c r="F92" s="11">
        <f t="shared" si="30"/>
        <v>7</v>
      </c>
      <c r="G92" s="10" t="s">
        <v>48</v>
      </c>
      <c r="H92" s="11">
        <f t="shared" si="31"/>
        <v>7</v>
      </c>
      <c r="I92" s="10" t="s">
        <v>45</v>
      </c>
      <c r="J92" s="11">
        <f t="shared" si="32"/>
        <v>5</v>
      </c>
      <c r="K92" s="10" t="s">
        <v>115</v>
      </c>
      <c r="L92" s="11">
        <f t="shared" si="33"/>
        <v>7</v>
      </c>
      <c r="M92" s="10" t="s">
        <v>56</v>
      </c>
      <c r="N92" s="11">
        <f t="shared" si="34"/>
        <v>7</v>
      </c>
      <c r="O92" s="10" t="s">
        <v>37</v>
      </c>
      <c r="P92" s="11">
        <f t="shared" si="35"/>
        <v>7</v>
      </c>
      <c r="Q92" s="10" t="s">
        <v>115</v>
      </c>
      <c r="R92" s="11">
        <f t="shared" si="36"/>
        <v>7</v>
      </c>
      <c r="S92" s="10" t="s">
        <v>115</v>
      </c>
      <c r="T92" s="11">
        <f t="shared" si="37"/>
        <v>7</v>
      </c>
      <c r="U92" s="10" t="s">
        <v>48</v>
      </c>
      <c r="V92" s="11">
        <f t="shared" si="38"/>
        <v>7</v>
      </c>
      <c r="W92" s="10" t="s">
        <v>48</v>
      </c>
      <c r="X92" s="11">
        <f t="shared" si="39"/>
        <v>7</v>
      </c>
      <c r="Y92" s="10" t="s">
        <v>48</v>
      </c>
      <c r="Z92" s="11">
        <f t="shared" si="40"/>
        <v>7</v>
      </c>
      <c r="AA92" s="10" t="s">
        <v>124</v>
      </c>
      <c r="AB92" s="11">
        <f t="shared" si="41"/>
        <v>5</v>
      </c>
      <c r="AC92" s="28" t="s">
        <v>45</v>
      </c>
      <c r="AD92" s="11">
        <f t="shared" si="42"/>
        <v>5</v>
      </c>
      <c r="AE92" s="10" t="s">
        <v>48</v>
      </c>
      <c r="AF92" s="11">
        <f t="shared" si="43"/>
        <v>7</v>
      </c>
      <c r="AG92" s="10" t="s">
        <v>48</v>
      </c>
      <c r="AH92" s="11">
        <f t="shared" si="44"/>
        <v>7</v>
      </c>
      <c r="AI92" s="10" t="s">
        <v>48</v>
      </c>
      <c r="AJ92" s="11">
        <f t="shared" si="45"/>
        <v>7</v>
      </c>
      <c r="AK92" s="10" t="s">
        <v>48</v>
      </c>
      <c r="AL92" s="11">
        <f t="shared" si="46"/>
        <v>7</v>
      </c>
      <c r="AM92" s="10" t="s">
        <v>48</v>
      </c>
      <c r="AN92" s="11">
        <f t="shared" si="47"/>
        <v>7</v>
      </c>
      <c r="AO92" s="10" t="s">
        <v>48</v>
      </c>
      <c r="AP92" s="11">
        <f t="shared" si="48"/>
        <v>7</v>
      </c>
      <c r="AQ92" s="10" t="s">
        <v>37</v>
      </c>
      <c r="AR92" s="11">
        <f t="shared" si="49"/>
        <v>7</v>
      </c>
      <c r="AS92" s="10" t="s">
        <v>48</v>
      </c>
      <c r="AT92" s="11">
        <f t="shared" si="50"/>
        <v>7</v>
      </c>
      <c r="AU92" s="10" t="s">
        <v>37</v>
      </c>
      <c r="AV92" s="11">
        <f t="shared" si="51"/>
        <v>7</v>
      </c>
      <c r="AW92" s="11">
        <f t="shared" si="52"/>
        <v>1</v>
      </c>
      <c r="AX92" s="11">
        <f t="shared" si="53"/>
        <v>3</v>
      </c>
    </row>
    <row r="93" spans="1:50" ht="18" customHeight="1" x14ac:dyDescent="0.3">
      <c r="A93" s="9">
        <v>1.166666666666667</v>
      </c>
      <c r="B93" s="18" t="s">
        <v>68</v>
      </c>
      <c r="C93" s="10" t="s">
        <v>61</v>
      </c>
      <c r="D93" s="1" t="s">
        <v>52</v>
      </c>
      <c r="E93" s="10" t="s">
        <v>37</v>
      </c>
      <c r="F93" s="11">
        <f t="shared" si="30"/>
        <v>2</v>
      </c>
      <c r="G93" s="10" t="s">
        <v>37</v>
      </c>
      <c r="H93" s="11">
        <f t="shared" si="31"/>
        <v>2</v>
      </c>
      <c r="I93" s="10" t="s">
        <v>39</v>
      </c>
      <c r="J93" s="11">
        <f t="shared" si="32"/>
        <v>7</v>
      </c>
      <c r="K93" s="10" t="s">
        <v>33</v>
      </c>
      <c r="L93" s="11">
        <f t="shared" si="33"/>
        <v>7</v>
      </c>
      <c r="M93" s="10" t="s">
        <v>36</v>
      </c>
      <c r="N93" s="11">
        <f t="shared" si="34"/>
        <v>5</v>
      </c>
      <c r="O93" s="10" t="s">
        <v>37</v>
      </c>
      <c r="P93" s="11">
        <f t="shared" si="35"/>
        <v>2</v>
      </c>
      <c r="Q93" s="10" t="s">
        <v>61</v>
      </c>
      <c r="R93" s="11">
        <f t="shared" si="36"/>
        <v>10</v>
      </c>
      <c r="S93" s="10" t="s">
        <v>56</v>
      </c>
      <c r="T93" s="11">
        <f t="shared" si="37"/>
        <v>0</v>
      </c>
      <c r="U93" s="10" t="s">
        <v>35</v>
      </c>
      <c r="V93" s="11">
        <f t="shared" si="38"/>
        <v>0</v>
      </c>
      <c r="W93" s="10" t="s">
        <v>37</v>
      </c>
      <c r="X93" s="11">
        <f t="shared" si="39"/>
        <v>2</v>
      </c>
      <c r="Y93" s="10" t="s">
        <v>35</v>
      </c>
      <c r="Z93" s="11">
        <f t="shared" si="40"/>
        <v>0</v>
      </c>
      <c r="AA93" s="10" t="s">
        <v>33</v>
      </c>
      <c r="AB93" s="11">
        <f t="shared" si="41"/>
        <v>7</v>
      </c>
      <c r="AC93" s="28" t="s">
        <v>35</v>
      </c>
      <c r="AD93" s="11">
        <f t="shared" si="42"/>
        <v>0</v>
      </c>
      <c r="AE93" s="10" t="s">
        <v>37</v>
      </c>
      <c r="AF93" s="11">
        <f t="shared" si="43"/>
        <v>2</v>
      </c>
      <c r="AG93" s="10" t="s">
        <v>35</v>
      </c>
      <c r="AH93" s="11">
        <f t="shared" si="44"/>
        <v>0</v>
      </c>
      <c r="AI93" s="10" t="s">
        <v>39</v>
      </c>
      <c r="AJ93" s="11">
        <f t="shared" si="45"/>
        <v>7</v>
      </c>
      <c r="AK93" s="10" t="s">
        <v>37</v>
      </c>
      <c r="AL93" s="11">
        <f t="shared" si="46"/>
        <v>2</v>
      </c>
      <c r="AM93" s="10" t="s">
        <v>45</v>
      </c>
      <c r="AN93" s="11">
        <f t="shared" si="47"/>
        <v>0</v>
      </c>
      <c r="AO93" s="10" t="s">
        <v>35</v>
      </c>
      <c r="AP93" s="11">
        <f t="shared" si="48"/>
        <v>0</v>
      </c>
      <c r="AQ93" s="10" t="s">
        <v>35</v>
      </c>
      <c r="AR93" s="11">
        <f t="shared" si="49"/>
        <v>0</v>
      </c>
      <c r="AS93" s="10" t="s">
        <v>39</v>
      </c>
      <c r="AT93" s="11">
        <f t="shared" si="50"/>
        <v>7</v>
      </c>
      <c r="AU93" s="10" t="s">
        <v>37</v>
      </c>
      <c r="AV93" s="11">
        <f t="shared" si="51"/>
        <v>2</v>
      </c>
      <c r="AW93" s="11">
        <f t="shared" si="52"/>
        <v>3</v>
      </c>
      <c r="AX93" s="11">
        <f t="shared" si="53"/>
        <v>2</v>
      </c>
    </row>
    <row r="94" spans="1:50" ht="18" customHeight="1" x14ac:dyDescent="0.3">
      <c r="A94" s="9">
        <v>1.166666666666667</v>
      </c>
      <c r="B94" s="18" t="s">
        <v>53</v>
      </c>
      <c r="C94" s="10" t="s">
        <v>50</v>
      </c>
      <c r="D94" s="1" t="s">
        <v>67</v>
      </c>
      <c r="E94" s="10" t="s">
        <v>35</v>
      </c>
      <c r="F94" s="11">
        <f t="shared" si="30"/>
        <v>7</v>
      </c>
      <c r="G94" s="10" t="s">
        <v>33</v>
      </c>
      <c r="H94" s="11">
        <f t="shared" si="31"/>
        <v>0</v>
      </c>
      <c r="I94" s="10" t="s">
        <v>39</v>
      </c>
      <c r="J94" s="11">
        <f t="shared" si="32"/>
        <v>2</v>
      </c>
      <c r="K94" s="10" t="s">
        <v>34</v>
      </c>
      <c r="L94" s="11">
        <f t="shared" si="33"/>
        <v>0</v>
      </c>
      <c r="M94" s="10" t="s">
        <v>37</v>
      </c>
      <c r="N94" s="11">
        <f t="shared" si="34"/>
        <v>0</v>
      </c>
      <c r="O94" s="10" t="s">
        <v>33</v>
      </c>
      <c r="P94" s="11">
        <f t="shared" si="35"/>
        <v>0</v>
      </c>
      <c r="Q94" s="10" t="s">
        <v>35</v>
      </c>
      <c r="R94" s="11">
        <f t="shared" si="36"/>
        <v>7</v>
      </c>
      <c r="S94" s="10" t="s">
        <v>33</v>
      </c>
      <c r="T94" s="11">
        <f t="shared" si="37"/>
        <v>0</v>
      </c>
      <c r="U94" s="10" t="s">
        <v>39</v>
      </c>
      <c r="V94" s="11">
        <f t="shared" si="38"/>
        <v>2</v>
      </c>
      <c r="W94" s="10" t="s">
        <v>39</v>
      </c>
      <c r="X94" s="11">
        <f t="shared" si="39"/>
        <v>2</v>
      </c>
      <c r="Y94" s="10" t="s">
        <v>33</v>
      </c>
      <c r="Z94" s="11">
        <f t="shared" si="40"/>
        <v>0</v>
      </c>
      <c r="AA94" s="10" t="s">
        <v>123</v>
      </c>
      <c r="AB94" s="11">
        <f t="shared" si="41"/>
        <v>7</v>
      </c>
      <c r="AC94" s="28" t="s">
        <v>35</v>
      </c>
      <c r="AD94" s="11">
        <f t="shared" si="42"/>
        <v>7</v>
      </c>
      <c r="AE94" s="10" t="s">
        <v>35</v>
      </c>
      <c r="AF94" s="11">
        <f t="shared" si="43"/>
        <v>7</v>
      </c>
      <c r="AG94" s="10" t="s">
        <v>39</v>
      </c>
      <c r="AH94" s="11">
        <f t="shared" si="44"/>
        <v>2</v>
      </c>
      <c r="AI94" s="10" t="s">
        <v>45</v>
      </c>
      <c r="AJ94" s="11">
        <f t="shared" si="45"/>
        <v>2</v>
      </c>
      <c r="AK94" s="10" t="s">
        <v>33</v>
      </c>
      <c r="AL94" s="11">
        <f t="shared" si="46"/>
        <v>0</v>
      </c>
      <c r="AM94" s="10" t="s">
        <v>50</v>
      </c>
      <c r="AN94" s="11">
        <f t="shared" si="47"/>
        <v>10</v>
      </c>
      <c r="AO94" s="10" t="s">
        <v>36</v>
      </c>
      <c r="AP94" s="11">
        <f t="shared" si="48"/>
        <v>2</v>
      </c>
      <c r="AQ94" s="10" t="s">
        <v>57</v>
      </c>
      <c r="AR94" s="11">
        <f t="shared" si="49"/>
        <v>0</v>
      </c>
      <c r="AS94" s="10" t="s">
        <v>35</v>
      </c>
      <c r="AT94" s="11">
        <f t="shared" si="50"/>
        <v>7</v>
      </c>
      <c r="AU94" s="10" t="s">
        <v>33</v>
      </c>
      <c r="AV94" s="11">
        <f t="shared" si="51"/>
        <v>0</v>
      </c>
      <c r="AW94" s="11">
        <f t="shared" si="52"/>
        <v>0</v>
      </c>
      <c r="AX94" s="11">
        <f t="shared" si="53"/>
        <v>0</v>
      </c>
    </row>
    <row r="95" spans="1:50" ht="18" customHeight="1" x14ac:dyDescent="0.3">
      <c r="A95" s="9">
        <v>1.875</v>
      </c>
      <c r="B95" s="18" t="s">
        <v>94</v>
      </c>
      <c r="C95" s="10" t="s">
        <v>115</v>
      </c>
      <c r="D95" s="1" t="s">
        <v>89</v>
      </c>
      <c r="E95" s="10" t="s">
        <v>37</v>
      </c>
      <c r="F95" s="11">
        <f t="shared" si="30"/>
        <v>7</v>
      </c>
      <c r="G95" s="10" t="s">
        <v>48</v>
      </c>
      <c r="H95" s="11">
        <f t="shared" si="31"/>
        <v>5</v>
      </c>
      <c r="I95" s="10" t="s">
        <v>45</v>
      </c>
      <c r="J95" s="11">
        <f t="shared" si="32"/>
        <v>5</v>
      </c>
      <c r="K95" s="10" t="s">
        <v>121</v>
      </c>
      <c r="L95" s="11">
        <f t="shared" si="33"/>
        <v>7</v>
      </c>
      <c r="M95" s="10" t="s">
        <v>61</v>
      </c>
      <c r="N95" s="11">
        <f t="shared" si="34"/>
        <v>0</v>
      </c>
      <c r="O95" s="10" t="s">
        <v>57</v>
      </c>
      <c r="P95" s="11">
        <f t="shared" si="35"/>
        <v>7</v>
      </c>
      <c r="Q95" s="10" t="s">
        <v>33</v>
      </c>
      <c r="R95" s="11">
        <f t="shared" si="36"/>
        <v>0</v>
      </c>
      <c r="S95" s="10" t="s">
        <v>115</v>
      </c>
      <c r="T95" s="11">
        <f t="shared" si="37"/>
        <v>10</v>
      </c>
      <c r="U95" s="10" t="s">
        <v>37</v>
      </c>
      <c r="V95" s="11">
        <f t="shared" si="38"/>
        <v>7</v>
      </c>
      <c r="W95" s="10" t="s">
        <v>35</v>
      </c>
      <c r="X95" s="11">
        <f t="shared" si="39"/>
        <v>2</v>
      </c>
      <c r="Y95" s="10" t="s">
        <v>37</v>
      </c>
      <c r="Z95" s="11">
        <f t="shared" si="40"/>
        <v>7</v>
      </c>
      <c r="AA95" s="10" t="s">
        <v>57</v>
      </c>
      <c r="AB95" s="11">
        <f t="shared" si="41"/>
        <v>7</v>
      </c>
      <c r="AC95" s="28" t="s">
        <v>37</v>
      </c>
      <c r="AD95" s="11">
        <f t="shared" si="42"/>
        <v>7</v>
      </c>
      <c r="AE95" s="10" t="s">
        <v>48</v>
      </c>
      <c r="AF95" s="11">
        <f t="shared" si="43"/>
        <v>5</v>
      </c>
      <c r="AG95" s="10" t="s">
        <v>48</v>
      </c>
      <c r="AH95" s="11">
        <f t="shared" si="44"/>
        <v>5</v>
      </c>
      <c r="AI95" s="10" t="s">
        <v>57</v>
      </c>
      <c r="AJ95" s="11">
        <f t="shared" si="45"/>
        <v>7</v>
      </c>
      <c r="AK95" s="10" t="s">
        <v>35</v>
      </c>
      <c r="AL95" s="11">
        <f t="shared" si="46"/>
        <v>2</v>
      </c>
      <c r="AM95" s="10" t="s">
        <v>33</v>
      </c>
      <c r="AN95" s="11">
        <f t="shared" si="47"/>
        <v>0</v>
      </c>
      <c r="AO95" s="10" t="s">
        <v>48</v>
      </c>
      <c r="AP95" s="11">
        <f t="shared" si="48"/>
        <v>5</v>
      </c>
      <c r="AQ95" s="10" t="s">
        <v>48</v>
      </c>
      <c r="AR95" s="11">
        <f t="shared" si="49"/>
        <v>5</v>
      </c>
      <c r="AS95" s="10" t="s">
        <v>49</v>
      </c>
      <c r="AT95" s="11">
        <f t="shared" si="50"/>
        <v>0</v>
      </c>
      <c r="AU95" s="10" t="s">
        <v>57</v>
      </c>
      <c r="AV95" s="11">
        <f t="shared" si="51"/>
        <v>7</v>
      </c>
      <c r="AW95" s="11">
        <f t="shared" si="52"/>
        <v>1</v>
      </c>
      <c r="AX95" s="11">
        <f t="shared" si="53"/>
        <v>4</v>
      </c>
    </row>
    <row r="96" spans="1:50" ht="18" customHeight="1" x14ac:dyDescent="0.3">
      <c r="A96" s="9">
        <v>1.875</v>
      </c>
      <c r="B96" s="18" t="s">
        <v>90</v>
      </c>
      <c r="C96" s="10" t="s">
        <v>71</v>
      </c>
      <c r="D96" s="1" t="s">
        <v>93</v>
      </c>
      <c r="E96" s="10" t="s">
        <v>36</v>
      </c>
      <c r="F96" s="11">
        <f t="shared" si="30"/>
        <v>7</v>
      </c>
      <c r="G96" s="10" t="s">
        <v>39</v>
      </c>
      <c r="H96" s="11">
        <f t="shared" si="31"/>
        <v>7</v>
      </c>
      <c r="I96" s="10" t="s">
        <v>39</v>
      </c>
      <c r="J96" s="11">
        <f t="shared" si="32"/>
        <v>7</v>
      </c>
      <c r="K96" s="10" t="s">
        <v>33</v>
      </c>
      <c r="L96" s="11">
        <f t="shared" si="33"/>
        <v>5</v>
      </c>
      <c r="M96" s="10" t="s">
        <v>36</v>
      </c>
      <c r="N96" s="11">
        <f t="shared" si="34"/>
        <v>7</v>
      </c>
      <c r="O96" s="10" t="s">
        <v>33</v>
      </c>
      <c r="P96" s="11">
        <f t="shared" si="35"/>
        <v>5</v>
      </c>
      <c r="Q96" s="10" t="s">
        <v>33</v>
      </c>
      <c r="R96" s="11">
        <f t="shared" si="36"/>
        <v>5</v>
      </c>
      <c r="S96" s="10" t="s">
        <v>35</v>
      </c>
      <c r="T96" s="11">
        <f t="shared" si="37"/>
        <v>0</v>
      </c>
      <c r="U96" s="10" t="s">
        <v>36</v>
      </c>
      <c r="V96" s="11">
        <f t="shared" si="38"/>
        <v>7</v>
      </c>
      <c r="W96" s="10" t="s">
        <v>36</v>
      </c>
      <c r="X96" s="11">
        <f t="shared" si="39"/>
        <v>7</v>
      </c>
      <c r="Y96" s="10" t="s">
        <v>36</v>
      </c>
      <c r="Z96" s="11">
        <f t="shared" si="40"/>
        <v>7</v>
      </c>
      <c r="AA96" s="10" t="s">
        <v>33</v>
      </c>
      <c r="AB96" s="11">
        <f t="shared" si="41"/>
        <v>5</v>
      </c>
      <c r="AC96" s="28" t="s">
        <v>34</v>
      </c>
      <c r="AD96" s="11">
        <f t="shared" si="42"/>
        <v>5</v>
      </c>
      <c r="AE96" s="10" t="s">
        <v>36</v>
      </c>
      <c r="AF96" s="11">
        <f t="shared" si="43"/>
        <v>7</v>
      </c>
      <c r="AG96" s="10" t="s">
        <v>33</v>
      </c>
      <c r="AH96" s="11">
        <f t="shared" si="44"/>
        <v>5</v>
      </c>
      <c r="AI96" s="10" t="s">
        <v>36</v>
      </c>
      <c r="AJ96" s="11">
        <f t="shared" si="45"/>
        <v>7</v>
      </c>
      <c r="AK96" s="10" t="s">
        <v>33</v>
      </c>
      <c r="AL96" s="11">
        <f t="shared" si="46"/>
        <v>5</v>
      </c>
      <c r="AM96" s="10" t="s">
        <v>33</v>
      </c>
      <c r="AN96" s="11">
        <f t="shared" si="47"/>
        <v>5</v>
      </c>
      <c r="AO96" s="10" t="s">
        <v>50</v>
      </c>
      <c r="AP96" s="11">
        <f t="shared" si="48"/>
        <v>2</v>
      </c>
      <c r="AQ96" s="10" t="s">
        <v>45</v>
      </c>
      <c r="AR96" s="11">
        <f t="shared" si="49"/>
        <v>0</v>
      </c>
      <c r="AS96" s="10" t="s">
        <v>50</v>
      </c>
      <c r="AT96" s="11">
        <f t="shared" si="50"/>
        <v>2</v>
      </c>
      <c r="AU96" s="10" t="s">
        <v>39</v>
      </c>
      <c r="AV96" s="11">
        <f t="shared" si="51"/>
        <v>7</v>
      </c>
      <c r="AW96" s="11">
        <f t="shared" si="52"/>
        <v>5</v>
      </c>
      <c r="AX96" s="11">
        <f t="shared" si="53"/>
        <v>0</v>
      </c>
    </row>
    <row r="97" spans="1:50" ht="18" customHeight="1" x14ac:dyDescent="0.3">
      <c r="A97" s="12"/>
      <c r="B97" s="18"/>
      <c r="C97" s="13"/>
      <c r="D97" s="1"/>
      <c r="E97" s="22"/>
      <c r="F97" s="12"/>
      <c r="G97" s="22"/>
      <c r="H97" s="12"/>
      <c r="I97" s="22"/>
      <c r="J97" s="12"/>
      <c r="K97" s="22"/>
      <c r="L97" s="12"/>
      <c r="M97" s="22"/>
      <c r="N97" s="12"/>
      <c r="O97" s="22"/>
      <c r="P97" s="12"/>
      <c r="Q97" s="22"/>
      <c r="R97" s="12"/>
      <c r="S97" s="22"/>
      <c r="T97" s="12"/>
      <c r="U97" s="13"/>
      <c r="V97" s="12"/>
      <c r="W97" s="22"/>
      <c r="X97" s="12"/>
      <c r="Y97" s="22"/>
      <c r="Z97" s="12"/>
      <c r="AA97" s="22"/>
      <c r="AB97" s="12"/>
      <c r="AC97" s="30"/>
      <c r="AD97" s="12"/>
      <c r="AE97" s="22"/>
      <c r="AF97" s="12"/>
      <c r="AG97" s="22"/>
      <c r="AH97" s="12"/>
      <c r="AI97" s="22"/>
      <c r="AJ97" s="12"/>
      <c r="AK97" s="22"/>
      <c r="AL97" s="12"/>
      <c r="AM97" s="22"/>
      <c r="AN97" s="12"/>
      <c r="AO97" s="22"/>
      <c r="AP97" s="12"/>
      <c r="AQ97" s="22"/>
      <c r="AR97" s="12" t="str">
        <f t="shared" si="49"/>
        <v/>
      </c>
      <c r="AS97" s="22"/>
      <c r="AT97" s="12" t="str">
        <f t="shared" si="50"/>
        <v/>
      </c>
      <c r="AU97" s="22"/>
      <c r="AV97" s="12"/>
      <c r="AW97" s="12"/>
      <c r="AX97" s="12"/>
    </row>
    <row r="98" spans="1:50" ht="20.100000000000001" customHeight="1" x14ac:dyDescent="0.3">
      <c r="A98" s="36" t="s">
        <v>125</v>
      </c>
      <c r="B98" s="37"/>
      <c r="C98" s="38"/>
      <c r="D98" s="37"/>
      <c r="E98" s="38"/>
      <c r="F98" s="37"/>
      <c r="G98" s="38"/>
      <c r="H98" s="37"/>
      <c r="I98" s="38"/>
      <c r="J98" s="37"/>
      <c r="K98" s="38"/>
      <c r="L98" s="37"/>
      <c r="M98" s="38"/>
      <c r="N98" s="37"/>
      <c r="O98" s="38"/>
      <c r="P98" s="37"/>
      <c r="Q98" s="38"/>
      <c r="R98" s="37"/>
      <c r="S98" s="38"/>
      <c r="T98" s="37"/>
      <c r="U98" s="38"/>
      <c r="V98" s="37"/>
      <c r="W98" s="38"/>
      <c r="X98" s="37"/>
      <c r="Y98" s="38"/>
      <c r="Z98" s="37"/>
      <c r="AA98" s="38"/>
      <c r="AB98" s="37"/>
      <c r="AC98" s="38"/>
      <c r="AD98" s="37"/>
      <c r="AE98" s="38"/>
      <c r="AF98" s="37"/>
      <c r="AG98" s="38"/>
      <c r="AH98" s="37"/>
      <c r="AI98" s="38"/>
      <c r="AJ98" s="37"/>
      <c r="AK98" s="38"/>
      <c r="AL98" s="37"/>
      <c r="AM98" s="38"/>
      <c r="AN98" s="37"/>
      <c r="AO98" s="38"/>
      <c r="AP98" s="37"/>
      <c r="AQ98" s="37"/>
      <c r="AR98" s="37"/>
      <c r="AS98" s="37"/>
      <c r="AT98" s="37"/>
      <c r="AU98" s="38"/>
      <c r="AV98" s="39"/>
      <c r="AW98" s="8"/>
      <c r="AX98" s="8"/>
    </row>
    <row r="99" spans="1:50" ht="18" customHeight="1" x14ac:dyDescent="0.3">
      <c r="A99" s="9">
        <v>1.083333333333333</v>
      </c>
      <c r="B99" s="18" t="s">
        <v>81</v>
      </c>
      <c r="C99" s="10" t="s">
        <v>50</v>
      </c>
      <c r="D99" s="1" t="s">
        <v>85</v>
      </c>
      <c r="E99" s="10" t="s">
        <v>35</v>
      </c>
      <c r="F99" s="11">
        <f t="shared" ref="F99:F104" si="54">IF(OR($C99="",E99=""),"",IFERROR(IF(AND(IFERROR(--LEFT(E99,FIND("-",E99)-1),"")=AW99,IFERROR(--MID(E99,FIND("-",E99)+1,99),"")=AX99),10,5*(SIGN((IFERROR(--LEFT(E99,FIND("-",E99)-1),""))-(IFERROR(--MID(E99,FIND("-",E99)+1,99),"")))=SIGN((AW99)-(AX99)))+2*(((IFERROR(--LEFT(E99,FIND("-",E99)-1),""))-(IFERROR(--MID(E99,FIND("-",E99)+1,99),"")))=((AW99)-(AX99)))+2*((IFERROR(--LEFT(E99,FIND("-",E99)-1),""))=(AW99))+2*((IFERROR(--MID(E99,FIND("-",E99)+1,99),""))=(AX99))),""))</f>
        <v>7</v>
      </c>
      <c r="G99" s="10" t="s">
        <v>48</v>
      </c>
      <c r="H99" s="11">
        <f t="shared" ref="H99:H104" si="55">IF(OR($C99="",G99=""),"",IFERROR(IF(AND(IFERROR(--LEFT(G99,FIND("-",G99)-1),"")=AW99,IFERROR(--MID(G99,FIND("-",G99)+1,99),"")=AX99),10,5*(SIGN((IFERROR(--LEFT(G99,FIND("-",G99)-1),""))-(IFERROR(--MID(G99,FIND("-",G99)+1,99),"")))=SIGN((AW99)-(AX99)))+2*(((IFERROR(--LEFT(G99,FIND("-",G99)-1),""))-(IFERROR(--MID(G99,FIND("-",G99)+1,99),"")))=((AW99)-(AX99)))+2*((IFERROR(--LEFT(G99,FIND("-",G99)-1),""))=(AW99))+2*((IFERROR(--MID(G99,FIND("-",G99)+1,99),""))=(AX99))),""))</f>
        <v>2</v>
      </c>
      <c r="I99" s="10" t="s">
        <v>45</v>
      </c>
      <c r="J99" s="11">
        <f t="shared" ref="J99:J104" si="56">IF(OR($C99="",I99=""),"",IFERROR(IF(AND(IFERROR(--LEFT(I99,FIND("-",I99)-1),"")=AW99,IFERROR(--MID(I99,FIND("-",I99)+1,99),"")=AX99),10,5*(SIGN((IFERROR(--LEFT(I99,FIND("-",I99)-1),""))-(IFERROR(--MID(I99,FIND("-",I99)+1,99),"")))=SIGN((AW99)-(AX99)))+2*(((IFERROR(--LEFT(I99,FIND("-",I99)-1),""))-(IFERROR(--MID(I99,FIND("-",I99)+1,99),"")))=((AW99)-(AX99)))+2*((IFERROR(--LEFT(I99,FIND("-",I99)-1),""))=(AW99))+2*((IFERROR(--MID(I99,FIND("-",I99)+1,99),""))=(AX99))),""))</f>
        <v>2</v>
      </c>
      <c r="K99" s="10" t="s">
        <v>49</v>
      </c>
      <c r="L99" s="11">
        <f t="shared" ref="L99:L104" si="57">IF(OR($C99="",K99=""),"",IFERROR(IF(AND(IFERROR(--LEFT(K99,FIND("-",K99)-1),"")=AW99,IFERROR(--MID(K99,FIND("-",K99)+1,99),"")=AX99),10,5*(SIGN((IFERROR(--LEFT(K99,FIND("-",K99)-1),""))-(IFERROR(--MID(K99,FIND("-",K99)+1,99),"")))=SIGN((AW99)-(AX99)))+2*(((IFERROR(--LEFT(K99,FIND("-",K99)-1),""))-(IFERROR(--MID(K99,FIND("-",K99)+1,99),"")))=((AW99)-(AX99)))+2*((IFERROR(--LEFT(K99,FIND("-",K99)-1),""))=(AW99))+2*((IFERROR(--MID(K99,FIND("-",K99)+1,99),""))=(AX99))),""))</f>
        <v>7</v>
      </c>
      <c r="M99" s="10" t="s">
        <v>36</v>
      </c>
      <c r="N99" s="11">
        <f t="shared" ref="N99:N104" si="58">IF(OR($C99="",M99=""),"",IFERROR(IF(AND(IFERROR(--LEFT(M99,FIND("-",M99)-1),"")=AW99,IFERROR(--MID(M99,FIND("-",M99)+1,99),"")=AX99),10,5*(SIGN((IFERROR(--LEFT(M99,FIND("-",M99)-1),""))-(IFERROR(--MID(M99,FIND("-",M99)+1,99),"")))=SIGN((AW99)-(AX99)))+2*(((IFERROR(--LEFT(M99,FIND("-",M99)-1),""))-(IFERROR(--MID(M99,FIND("-",M99)+1,99),"")))=((AW99)-(AX99)))+2*((IFERROR(--LEFT(M99,FIND("-",M99)-1),""))=(AW99))+2*((IFERROR(--MID(M99,FIND("-",M99)+1,99),""))=(AX99))),""))</f>
        <v>2</v>
      </c>
      <c r="O99" s="10" t="s">
        <v>48</v>
      </c>
      <c r="P99" s="11">
        <f t="shared" ref="P99:P104" si="59">IF(OR($C99="",O99=""),"",IFERROR(IF(AND(IFERROR(--LEFT(O99,FIND("-",O99)-1),"")=AW99,IFERROR(--MID(O99,FIND("-",O99)+1,99),"")=AX99),10,5*(SIGN((IFERROR(--LEFT(O99,FIND("-",O99)-1),""))-(IFERROR(--MID(O99,FIND("-",O99)+1,99),"")))=SIGN((AW99)-(AX99)))+2*(((IFERROR(--LEFT(O99,FIND("-",O99)-1),""))-(IFERROR(--MID(O99,FIND("-",O99)+1,99),"")))=((AW99)-(AX99)))+2*((IFERROR(--LEFT(O99,FIND("-",O99)-1),""))=(AW99))+2*((IFERROR(--MID(O99,FIND("-",O99)+1,99),""))=(AX99))),""))</f>
        <v>2</v>
      </c>
      <c r="Q99" s="10" t="s">
        <v>49</v>
      </c>
      <c r="R99" s="11">
        <f t="shared" ref="R99:R104" si="60">IF(OR($C99="",Q99=""),"",IFERROR(IF(AND(IFERROR(--LEFT(Q99,FIND("-",Q99)-1),"")=AW99,IFERROR(--MID(Q99,FIND("-",Q99)+1,99),"")=AX99),10,5*(SIGN((IFERROR(--LEFT(Q99,FIND("-",Q99)-1),""))-(IFERROR(--MID(Q99,FIND("-",Q99)+1,99),"")))=SIGN((AW99)-(AX99)))+2*(((IFERROR(--LEFT(Q99,FIND("-",Q99)-1),""))-(IFERROR(--MID(Q99,FIND("-",Q99)+1,99),"")))=((AW99)-(AX99)))+2*((IFERROR(--LEFT(Q99,FIND("-",Q99)-1),""))=(AW99))+2*((IFERROR(--MID(Q99,FIND("-",Q99)+1,99),""))=(AX99))),""))</f>
        <v>7</v>
      </c>
      <c r="S99" s="10" t="s">
        <v>35</v>
      </c>
      <c r="T99" s="11">
        <f t="shared" ref="T99:T104" si="61">IF(OR($C99="",S99=""),"",IFERROR(IF(AND(IFERROR(--LEFT(S99,FIND("-",S99)-1),"")=AW99,IFERROR(--MID(S99,FIND("-",S99)+1,99),"")=AX99),10,5*(SIGN((IFERROR(--LEFT(S99,FIND("-",S99)-1),""))-(IFERROR(--MID(S99,FIND("-",S99)+1,99),"")))=SIGN((AW99)-(AX99)))+2*(((IFERROR(--LEFT(S99,FIND("-",S99)-1),""))-(IFERROR(--MID(S99,FIND("-",S99)+1,99),"")))=((AW99)-(AX99)))+2*((IFERROR(--LEFT(S99,FIND("-",S99)-1),""))=(AW99))+2*((IFERROR(--MID(S99,FIND("-",S99)+1,99),""))=(AX99))),""))</f>
        <v>7</v>
      </c>
      <c r="U99" s="10" t="s">
        <v>35</v>
      </c>
      <c r="V99" s="11">
        <f t="shared" ref="V99:V104" si="62">IF(OR($C99="",U99=""),"",IFERROR(IF(AND(IFERROR(--LEFT(U99,FIND("-",U99)-1),"")=AW99,IFERROR(--MID(U99,FIND("-",U99)+1,99),"")=AX99),10,5*(SIGN((IFERROR(--LEFT(U99,FIND("-",U99)-1),""))-(IFERROR(--MID(U99,FIND("-",U99)+1,99),"")))=SIGN((AW99)-(AX99)))+2*(((IFERROR(--LEFT(U99,FIND("-",U99)-1),""))-(IFERROR(--MID(U99,FIND("-",U99)+1,99),"")))=((AW99)-(AX99)))+2*((IFERROR(--LEFT(U99,FIND("-",U99)-1),""))=(AW99))+2*((IFERROR(--MID(U99,FIND("-",U99)+1,99),""))=(AX99))),""))</f>
        <v>7</v>
      </c>
      <c r="W99" s="10" t="s">
        <v>45</v>
      </c>
      <c r="X99" s="11">
        <f t="shared" ref="X99:X104" si="63">IF(OR($C99="",W99=""),"",IFERROR(IF(AND(IFERROR(--LEFT(W99,FIND("-",W99)-1),"")=AW99,IFERROR(--MID(W99,FIND("-",W99)+1,99),"")=AX99),10,5*(SIGN((IFERROR(--LEFT(W99,FIND("-",W99)-1),""))-(IFERROR(--MID(W99,FIND("-",W99)+1,99),"")))=SIGN((AW99)-(AX99)))+2*(((IFERROR(--LEFT(W99,FIND("-",W99)-1),""))-(IFERROR(--MID(W99,FIND("-",W99)+1,99),"")))=((AW99)-(AX99)))+2*((IFERROR(--LEFT(W99,FIND("-",W99)-1),""))=(AW99))+2*((IFERROR(--MID(W99,FIND("-",W99)+1,99),""))=(AX99))),""))</f>
        <v>2</v>
      </c>
      <c r="Y99" s="10" t="s">
        <v>35</v>
      </c>
      <c r="Z99" s="11">
        <f t="shared" ref="Z99:Z104" si="64">IF(OR($C99="",Y99=""),"",IFERROR(IF(AND(IFERROR(--LEFT(Y99,FIND("-",Y99)-1),"")=AW99,IFERROR(--MID(Y99,FIND("-",Y99)+1,99),"")=AX99),10,5*(SIGN((IFERROR(--LEFT(Y99,FIND("-",Y99)-1),""))-(IFERROR(--MID(Y99,FIND("-",Y99)+1,99),"")))=SIGN((AW99)-(AX99)))+2*(((IFERROR(--LEFT(Y99,FIND("-",Y99)-1),""))-(IFERROR(--MID(Y99,FIND("-",Y99)+1,99),"")))=((AW99)-(AX99)))+2*((IFERROR(--LEFT(Y99,FIND("-",Y99)-1),""))=(AW99))+2*((IFERROR(--MID(Y99,FIND("-",Y99)+1,99),""))=(AX99))),""))</f>
        <v>7</v>
      </c>
      <c r="AA99" s="10" t="s">
        <v>37</v>
      </c>
      <c r="AB99" s="11">
        <f t="shared" ref="AB99:AB104" si="65">IF(OR($C99="",AA99=""),"",IFERROR(IF(AND(IFERROR(--LEFT(AA99,FIND("-",AA99)-1),"")=AW99,IFERROR(--MID(AA99,FIND("-",AA99)+1,99),"")=AX99),10,5*(SIGN((IFERROR(--LEFT(AA99,FIND("-",AA99)-1),""))-(IFERROR(--MID(AA99,FIND("-",AA99)+1,99),"")))=SIGN((AW99)-(AX99)))+2*(((IFERROR(--LEFT(AA99,FIND("-",AA99)-1),""))-(IFERROR(--MID(AA99,FIND("-",AA99)+1,99),"")))=((AW99)-(AX99)))+2*((IFERROR(--LEFT(AA99,FIND("-",AA99)-1),""))=(AW99))+2*((IFERROR(--MID(AA99,FIND("-",AA99)+1,99),""))=(AX99))),""))</f>
        <v>0</v>
      </c>
      <c r="AC99" s="28" t="s">
        <v>34</v>
      </c>
      <c r="AD99" s="11">
        <f t="shared" ref="AD99:AD104" si="66">IF(OR($C99="",AC99=""),"",IFERROR(IF(AND(IFERROR(--LEFT(AC99,FIND("-",AC99)-1),"")=AW99,IFERROR(--MID(AC99,FIND("-",AC99)+1,99),"")=AX99),10,5*(SIGN((IFERROR(--LEFT(AC99,FIND("-",AC99)-1),""))-(IFERROR(--MID(AC99,FIND("-",AC99)+1,99),"")))=SIGN((AW99)-(AX99)))+2*(((IFERROR(--LEFT(AC99,FIND("-",AC99)-1),""))-(IFERROR(--MID(AC99,FIND("-",AC99)+1,99),"")))=((AW99)-(AX99)))+2*((IFERROR(--LEFT(AC99,FIND("-",AC99)-1),""))=(AW99))+2*((IFERROR(--MID(AC99,FIND("-",AC99)+1,99),""))=(AX99))),""))</f>
        <v>0</v>
      </c>
      <c r="AE99" s="10" t="s">
        <v>35</v>
      </c>
      <c r="AF99" s="11">
        <f t="shared" ref="AF99:AF104" si="67">IF(OR($C99="",AE99=""),"",IFERROR(IF(AND(IFERROR(--LEFT(AE99,FIND("-",AE99)-1),"")=AW99,IFERROR(--MID(AE99,FIND("-",AE99)+1,99),"")=AX99),10,5*(SIGN((IFERROR(--LEFT(AE99,FIND("-",AE99)-1),""))-(IFERROR(--MID(AE99,FIND("-",AE99)+1,99),"")))=SIGN((AW99)-(AX99)))+2*(((IFERROR(--LEFT(AE99,FIND("-",AE99)-1),""))-(IFERROR(--MID(AE99,FIND("-",AE99)+1,99),"")))=((AW99)-(AX99)))+2*((IFERROR(--LEFT(AE99,FIND("-",AE99)-1),""))=(AW99))+2*((IFERROR(--MID(AE99,FIND("-",AE99)+1,99),""))=(AX99))),""))</f>
        <v>7</v>
      </c>
      <c r="AG99" s="10" t="s">
        <v>35</v>
      </c>
      <c r="AH99" s="11">
        <f t="shared" ref="AH99:AH104" si="68">IF(OR($C99="",AG99=""),"",IFERROR(IF(AND(IFERROR(--LEFT(AG99,FIND("-",AG99)-1),"")=AW99,IFERROR(--MID(AG99,FIND("-",AG99)+1,99),"")=AX99),10,5*(SIGN((IFERROR(--LEFT(AG99,FIND("-",AG99)-1),""))-(IFERROR(--MID(AG99,FIND("-",AG99)+1,99),"")))=SIGN((AW99)-(AX99)))+2*(((IFERROR(--LEFT(AG99,FIND("-",AG99)-1),""))-(IFERROR(--MID(AG99,FIND("-",AG99)+1,99),"")))=((AW99)-(AX99)))+2*((IFERROR(--LEFT(AG99,FIND("-",AG99)-1),""))=(AW99))+2*((IFERROR(--MID(AG99,FIND("-",AG99)+1,99),""))=(AX99))),""))</f>
        <v>7</v>
      </c>
      <c r="AI99" s="10" t="s">
        <v>45</v>
      </c>
      <c r="AJ99" s="11">
        <f t="shared" ref="AJ99:AJ104" si="69">IF(OR($C99="",AI99=""),"",IFERROR(IF(AND(IFERROR(--LEFT(AI99,FIND("-",AI99)-1),"")=AW99,IFERROR(--MID(AI99,FIND("-",AI99)+1,99),"")=AX99),10,5*(SIGN((IFERROR(--LEFT(AI99,FIND("-",AI99)-1),""))-(IFERROR(--MID(AI99,FIND("-",AI99)+1,99),"")))=SIGN((AW99)-(AX99)))+2*(((IFERROR(--LEFT(AI99,FIND("-",AI99)-1),""))-(IFERROR(--MID(AI99,FIND("-",AI99)+1,99),"")))=((AW99)-(AX99)))+2*((IFERROR(--LEFT(AI99,FIND("-",AI99)-1),""))=(AW99))+2*((IFERROR(--MID(AI99,FIND("-",AI99)+1,99),""))=(AX99))),""))</f>
        <v>2</v>
      </c>
      <c r="AK99" s="10" t="s">
        <v>35</v>
      </c>
      <c r="AL99" s="11">
        <f t="shared" ref="AL99:AL104" si="70">IF(OR($C99="",AK99=""),"",IFERROR(IF(AND(IFERROR(--LEFT(AK99,FIND("-",AK99)-1),"")=AW99,IFERROR(--MID(AK99,FIND("-",AK99)+1,99),"")=AX99),10,5*(SIGN((IFERROR(--LEFT(AK99,FIND("-",AK99)-1),""))-(IFERROR(--MID(AK99,FIND("-",AK99)+1,99),"")))=SIGN((AW99)-(AX99)))+2*(((IFERROR(--LEFT(AK99,FIND("-",AK99)-1),""))-(IFERROR(--MID(AK99,FIND("-",AK99)+1,99),"")))=((AW99)-(AX99)))+2*((IFERROR(--LEFT(AK99,FIND("-",AK99)-1),""))=(AW99))+2*((IFERROR(--MID(AK99,FIND("-",AK99)+1,99),""))=(AX99))),""))</f>
        <v>7</v>
      </c>
      <c r="AM99" s="10" t="s">
        <v>49</v>
      </c>
      <c r="AN99" s="11">
        <f t="shared" ref="AN99:AN104" si="71">IF(OR($C99="",AM99=""),"",IFERROR(IF(AND(IFERROR(--LEFT(AM99,FIND("-",AM99)-1),"")=AW99,IFERROR(--MID(AM99,FIND("-",AM99)+1,99),"")=AX99),10,5*(SIGN((IFERROR(--LEFT(AM99,FIND("-",AM99)-1),""))-(IFERROR(--MID(AM99,FIND("-",AM99)+1,99),"")))=SIGN((AW99)-(AX99)))+2*(((IFERROR(--LEFT(AM99,FIND("-",AM99)-1),""))-(IFERROR(--MID(AM99,FIND("-",AM99)+1,99),"")))=((AW99)-(AX99)))+2*((IFERROR(--LEFT(AM99,FIND("-",AM99)-1),""))=(AW99))+2*((IFERROR(--MID(AM99,FIND("-",AM99)+1,99),""))=(AX99))),""))</f>
        <v>7</v>
      </c>
      <c r="AO99" s="10" t="s">
        <v>50</v>
      </c>
      <c r="AP99" s="11">
        <f t="shared" ref="AP99:AP104" si="72">IF(OR($C99="",AO99=""),"",IFERROR(IF(AND(IFERROR(--LEFT(AO99,FIND("-",AO99)-1),"")=AW99,IFERROR(--MID(AO99,FIND("-",AO99)+1,99),"")=AX99),10,5*(SIGN((IFERROR(--LEFT(AO99,FIND("-",AO99)-1),""))-(IFERROR(--MID(AO99,FIND("-",AO99)+1,99),"")))=SIGN((AW99)-(AX99)))+2*(((IFERROR(--LEFT(AO99,FIND("-",AO99)-1),""))-(IFERROR(--MID(AO99,FIND("-",AO99)+1,99),"")))=((AW99)-(AX99)))+2*((IFERROR(--LEFT(AO99,FIND("-",AO99)-1),""))=(AW99))+2*((IFERROR(--MID(AO99,FIND("-",AO99)+1,99),""))=(AX99))),""))</f>
        <v>10</v>
      </c>
      <c r="AQ99" s="10" t="s">
        <v>39</v>
      </c>
      <c r="AR99" s="11">
        <f t="shared" ref="AR99:AR105" si="73">IF(OR($C99="",AQ99=""),"",IFERROR(IF(AND(IFERROR(--LEFT(AQ99,FIND("-",AQ99)-1),"")=AW99,IFERROR(--MID(AQ99,FIND("-",AQ99)+1,99),"")=AX99),10,5*(SIGN((IFERROR(--LEFT(AQ99,FIND("-",AQ99)-1),""))-(IFERROR(--MID(AQ99,FIND("-",AQ99)+1,99),"")))=SIGN((AW99)-(AX99)))+2*(((IFERROR(--LEFT(AQ99,FIND("-",AQ99)-1),""))-(IFERROR(--MID(AQ99,FIND("-",AQ99)+1,99),"")))=((AW99)-(AX99)))+2*((IFERROR(--LEFT(AQ99,FIND("-",AQ99)-1),""))=(AW99))+2*((IFERROR(--MID(AQ99,FIND("-",AQ99)+1,99),""))=(AX99))),""))</f>
        <v>2</v>
      </c>
      <c r="AS99" s="10" t="s">
        <v>35</v>
      </c>
      <c r="AT99" s="11">
        <f t="shared" ref="AT99:AT105" si="74">IF(OR($C99="",AS99=""),"",IFERROR(IF(AND(IFERROR(--LEFT(AS99,FIND("-",AS99)-1),"")=AW99,IFERROR(--MID(AS99,FIND("-",AS99)+1,99),"")=AX99),10,5*(SIGN((IFERROR(--LEFT(AS99,FIND("-",AS99)-1),""))-(IFERROR(--MID(AS99,FIND("-",AS99)+1,99),"")))=SIGN((AW99)-(AX99)))+2*(((IFERROR(--LEFT(AS99,FIND("-",AS99)-1),""))-(IFERROR(--MID(AS99,FIND("-",AS99)+1,99),"")))=((AW99)-(AX99)))+2*((IFERROR(--LEFT(AS99,FIND("-",AS99)-1),""))=(AW99))+2*((IFERROR(--MID(AS99,FIND("-",AS99)+1,99),""))=(AX99))),""))</f>
        <v>7</v>
      </c>
      <c r="AU99" s="10" t="s">
        <v>50</v>
      </c>
      <c r="AV99" s="11">
        <f t="shared" ref="AV99:AV104" si="75">IF(OR($C99="",AU99=""),"",IFERROR(IF(AND(IFERROR(--LEFT(AU99,FIND("-",AU99)-1),"")=AW99,IFERROR(--MID(AU99,FIND("-",AU99)+1,99),"")=AX99),10,5*(SIGN((IFERROR(--LEFT(AU99,FIND("-",AU99)-1),""))-(IFERROR(--MID(AU99,FIND("-",AU99)+1,99),"")))=SIGN((AW99)-(AX99)))+2*(((IFERROR(--LEFT(AU99,FIND("-",AU99)-1),""))-(IFERROR(--MID(AU99,FIND("-",AU99)+1,99),"")))=((AW99)-(AX99)))+2*((IFERROR(--LEFT(AU99,FIND("-",AU99)-1),""))=(AW99))+2*((IFERROR(--MID(AU99,FIND("-",AU99)+1,99),""))=(AX99))),""))</f>
        <v>10</v>
      </c>
      <c r="AW99" s="11">
        <f t="shared" ref="AW99:AW104" si="76">IF($C99="","",IFERROR(--LEFT($C99,FIND("-",$C99)-1),""))</f>
        <v>0</v>
      </c>
      <c r="AX99" s="11">
        <f t="shared" ref="AX99:AX104" si="77">IF($C99="","",IFERROR(--MID($C99,FIND("-",$C99)+1,99),""))</f>
        <v>0</v>
      </c>
    </row>
    <row r="100" spans="1:50" ht="18" customHeight="1" x14ac:dyDescent="0.3">
      <c r="A100" s="9">
        <v>1.083333333333333</v>
      </c>
      <c r="B100" s="18" t="s">
        <v>86</v>
      </c>
      <c r="C100" s="10" t="s">
        <v>45</v>
      </c>
      <c r="D100" s="1" t="s">
        <v>80</v>
      </c>
      <c r="E100" s="10" t="s">
        <v>37</v>
      </c>
      <c r="F100" s="11">
        <f t="shared" si="54"/>
        <v>7</v>
      </c>
      <c r="G100" s="10" t="s">
        <v>57</v>
      </c>
      <c r="H100" s="11">
        <f t="shared" si="55"/>
        <v>5</v>
      </c>
      <c r="I100" s="10" t="s">
        <v>45</v>
      </c>
      <c r="J100" s="11">
        <f t="shared" si="56"/>
        <v>10</v>
      </c>
      <c r="K100" s="10" t="s">
        <v>57</v>
      </c>
      <c r="L100" s="11">
        <f t="shared" si="57"/>
        <v>5</v>
      </c>
      <c r="M100" s="10" t="s">
        <v>37</v>
      </c>
      <c r="N100" s="11">
        <f t="shared" si="58"/>
        <v>7</v>
      </c>
      <c r="O100" s="10" t="s">
        <v>57</v>
      </c>
      <c r="P100" s="11">
        <f t="shared" si="59"/>
        <v>5</v>
      </c>
      <c r="Q100" s="10" t="s">
        <v>37</v>
      </c>
      <c r="R100" s="11">
        <f t="shared" si="60"/>
        <v>7</v>
      </c>
      <c r="S100" s="10" t="s">
        <v>115</v>
      </c>
      <c r="T100" s="11">
        <f t="shared" si="61"/>
        <v>5</v>
      </c>
      <c r="U100" s="10" t="s">
        <v>57</v>
      </c>
      <c r="V100" s="11">
        <f t="shared" si="62"/>
        <v>5</v>
      </c>
      <c r="W100" s="10" t="s">
        <v>35</v>
      </c>
      <c r="X100" s="11">
        <f t="shared" si="63"/>
        <v>2</v>
      </c>
      <c r="Y100" s="10" t="s">
        <v>35</v>
      </c>
      <c r="Z100" s="11">
        <f t="shared" si="64"/>
        <v>2</v>
      </c>
      <c r="AA100" s="10" t="s">
        <v>66</v>
      </c>
      <c r="AB100" s="11">
        <f t="shared" si="65"/>
        <v>7</v>
      </c>
      <c r="AC100" s="28" t="s">
        <v>48</v>
      </c>
      <c r="AD100" s="11">
        <f t="shared" si="66"/>
        <v>7</v>
      </c>
      <c r="AE100" s="10" t="s">
        <v>37</v>
      </c>
      <c r="AF100" s="11">
        <f t="shared" si="67"/>
        <v>7</v>
      </c>
      <c r="AG100" s="10" t="s">
        <v>35</v>
      </c>
      <c r="AH100" s="11">
        <f t="shared" si="68"/>
        <v>2</v>
      </c>
      <c r="AI100" s="10" t="s">
        <v>56</v>
      </c>
      <c r="AJ100" s="11">
        <f t="shared" si="69"/>
        <v>7</v>
      </c>
      <c r="AK100" s="10" t="s">
        <v>37</v>
      </c>
      <c r="AL100" s="11">
        <f t="shared" si="70"/>
        <v>7</v>
      </c>
      <c r="AM100" s="10" t="s">
        <v>37</v>
      </c>
      <c r="AN100" s="11">
        <f t="shared" si="71"/>
        <v>7</v>
      </c>
      <c r="AO100" s="10" t="s">
        <v>37</v>
      </c>
      <c r="AP100" s="11">
        <f t="shared" si="72"/>
        <v>7</v>
      </c>
      <c r="AQ100" s="10" t="s">
        <v>48</v>
      </c>
      <c r="AR100" s="11">
        <f t="shared" si="73"/>
        <v>7</v>
      </c>
      <c r="AS100" s="10" t="s">
        <v>115</v>
      </c>
      <c r="AT100" s="11">
        <f t="shared" si="74"/>
        <v>5</v>
      </c>
      <c r="AU100" s="10" t="s">
        <v>35</v>
      </c>
      <c r="AV100" s="11">
        <f t="shared" si="75"/>
        <v>2</v>
      </c>
      <c r="AW100" s="11">
        <f t="shared" si="76"/>
        <v>0</v>
      </c>
      <c r="AX100" s="11">
        <f t="shared" si="77"/>
        <v>1</v>
      </c>
    </row>
    <row r="101" spans="1:50" ht="18" customHeight="1" x14ac:dyDescent="0.3">
      <c r="A101" s="9">
        <v>1.208333333333333</v>
      </c>
      <c r="B101" s="18" t="s">
        <v>83</v>
      </c>
      <c r="C101" s="10" t="s">
        <v>35</v>
      </c>
      <c r="D101" s="1" t="s">
        <v>87</v>
      </c>
      <c r="E101" s="10" t="s">
        <v>35</v>
      </c>
      <c r="F101" s="11">
        <f t="shared" si="54"/>
        <v>10</v>
      </c>
      <c r="G101" s="10" t="s">
        <v>45</v>
      </c>
      <c r="H101" s="11">
        <f t="shared" si="55"/>
        <v>2</v>
      </c>
      <c r="I101" s="10" t="s">
        <v>39</v>
      </c>
      <c r="J101" s="11">
        <f t="shared" si="56"/>
        <v>2</v>
      </c>
      <c r="K101" s="10" t="s">
        <v>35</v>
      </c>
      <c r="L101" s="11">
        <f t="shared" si="57"/>
        <v>10</v>
      </c>
      <c r="M101" s="10" t="s">
        <v>37</v>
      </c>
      <c r="N101" s="11">
        <f t="shared" si="58"/>
        <v>2</v>
      </c>
      <c r="O101" s="10" t="s">
        <v>33</v>
      </c>
      <c r="P101" s="11">
        <f t="shared" si="59"/>
        <v>2</v>
      </c>
      <c r="Q101" s="10" t="s">
        <v>50</v>
      </c>
      <c r="R101" s="11">
        <f t="shared" si="60"/>
        <v>7</v>
      </c>
      <c r="S101" s="10" t="s">
        <v>37</v>
      </c>
      <c r="T101" s="11">
        <f t="shared" si="61"/>
        <v>2</v>
      </c>
      <c r="U101" s="10" t="s">
        <v>35</v>
      </c>
      <c r="V101" s="11">
        <f t="shared" si="62"/>
        <v>10</v>
      </c>
      <c r="W101" s="10" t="s">
        <v>35</v>
      </c>
      <c r="X101" s="11">
        <f t="shared" si="63"/>
        <v>10</v>
      </c>
      <c r="Y101" s="10" t="s">
        <v>35</v>
      </c>
      <c r="Z101" s="11">
        <f t="shared" si="64"/>
        <v>10</v>
      </c>
      <c r="AA101" s="10" t="s">
        <v>35</v>
      </c>
      <c r="AB101" s="11">
        <f t="shared" si="65"/>
        <v>10</v>
      </c>
      <c r="AC101" s="28" t="s">
        <v>35</v>
      </c>
      <c r="AD101" s="11">
        <f t="shared" si="66"/>
        <v>10</v>
      </c>
      <c r="AE101" s="10" t="s">
        <v>35</v>
      </c>
      <c r="AF101" s="11">
        <f t="shared" si="67"/>
        <v>10</v>
      </c>
      <c r="AG101" s="10" t="s">
        <v>39</v>
      </c>
      <c r="AH101" s="11">
        <f t="shared" si="68"/>
        <v>2</v>
      </c>
      <c r="AI101" s="10" t="s">
        <v>39</v>
      </c>
      <c r="AJ101" s="11">
        <f t="shared" si="69"/>
        <v>2</v>
      </c>
      <c r="AK101" s="10" t="s">
        <v>33</v>
      </c>
      <c r="AL101" s="11">
        <f t="shared" si="70"/>
        <v>2</v>
      </c>
      <c r="AM101" s="10" t="s">
        <v>49</v>
      </c>
      <c r="AN101" s="11">
        <f t="shared" si="71"/>
        <v>7</v>
      </c>
      <c r="AO101" s="10" t="s">
        <v>35</v>
      </c>
      <c r="AP101" s="11">
        <f t="shared" si="72"/>
        <v>10</v>
      </c>
      <c r="AQ101" s="10" t="s">
        <v>37</v>
      </c>
      <c r="AR101" s="11">
        <f t="shared" si="73"/>
        <v>2</v>
      </c>
      <c r="AS101" s="10" t="s">
        <v>50</v>
      </c>
      <c r="AT101" s="11">
        <f t="shared" si="74"/>
        <v>7</v>
      </c>
      <c r="AU101" s="10" t="s">
        <v>50</v>
      </c>
      <c r="AV101" s="11">
        <f t="shared" si="75"/>
        <v>7</v>
      </c>
      <c r="AW101" s="11">
        <f t="shared" si="76"/>
        <v>1</v>
      </c>
      <c r="AX101" s="11">
        <f t="shared" si="77"/>
        <v>1</v>
      </c>
    </row>
    <row r="102" spans="1:50" ht="18" customHeight="1" x14ac:dyDescent="0.3">
      <c r="A102" s="9">
        <v>1.208333333333333</v>
      </c>
      <c r="B102" s="18" t="s">
        <v>88</v>
      </c>
      <c r="C102" s="10" t="s">
        <v>120</v>
      </c>
      <c r="D102" s="1" t="s">
        <v>82</v>
      </c>
      <c r="E102" s="10" t="s">
        <v>115</v>
      </c>
      <c r="F102" s="11">
        <f t="shared" si="54"/>
        <v>7</v>
      </c>
      <c r="G102" s="10" t="s">
        <v>48</v>
      </c>
      <c r="H102" s="11">
        <f t="shared" si="55"/>
        <v>5</v>
      </c>
      <c r="I102" s="10" t="s">
        <v>48</v>
      </c>
      <c r="J102" s="11">
        <f t="shared" si="56"/>
        <v>5</v>
      </c>
      <c r="K102" s="10" t="s">
        <v>115</v>
      </c>
      <c r="L102" s="11">
        <f t="shared" si="57"/>
        <v>7</v>
      </c>
      <c r="M102" s="10" t="s">
        <v>57</v>
      </c>
      <c r="N102" s="11">
        <f t="shared" si="58"/>
        <v>7</v>
      </c>
      <c r="O102" s="10" t="s">
        <v>57</v>
      </c>
      <c r="P102" s="11">
        <f t="shared" si="59"/>
        <v>7</v>
      </c>
      <c r="Q102" s="10" t="s">
        <v>37</v>
      </c>
      <c r="R102" s="11">
        <f t="shared" si="60"/>
        <v>7</v>
      </c>
      <c r="S102" s="10" t="s">
        <v>115</v>
      </c>
      <c r="T102" s="11">
        <f t="shared" si="61"/>
        <v>7</v>
      </c>
      <c r="U102" s="10" t="s">
        <v>48</v>
      </c>
      <c r="V102" s="11">
        <f t="shared" si="62"/>
        <v>5</v>
      </c>
      <c r="W102" s="10" t="s">
        <v>56</v>
      </c>
      <c r="X102" s="11">
        <f t="shared" si="63"/>
        <v>5</v>
      </c>
      <c r="Y102" s="10" t="s">
        <v>56</v>
      </c>
      <c r="Z102" s="11">
        <f t="shared" si="64"/>
        <v>5</v>
      </c>
      <c r="AA102" s="10" t="s">
        <v>57</v>
      </c>
      <c r="AB102" s="11">
        <f t="shared" si="65"/>
        <v>7</v>
      </c>
      <c r="AC102" s="28" t="s">
        <v>37</v>
      </c>
      <c r="AD102" s="11">
        <f t="shared" si="66"/>
        <v>7</v>
      </c>
      <c r="AE102" s="10" t="s">
        <v>48</v>
      </c>
      <c r="AF102" s="11">
        <f t="shared" si="67"/>
        <v>5</v>
      </c>
      <c r="AG102" s="10" t="s">
        <v>48</v>
      </c>
      <c r="AH102" s="11">
        <f t="shared" si="68"/>
        <v>5</v>
      </c>
      <c r="AI102" s="10" t="s">
        <v>48</v>
      </c>
      <c r="AJ102" s="11">
        <f t="shared" si="69"/>
        <v>5</v>
      </c>
      <c r="AK102" s="10" t="s">
        <v>48</v>
      </c>
      <c r="AL102" s="11">
        <f t="shared" si="70"/>
        <v>5</v>
      </c>
      <c r="AM102" s="10" t="s">
        <v>48</v>
      </c>
      <c r="AN102" s="11">
        <f t="shared" si="71"/>
        <v>5</v>
      </c>
      <c r="AO102" s="10" t="s">
        <v>45</v>
      </c>
      <c r="AP102" s="11">
        <f t="shared" si="72"/>
        <v>5</v>
      </c>
      <c r="AQ102" s="10" t="s">
        <v>48</v>
      </c>
      <c r="AR102" s="11">
        <f t="shared" si="73"/>
        <v>5</v>
      </c>
      <c r="AS102" s="10" t="s">
        <v>45</v>
      </c>
      <c r="AT102" s="11">
        <f t="shared" si="74"/>
        <v>5</v>
      </c>
      <c r="AU102" s="10" t="s">
        <v>57</v>
      </c>
      <c r="AV102" s="11">
        <f t="shared" si="75"/>
        <v>7</v>
      </c>
      <c r="AW102" s="11">
        <f t="shared" si="76"/>
        <v>1</v>
      </c>
      <c r="AX102" s="11">
        <f t="shared" si="77"/>
        <v>5</v>
      </c>
    </row>
    <row r="103" spans="1:50" ht="18" customHeight="1" x14ac:dyDescent="0.3">
      <c r="A103" s="9">
        <v>1.958333333333333</v>
      </c>
      <c r="B103" s="18" t="s">
        <v>105</v>
      </c>
      <c r="C103" s="10" t="s">
        <v>48</v>
      </c>
      <c r="D103" s="1" t="s">
        <v>101</v>
      </c>
      <c r="E103" s="10" t="s">
        <v>56</v>
      </c>
      <c r="F103" s="11">
        <f t="shared" si="54"/>
        <v>7</v>
      </c>
      <c r="G103" s="10" t="s">
        <v>56</v>
      </c>
      <c r="H103" s="11">
        <f t="shared" si="55"/>
        <v>7</v>
      </c>
      <c r="I103" s="10" t="s">
        <v>45</v>
      </c>
      <c r="J103" s="11">
        <f t="shared" si="56"/>
        <v>7</v>
      </c>
      <c r="K103" s="10" t="s">
        <v>57</v>
      </c>
      <c r="L103" s="11">
        <f t="shared" si="57"/>
        <v>7</v>
      </c>
      <c r="M103" s="10" t="s">
        <v>57</v>
      </c>
      <c r="N103" s="11">
        <f t="shared" si="58"/>
        <v>7</v>
      </c>
      <c r="O103" s="10" t="s">
        <v>48</v>
      </c>
      <c r="P103" s="11">
        <f t="shared" si="59"/>
        <v>10</v>
      </c>
      <c r="Q103" s="10" t="s">
        <v>56</v>
      </c>
      <c r="R103" s="11">
        <f t="shared" si="60"/>
        <v>7</v>
      </c>
      <c r="S103" s="10" t="s">
        <v>115</v>
      </c>
      <c r="T103" s="11">
        <f t="shared" si="61"/>
        <v>5</v>
      </c>
      <c r="U103" s="10" t="s">
        <v>48</v>
      </c>
      <c r="V103" s="11">
        <f t="shared" si="62"/>
        <v>10</v>
      </c>
      <c r="W103" s="10" t="s">
        <v>48</v>
      </c>
      <c r="X103" s="11">
        <f t="shared" si="63"/>
        <v>10</v>
      </c>
      <c r="Y103" s="10" t="s">
        <v>56</v>
      </c>
      <c r="Z103" s="11">
        <f t="shared" si="64"/>
        <v>7</v>
      </c>
      <c r="AA103" s="10" t="s">
        <v>48</v>
      </c>
      <c r="AB103" s="11">
        <f t="shared" si="65"/>
        <v>10</v>
      </c>
      <c r="AC103" s="28" t="s">
        <v>56</v>
      </c>
      <c r="AD103" s="11">
        <f t="shared" si="66"/>
        <v>7</v>
      </c>
      <c r="AE103" s="10" t="s">
        <v>56</v>
      </c>
      <c r="AF103" s="11">
        <f t="shared" si="67"/>
        <v>7</v>
      </c>
      <c r="AG103" s="10" t="s">
        <v>56</v>
      </c>
      <c r="AH103" s="11">
        <f t="shared" si="68"/>
        <v>7</v>
      </c>
      <c r="AI103" s="10" t="s">
        <v>56</v>
      </c>
      <c r="AJ103" s="11">
        <f t="shared" si="69"/>
        <v>7</v>
      </c>
      <c r="AK103" s="10" t="s">
        <v>48</v>
      </c>
      <c r="AL103" s="11">
        <f t="shared" si="70"/>
        <v>10</v>
      </c>
      <c r="AM103" s="10" t="s">
        <v>45</v>
      </c>
      <c r="AN103" s="11">
        <f t="shared" si="71"/>
        <v>7</v>
      </c>
      <c r="AO103" s="10" t="s">
        <v>57</v>
      </c>
      <c r="AP103" s="11">
        <f t="shared" si="72"/>
        <v>7</v>
      </c>
      <c r="AQ103" s="10" t="s">
        <v>57</v>
      </c>
      <c r="AR103" s="11">
        <f t="shared" si="73"/>
        <v>7</v>
      </c>
      <c r="AS103" s="10" t="s">
        <v>48</v>
      </c>
      <c r="AT103" s="11">
        <f t="shared" si="74"/>
        <v>10</v>
      </c>
      <c r="AU103" s="10" t="s">
        <v>37</v>
      </c>
      <c r="AV103" s="11">
        <f t="shared" si="75"/>
        <v>7</v>
      </c>
      <c r="AW103" s="11">
        <f t="shared" si="76"/>
        <v>0</v>
      </c>
      <c r="AX103" s="11">
        <f t="shared" si="77"/>
        <v>2</v>
      </c>
    </row>
    <row r="104" spans="1:50" ht="18" customHeight="1" x14ac:dyDescent="0.3">
      <c r="A104" s="9">
        <v>1.958333333333333</v>
      </c>
      <c r="B104" s="18" t="s">
        <v>102</v>
      </c>
      <c r="C104" s="10" t="s">
        <v>33</v>
      </c>
      <c r="D104" s="1" t="s">
        <v>104</v>
      </c>
      <c r="E104" s="10" t="s">
        <v>33</v>
      </c>
      <c r="F104" s="11">
        <f t="shared" si="54"/>
        <v>10</v>
      </c>
      <c r="G104" s="10" t="s">
        <v>36</v>
      </c>
      <c r="H104" s="11">
        <f t="shared" si="55"/>
        <v>7</v>
      </c>
      <c r="I104" s="10" t="s">
        <v>33</v>
      </c>
      <c r="J104" s="11">
        <f t="shared" si="56"/>
        <v>10</v>
      </c>
      <c r="K104" s="10" t="s">
        <v>38</v>
      </c>
      <c r="L104" s="11">
        <f t="shared" si="57"/>
        <v>5</v>
      </c>
      <c r="M104" s="10" t="s">
        <v>49</v>
      </c>
      <c r="N104" s="11">
        <f t="shared" si="58"/>
        <v>2</v>
      </c>
      <c r="O104" s="10" t="s">
        <v>49</v>
      </c>
      <c r="P104" s="11">
        <f t="shared" si="59"/>
        <v>2</v>
      </c>
      <c r="Q104" s="10" t="s">
        <v>43</v>
      </c>
      <c r="R104" s="11">
        <f t="shared" si="60"/>
        <v>7</v>
      </c>
      <c r="S104" s="10" t="s">
        <v>33</v>
      </c>
      <c r="T104" s="11">
        <f t="shared" si="61"/>
        <v>10</v>
      </c>
      <c r="U104" s="10" t="s">
        <v>33</v>
      </c>
      <c r="V104" s="11">
        <f t="shared" si="62"/>
        <v>10</v>
      </c>
      <c r="W104" s="10" t="s">
        <v>35</v>
      </c>
      <c r="X104" s="11">
        <f t="shared" si="63"/>
        <v>2</v>
      </c>
      <c r="Y104" s="10" t="s">
        <v>33</v>
      </c>
      <c r="Z104" s="11">
        <f t="shared" si="64"/>
        <v>10</v>
      </c>
      <c r="AA104" s="10" t="s">
        <v>35</v>
      </c>
      <c r="AB104" s="11">
        <f t="shared" si="65"/>
        <v>2</v>
      </c>
      <c r="AC104" s="28" t="s">
        <v>35</v>
      </c>
      <c r="AD104" s="11">
        <f t="shared" si="66"/>
        <v>2</v>
      </c>
      <c r="AE104" s="10" t="s">
        <v>35</v>
      </c>
      <c r="AF104" s="11">
        <f t="shared" si="67"/>
        <v>2</v>
      </c>
      <c r="AG104" s="10" t="s">
        <v>33</v>
      </c>
      <c r="AH104" s="11">
        <f t="shared" si="68"/>
        <v>10</v>
      </c>
      <c r="AI104" s="10" t="s">
        <v>39</v>
      </c>
      <c r="AJ104" s="11">
        <f t="shared" si="69"/>
        <v>7</v>
      </c>
      <c r="AK104" s="10" t="s">
        <v>33</v>
      </c>
      <c r="AL104" s="11">
        <f t="shared" si="70"/>
        <v>10</v>
      </c>
      <c r="AM104" s="10" t="s">
        <v>35</v>
      </c>
      <c r="AN104" s="11">
        <f t="shared" si="71"/>
        <v>2</v>
      </c>
      <c r="AO104" s="10" t="s">
        <v>33</v>
      </c>
      <c r="AP104" s="11">
        <f t="shared" si="72"/>
        <v>10</v>
      </c>
      <c r="AQ104" s="10" t="s">
        <v>35</v>
      </c>
      <c r="AR104" s="11">
        <f t="shared" si="73"/>
        <v>2</v>
      </c>
      <c r="AS104" s="10" t="s">
        <v>35</v>
      </c>
      <c r="AT104" s="11">
        <f t="shared" si="74"/>
        <v>2</v>
      </c>
      <c r="AU104" s="10" t="s">
        <v>35</v>
      </c>
      <c r="AV104" s="11">
        <f t="shared" si="75"/>
        <v>2</v>
      </c>
      <c r="AW104" s="11">
        <f t="shared" si="76"/>
        <v>2</v>
      </c>
      <c r="AX104" s="11">
        <f t="shared" si="77"/>
        <v>1</v>
      </c>
    </row>
    <row r="105" spans="1:50" ht="18" customHeight="1" x14ac:dyDescent="0.3">
      <c r="A105" s="12"/>
      <c r="B105" s="18"/>
      <c r="C105" s="13"/>
      <c r="D105" s="1"/>
      <c r="E105" s="22"/>
      <c r="F105" s="12"/>
      <c r="G105" s="22"/>
      <c r="H105" s="12"/>
      <c r="I105" s="22"/>
      <c r="J105" s="12"/>
      <c r="K105" s="22"/>
      <c r="L105" s="12"/>
      <c r="M105" s="22"/>
      <c r="N105" s="12"/>
      <c r="O105" s="22"/>
      <c r="P105" s="12"/>
      <c r="Q105" s="22"/>
      <c r="R105" s="12"/>
      <c r="S105" s="22"/>
      <c r="T105" s="12"/>
      <c r="U105" s="13"/>
      <c r="V105" s="12"/>
      <c r="W105" s="22"/>
      <c r="X105" s="12"/>
      <c r="Y105" s="22"/>
      <c r="Z105" s="12"/>
      <c r="AA105" s="22"/>
      <c r="AB105" s="12"/>
      <c r="AC105" s="22"/>
      <c r="AD105" s="12"/>
      <c r="AE105" s="22"/>
      <c r="AF105" s="12"/>
      <c r="AG105" s="22"/>
      <c r="AH105" s="12"/>
      <c r="AI105" s="22"/>
      <c r="AJ105" s="12"/>
      <c r="AK105" s="22"/>
      <c r="AL105" s="12"/>
      <c r="AM105" s="22"/>
      <c r="AN105" s="12"/>
      <c r="AO105" s="22"/>
      <c r="AP105" s="12"/>
      <c r="AQ105" s="22"/>
      <c r="AR105" s="12" t="str">
        <f t="shared" si="73"/>
        <v/>
      </c>
      <c r="AS105" s="22"/>
      <c r="AT105" s="12" t="str">
        <f t="shared" si="74"/>
        <v/>
      </c>
      <c r="AU105" s="22"/>
      <c r="AV105" s="12"/>
      <c r="AW105" s="12"/>
      <c r="AX105" s="12"/>
    </row>
    <row r="106" spans="1:50" ht="20.100000000000001" customHeight="1" x14ac:dyDescent="0.3">
      <c r="A106" s="36" t="s">
        <v>126</v>
      </c>
      <c r="B106" s="37"/>
      <c r="C106" s="38"/>
      <c r="D106" s="37"/>
      <c r="E106" s="38"/>
      <c r="F106" s="37"/>
      <c r="G106" s="38"/>
      <c r="H106" s="37"/>
      <c r="I106" s="38"/>
      <c r="J106" s="37"/>
      <c r="K106" s="38"/>
      <c r="L106" s="37"/>
      <c r="M106" s="38"/>
      <c r="N106" s="37"/>
      <c r="O106" s="38"/>
      <c r="P106" s="37"/>
      <c r="Q106" s="38"/>
      <c r="R106" s="37"/>
      <c r="S106" s="38"/>
      <c r="T106" s="37"/>
      <c r="U106" s="38"/>
      <c r="V106" s="37"/>
      <c r="W106" s="38"/>
      <c r="X106" s="37"/>
      <c r="Y106" s="38"/>
      <c r="Z106" s="37"/>
      <c r="AA106" s="38"/>
      <c r="AB106" s="37"/>
      <c r="AC106" s="38"/>
      <c r="AD106" s="37"/>
      <c r="AE106" s="38"/>
      <c r="AF106" s="37"/>
      <c r="AG106" s="38"/>
      <c r="AH106" s="37"/>
      <c r="AI106" s="38"/>
      <c r="AJ106" s="37"/>
      <c r="AK106" s="38"/>
      <c r="AL106" s="37"/>
      <c r="AM106" s="38"/>
      <c r="AN106" s="37"/>
      <c r="AO106" s="38"/>
      <c r="AP106" s="37"/>
      <c r="AQ106" s="37"/>
      <c r="AR106" s="37"/>
      <c r="AS106" s="37"/>
      <c r="AT106" s="37"/>
      <c r="AU106" s="38"/>
      <c r="AV106" s="39"/>
      <c r="AW106" s="8"/>
      <c r="AX106" s="8"/>
    </row>
    <row r="107" spans="1:50" ht="18" customHeight="1" x14ac:dyDescent="0.3">
      <c r="A107" s="9">
        <v>1.0625</v>
      </c>
      <c r="B107" s="18" t="s">
        <v>108</v>
      </c>
      <c r="C107" s="10" t="s">
        <v>50</v>
      </c>
      <c r="D107" s="1" t="s">
        <v>99</v>
      </c>
      <c r="E107" s="10" t="s">
        <v>35</v>
      </c>
      <c r="F107" s="11">
        <f>IF(OR($C107="",E107=""),"",IFERROR(IF(AND(IFERROR(--LEFT(E107,FIND("-",E107)-1),"")=AW107,IFERROR(--MID(E107,FIND("-",E107)+1,99),"")=AX107),10,5*(SIGN((IFERROR(--LEFT(E107,FIND("-",E107)-1),""))-(IFERROR(--MID(E107,FIND("-",E107)+1,99),"")))=SIGN((AW107)-(AX107)))+2*(((IFERROR(--LEFT(E107,FIND("-",E107)-1),""))-(IFERROR(--MID(E107,FIND("-",E107)+1,99),"")))=((AW107)-(AX107)))+2*((IFERROR(--LEFT(E107,FIND("-",E107)-1),""))=(AW107))+2*((IFERROR(--MID(E107,FIND("-",E107)+1,99),""))=(AX107))),""))</f>
        <v>7</v>
      </c>
      <c r="G107" s="10" t="s">
        <v>56</v>
      </c>
      <c r="H107" s="11">
        <f>IF(OR($C107="",G107=""),"",IFERROR(IF(AND(IFERROR(--LEFT(G107,FIND("-",G107)-1),"")=AW107,IFERROR(--MID(G107,FIND("-",G107)+1,99),"")=AX107),10,5*(SIGN((IFERROR(--LEFT(G107,FIND("-",G107)-1),""))-(IFERROR(--MID(G107,FIND("-",G107)+1,99),"")))=SIGN((AW107)-(AX107)))+2*(((IFERROR(--LEFT(G107,FIND("-",G107)-1),""))-(IFERROR(--MID(G107,FIND("-",G107)+1,99),"")))=((AW107)-(AX107)))+2*((IFERROR(--LEFT(G107,FIND("-",G107)-1),""))=(AW107))+2*((IFERROR(--MID(G107,FIND("-",G107)+1,99),""))=(AX107))),""))</f>
        <v>2</v>
      </c>
      <c r="I107" s="10" t="s">
        <v>45</v>
      </c>
      <c r="J107" s="11">
        <f>IF(OR($C107="",I107=""),"",IFERROR(IF(AND(IFERROR(--LEFT(I107,FIND("-",I107)-1),"")=AW107,IFERROR(--MID(I107,FIND("-",I107)+1,99),"")=AX107),10,5*(SIGN((IFERROR(--LEFT(I107,FIND("-",I107)-1),""))-(IFERROR(--MID(I107,FIND("-",I107)+1,99),"")))=SIGN((AW107)-(AX107)))+2*(((IFERROR(--LEFT(I107,FIND("-",I107)-1),""))-(IFERROR(--MID(I107,FIND("-",I107)+1,99),"")))=((AW107)-(AX107)))+2*((IFERROR(--LEFT(I107,FIND("-",I107)-1),""))=(AW107))+2*((IFERROR(--MID(I107,FIND("-",I107)+1,99),""))=(AX107))),""))</f>
        <v>2</v>
      </c>
      <c r="K107" s="10" t="s">
        <v>45</v>
      </c>
      <c r="L107" s="11">
        <f>IF(OR($C107="",K107=""),"",IFERROR(IF(AND(IFERROR(--LEFT(K107,FIND("-",K107)-1),"")=AW107,IFERROR(--MID(K107,FIND("-",K107)+1,99),"")=AX107),10,5*(SIGN((IFERROR(--LEFT(K107,FIND("-",K107)-1),""))-(IFERROR(--MID(K107,FIND("-",K107)+1,99),"")))=SIGN((AW107)-(AX107)))+2*(((IFERROR(--LEFT(K107,FIND("-",K107)-1),""))-(IFERROR(--MID(K107,FIND("-",K107)+1,99),"")))=((AW107)-(AX107)))+2*((IFERROR(--LEFT(K107,FIND("-",K107)-1),""))=(AW107))+2*((IFERROR(--MID(K107,FIND("-",K107)+1,99),""))=(AX107))),""))</f>
        <v>2</v>
      </c>
      <c r="M107" s="10" t="s">
        <v>49</v>
      </c>
      <c r="N107" s="11">
        <f>IF(OR($C107="",M107=""),"",IFERROR(IF(AND(IFERROR(--LEFT(M107,FIND("-",M107)-1),"")=AW107,IFERROR(--MID(M107,FIND("-",M107)+1,99),"")=AX107),10,5*(SIGN((IFERROR(--LEFT(M107,FIND("-",M107)-1),""))-(IFERROR(--MID(M107,FIND("-",M107)+1,99),"")))=SIGN((AW107)-(AX107)))+2*(((IFERROR(--LEFT(M107,FIND("-",M107)-1),""))-(IFERROR(--MID(M107,FIND("-",M107)+1,99),"")))=((AW107)-(AX107)))+2*((IFERROR(--LEFT(M107,FIND("-",M107)-1),""))=(AW107))+2*((IFERROR(--MID(M107,FIND("-",M107)+1,99),""))=(AX107))),""))</f>
        <v>7</v>
      </c>
      <c r="O107" s="10" t="s">
        <v>37</v>
      </c>
      <c r="P107" s="11">
        <f>IF(OR($C107="",O107=""),"",IFERROR(IF(AND(IFERROR(--LEFT(O107,FIND("-",O107)-1),"")=AW107,IFERROR(--MID(O107,FIND("-",O107)+1,99),"")=AX107),10,5*(SIGN((IFERROR(--LEFT(O107,FIND("-",O107)-1),""))-(IFERROR(--MID(O107,FIND("-",O107)+1,99),"")))=SIGN((AW107)-(AX107)))+2*(((IFERROR(--LEFT(O107,FIND("-",O107)-1),""))-(IFERROR(--MID(O107,FIND("-",O107)+1,99),"")))=((AW107)-(AX107)))+2*((IFERROR(--LEFT(O107,FIND("-",O107)-1),""))=(AW107))+2*((IFERROR(--MID(O107,FIND("-",O107)+1,99),""))=(AX107))),""))</f>
        <v>0</v>
      </c>
      <c r="Q107" s="10" t="s">
        <v>37</v>
      </c>
      <c r="R107" s="11">
        <f>IF(OR($C107="",Q107=""),"",IFERROR(IF(AND(IFERROR(--LEFT(Q107,FIND("-",Q107)-1),"")=AW107,IFERROR(--MID(Q107,FIND("-",Q107)+1,99),"")=AX107),10,5*(SIGN((IFERROR(--LEFT(Q107,FIND("-",Q107)-1),""))-(IFERROR(--MID(Q107,FIND("-",Q107)+1,99),"")))=SIGN((AW107)-(AX107)))+2*(((IFERROR(--LEFT(Q107,FIND("-",Q107)-1),""))-(IFERROR(--MID(Q107,FIND("-",Q107)+1,99),"")))=((AW107)-(AX107)))+2*((IFERROR(--LEFT(Q107,FIND("-",Q107)-1),""))=(AW107))+2*((IFERROR(--MID(Q107,FIND("-",Q107)+1,99),""))=(AX107))),""))</f>
        <v>0</v>
      </c>
      <c r="S107" s="10" t="s">
        <v>66</v>
      </c>
      <c r="T107" s="11">
        <f>IF(OR($C107="",S107=""),"",IFERROR(IF(AND(IFERROR(--LEFT(S107,FIND("-",S107)-1),"")=AW107,IFERROR(--MID(S107,FIND("-",S107)+1,99),"")=AX107),10,5*(SIGN((IFERROR(--LEFT(S107,FIND("-",S107)-1),""))-(IFERROR(--MID(S107,FIND("-",S107)+1,99),"")))=SIGN((AW107)-(AX107)))+2*(((IFERROR(--LEFT(S107,FIND("-",S107)-1),""))-(IFERROR(--MID(S107,FIND("-",S107)+1,99),"")))=((AW107)-(AX107)))+2*((IFERROR(--LEFT(S107,FIND("-",S107)-1),""))=(AW107))+2*((IFERROR(--MID(S107,FIND("-",S107)+1,99),""))=(AX107))),""))</f>
        <v>2</v>
      </c>
      <c r="U107" s="10" t="s">
        <v>37</v>
      </c>
      <c r="V107" s="11">
        <f>IF(OR($C107="",U107=""),"",IFERROR(IF(AND(IFERROR(--LEFT(U107,FIND("-",U107)-1),"")=AW107,IFERROR(--MID(U107,FIND("-",U107)+1,99),"")=AX107),10,5*(SIGN((IFERROR(--LEFT(U107,FIND("-",U107)-1),""))-(IFERROR(--MID(U107,FIND("-",U107)+1,99),"")))=SIGN((AW107)-(AX107)))+2*(((IFERROR(--LEFT(U107,FIND("-",U107)-1),""))-(IFERROR(--MID(U107,FIND("-",U107)+1,99),"")))=((AW107)-(AX107)))+2*((IFERROR(--LEFT(U107,FIND("-",U107)-1),""))=(AW107))+2*((IFERROR(--MID(U107,FIND("-",U107)+1,99),""))=(AX107))),""))</f>
        <v>0</v>
      </c>
      <c r="W107" s="10" t="s">
        <v>35</v>
      </c>
      <c r="X107" s="11">
        <f>IF(OR($C107="",W107=""),"",IFERROR(IF(AND(IFERROR(--LEFT(W107,FIND("-",W107)-1),"")=AW107,IFERROR(--MID(W107,FIND("-",W107)+1,99),"")=AX107),10,5*(SIGN((IFERROR(--LEFT(W107,FIND("-",W107)-1),""))-(IFERROR(--MID(W107,FIND("-",W107)+1,99),"")))=SIGN((AW107)-(AX107)))+2*(((IFERROR(--LEFT(W107,FIND("-",W107)-1),""))-(IFERROR(--MID(W107,FIND("-",W107)+1,99),"")))=((AW107)-(AX107)))+2*((IFERROR(--LEFT(W107,FIND("-",W107)-1),""))=(AW107))+2*((IFERROR(--MID(W107,FIND("-",W107)+1,99),""))=(AX107))),""))</f>
        <v>7</v>
      </c>
      <c r="Y107" s="10" t="s">
        <v>35</v>
      </c>
      <c r="Z107" s="11">
        <f>IF(OR($C107="",Y107=""),"",IFERROR(IF(AND(IFERROR(--LEFT(Y107,FIND("-",Y107)-1),"")=AW107,IFERROR(--MID(Y107,FIND("-",Y107)+1,99),"")=AX107),10,5*(SIGN((IFERROR(--LEFT(Y107,FIND("-",Y107)-1),""))-(IFERROR(--MID(Y107,FIND("-",Y107)+1,99),"")))=SIGN((AW107)-(AX107)))+2*(((IFERROR(--LEFT(Y107,FIND("-",Y107)-1),""))-(IFERROR(--MID(Y107,FIND("-",Y107)+1,99),"")))=((AW107)-(AX107)))+2*((IFERROR(--LEFT(Y107,FIND("-",Y107)-1),""))=(AW107))+2*((IFERROR(--MID(Y107,FIND("-",Y107)+1,99),""))=(AX107))),""))</f>
        <v>7</v>
      </c>
      <c r="AA107" s="10" t="s">
        <v>57</v>
      </c>
      <c r="AB107" s="11">
        <f>IF(OR($C107="",AA107=""),"",IFERROR(IF(AND(IFERROR(--LEFT(AA107,FIND("-",AA107)-1),"")=AW107,IFERROR(--MID(AA107,FIND("-",AA107)+1,99),"")=AX107),10,5*(SIGN((IFERROR(--LEFT(AA107,FIND("-",AA107)-1),""))-(IFERROR(--MID(AA107,FIND("-",AA107)+1,99),"")))=SIGN((AW107)-(AX107)))+2*(((IFERROR(--LEFT(AA107,FIND("-",AA107)-1),""))-(IFERROR(--MID(AA107,FIND("-",AA107)+1,99),"")))=((AW107)-(AX107)))+2*((IFERROR(--LEFT(AA107,FIND("-",AA107)-1),""))=(AW107))+2*((IFERROR(--MID(AA107,FIND("-",AA107)+1,99),""))=(AX107))),""))</f>
        <v>0</v>
      </c>
      <c r="AC107" s="28" t="s">
        <v>57</v>
      </c>
      <c r="AD107" s="11">
        <f>IF(OR($C107="",AC107=""),"",IFERROR(IF(AND(IFERROR(--LEFT(AC107,FIND("-",AC107)-1),"")=AW107,IFERROR(--MID(AC107,FIND("-",AC107)+1,99),"")=AX107),10,5*(SIGN((IFERROR(--LEFT(AC107,FIND("-",AC107)-1),""))-(IFERROR(--MID(AC107,FIND("-",AC107)+1,99),"")))=SIGN((AW107)-(AX107)))+2*(((IFERROR(--LEFT(AC107,FIND("-",AC107)-1),""))-(IFERROR(--MID(AC107,FIND("-",AC107)+1,99),"")))=((AW107)-(AX107)))+2*((IFERROR(--LEFT(AC107,FIND("-",AC107)-1),""))=(AW107))+2*((IFERROR(--MID(AC107,FIND("-",AC107)+1,99),""))=(AX107))),""))</f>
        <v>0</v>
      </c>
      <c r="AE107" s="10" t="s">
        <v>37</v>
      </c>
      <c r="AF107" s="11">
        <f>IF(OR($C107="",AE107=""),"",IFERROR(IF(AND(IFERROR(--LEFT(AE107,FIND("-",AE107)-1),"")=AW107,IFERROR(--MID(AE107,FIND("-",AE107)+1,99),"")=AX107),10,5*(SIGN((IFERROR(--LEFT(AE107,FIND("-",AE107)-1),""))-(IFERROR(--MID(AE107,FIND("-",AE107)+1,99),"")))=SIGN((AW107)-(AX107)))+2*(((IFERROR(--LEFT(AE107,FIND("-",AE107)-1),""))-(IFERROR(--MID(AE107,FIND("-",AE107)+1,99),"")))=((AW107)-(AX107)))+2*((IFERROR(--LEFT(AE107,FIND("-",AE107)-1),""))=(AW107))+2*((IFERROR(--MID(AE107,FIND("-",AE107)+1,99),""))=(AX107))),""))</f>
        <v>0</v>
      </c>
      <c r="AG107" s="10" t="s">
        <v>37</v>
      </c>
      <c r="AH107" s="11">
        <f>IF(OR($C107="",AG107=""),"",IFERROR(IF(AND(IFERROR(--LEFT(AG107,FIND("-",AG107)-1),"")=AW107,IFERROR(--MID(AG107,FIND("-",AG107)+1,99),"")=AX107),10,5*(SIGN((IFERROR(--LEFT(AG107,FIND("-",AG107)-1),""))-(IFERROR(--MID(AG107,FIND("-",AG107)+1,99),"")))=SIGN((AW107)-(AX107)))+2*(((IFERROR(--LEFT(AG107,FIND("-",AG107)-1),""))-(IFERROR(--MID(AG107,FIND("-",AG107)+1,99),"")))=((AW107)-(AX107)))+2*((IFERROR(--LEFT(AG107,FIND("-",AG107)-1),""))=(AW107))+2*((IFERROR(--MID(AG107,FIND("-",AG107)+1,99),""))=(AX107))),""))</f>
        <v>0</v>
      </c>
      <c r="AI107" s="10" t="s">
        <v>66</v>
      </c>
      <c r="AJ107" s="11">
        <f>IF(OR($C107="",AI107=""),"",IFERROR(IF(AND(IFERROR(--LEFT(AI107,FIND("-",AI107)-1),"")=AW107,IFERROR(--MID(AI107,FIND("-",AI107)+1,99),"")=AX107),10,5*(SIGN((IFERROR(--LEFT(AI107,FIND("-",AI107)-1),""))-(IFERROR(--MID(AI107,FIND("-",AI107)+1,99),"")))=SIGN((AW107)-(AX107)))+2*(((IFERROR(--LEFT(AI107,FIND("-",AI107)-1),""))-(IFERROR(--MID(AI107,FIND("-",AI107)+1,99),"")))=((AW107)-(AX107)))+2*((IFERROR(--LEFT(AI107,FIND("-",AI107)-1),""))=(AW107))+2*((IFERROR(--MID(AI107,FIND("-",AI107)+1,99),""))=(AX107))),""))</f>
        <v>2</v>
      </c>
      <c r="AK107" s="10" t="s">
        <v>57</v>
      </c>
      <c r="AL107" s="11">
        <f>IF(OR($C107="",AK107=""),"",IFERROR(IF(AND(IFERROR(--LEFT(AK107,FIND("-",AK107)-1),"")=AW107,IFERROR(--MID(AK107,FIND("-",AK107)+1,99),"")=AX107),10,5*(SIGN((IFERROR(--LEFT(AK107,FIND("-",AK107)-1),""))-(IFERROR(--MID(AK107,FIND("-",AK107)+1,99),"")))=SIGN((AW107)-(AX107)))+2*(((IFERROR(--LEFT(AK107,FIND("-",AK107)-1),""))-(IFERROR(--MID(AK107,FIND("-",AK107)+1,99),"")))=((AW107)-(AX107)))+2*((IFERROR(--LEFT(AK107,FIND("-",AK107)-1),""))=(AW107))+2*((IFERROR(--MID(AK107,FIND("-",AK107)+1,99),""))=(AX107))),""))</f>
        <v>0</v>
      </c>
      <c r="AM107" s="10" t="s">
        <v>57</v>
      </c>
      <c r="AN107" s="11">
        <f>IF(OR($C107="",AM107=""),"",IFERROR(IF(AND(IFERROR(--LEFT(AM107,FIND("-",AM107)-1),"")=AW107,IFERROR(--MID(AM107,FIND("-",AM107)+1,99),"")=AX107),10,5*(SIGN((IFERROR(--LEFT(AM107,FIND("-",AM107)-1),""))-(IFERROR(--MID(AM107,FIND("-",AM107)+1,99),"")))=SIGN((AW107)-(AX107)))+2*(((IFERROR(--LEFT(AM107,FIND("-",AM107)-1),""))-(IFERROR(--MID(AM107,FIND("-",AM107)+1,99),"")))=((AW107)-(AX107)))+2*((IFERROR(--LEFT(AM107,FIND("-",AM107)-1),""))=(AW107))+2*((IFERROR(--MID(AM107,FIND("-",AM107)+1,99),""))=(AX107))),""))</f>
        <v>0</v>
      </c>
      <c r="AO107" s="10" t="s">
        <v>48</v>
      </c>
      <c r="AP107" s="11">
        <f>IF(OR($C107="",AO107=""),"",IFERROR(IF(AND(IFERROR(--LEFT(AO107,FIND("-",AO107)-1),"")=AW107,IFERROR(--MID(AO107,FIND("-",AO107)+1,99),"")=AX107),10,5*(SIGN((IFERROR(--LEFT(AO107,FIND("-",AO107)-1),""))-(IFERROR(--MID(AO107,FIND("-",AO107)+1,99),"")))=SIGN((AW107)-(AX107)))+2*(((IFERROR(--LEFT(AO107,FIND("-",AO107)-1),""))-(IFERROR(--MID(AO107,FIND("-",AO107)+1,99),"")))=((AW107)-(AX107)))+2*((IFERROR(--LEFT(AO107,FIND("-",AO107)-1),""))=(AW107))+2*((IFERROR(--MID(AO107,FIND("-",AO107)+1,99),""))=(AX107))),""))</f>
        <v>2</v>
      </c>
      <c r="AQ107" s="10" t="s">
        <v>50</v>
      </c>
      <c r="AR107" s="11">
        <f t="shared" ref="AR107:AR112" si="78">IF(OR($C107="",AQ107=""),"",IFERROR(IF(AND(IFERROR(--LEFT(AQ107,FIND("-",AQ107)-1),"")=AW107,IFERROR(--MID(AQ107,FIND("-",AQ107)+1,99),"")=AX107),10,5*(SIGN((IFERROR(--LEFT(AQ107,FIND("-",AQ107)-1),""))-(IFERROR(--MID(AQ107,FIND("-",AQ107)+1,99),"")))=SIGN((AW107)-(AX107)))+2*(((IFERROR(--LEFT(AQ107,FIND("-",AQ107)-1),""))-(IFERROR(--MID(AQ107,FIND("-",AQ107)+1,99),"")))=((AW107)-(AX107)))+2*((IFERROR(--LEFT(AQ107,FIND("-",AQ107)-1),""))=(AW107))+2*((IFERROR(--MID(AQ107,FIND("-",AQ107)+1,99),""))=(AX107))),""))</f>
        <v>10</v>
      </c>
      <c r="AS107" s="10" t="s">
        <v>37</v>
      </c>
      <c r="AT107" s="11">
        <f t="shared" ref="AT107:AT112" si="79">IF(OR($C107="",AS107=""),"",IFERROR(IF(AND(IFERROR(--LEFT(AS107,FIND("-",AS107)-1),"")=AW107,IFERROR(--MID(AS107,FIND("-",AS107)+1,99),"")=AX107),10,5*(SIGN((IFERROR(--LEFT(AS107,FIND("-",AS107)-1),""))-(IFERROR(--MID(AS107,FIND("-",AS107)+1,99),"")))=SIGN((AW107)-(AX107)))+2*(((IFERROR(--LEFT(AS107,FIND("-",AS107)-1),""))-(IFERROR(--MID(AS107,FIND("-",AS107)+1,99),"")))=((AW107)-(AX107)))+2*((IFERROR(--LEFT(AS107,FIND("-",AS107)-1),""))=(AW107))+2*((IFERROR(--MID(AS107,FIND("-",AS107)+1,99),""))=(AX107))),""))</f>
        <v>0</v>
      </c>
      <c r="AU107" s="10" t="s">
        <v>49</v>
      </c>
      <c r="AV107" s="11">
        <f>IF(OR($C107="",AU107=""),"",IFERROR(IF(AND(IFERROR(--LEFT(AU107,FIND("-",AU107)-1),"")=AW107,IFERROR(--MID(AU107,FIND("-",AU107)+1,99),"")=AX107),10,5*(SIGN((IFERROR(--LEFT(AU107,FIND("-",AU107)-1),""))-(IFERROR(--MID(AU107,FIND("-",AU107)+1,99),"")))=SIGN((AW107)-(AX107)))+2*(((IFERROR(--LEFT(AU107,FIND("-",AU107)-1),""))-(IFERROR(--MID(AU107,FIND("-",AU107)+1,99),"")))=((AW107)-(AX107)))+2*((IFERROR(--LEFT(AU107,FIND("-",AU107)-1),""))=(AW107))+2*((IFERROR(--MID(AU107,FIND("-",AU107)+1,99),""))=(AX107))),""))</f>
        <v>7</v>
      </c>
      <c r="AW107" s="11">
        <f>IF($C107="","",IFERROR(--LEFT($C107,FIND("-",$C107)-1),""))</f>
        <v>0</v>
      </c>
      <c r="AX107" s="11">
        <f>IF($C107="","",IFERROR(--MID($C107,FIND("-",$C107)+1,99),""))</f>
        <v>0</v>
      </c>
    </row>
    <row r="108" spans="1:50" ht="18" customHeight="1" x14ac:dyDescent="0.3">
      <c r="A108" s="9">
        <v>1.0625</v>
      </c>
      <c r="B108" s="18" t="s">
        <v>100</v>
      </c>
      <c r="C108" s="10" t="s">
        <v>34</v>
      </c>
      <c r="D108" s="1" t="s">
        <v>107</v>
      </c>
      <c r="E108" s="10" t="s">
        <v>35</v>
      </c>
      <c r="F108" s="11">
        <f>IF(OR($C108="",E108=""),"",IFERROR(IF(AND(IFERROR(--LEFT(E108,FIND("-",E108)-1),"")=AW108,IFERROR(--MID(E108,FIND("-",E108)+1,99),"")=AX108),10,5*(SIGN((IFERROR(--LEFT(E108,FIND("-",E108)-1),""))-(IFERROR(--MID(E108,FIND("-",E108)+1,99),"")))=SIGN((AW108)-(AX108)))+2*(((IFERROR(--LEFT(E108,FIND("-",E108)-1),""))-(IFERROR(--MID(E108,FIND("-",E108)+1,99),"")))=((AW108)-(AX108)))+2*((IFERROR(--LEFT(E108,FIND("-",E108)-1),""))=(AW108))+2*((IFERROR(--MID(E108,FIND("-",E108)+1,99),""))=(AX108))),""))</f>
        <v>2</v>
      </c>
      <c r="G108" s="10" t="s">
        <v>50</v>
      </c>
      <c r="H108" s="11">
        <f>IF(OR($C108="",G108=""),"",IFERROR(IF(AND(IFERROR(--LEFT(G108,FIND("-",G108)-1),"")=AW108,IFERROR(--MID(G108,FIND("-",G108)+1,99),"")=AX108),10,5*(SIGN((IFERROR(--LEFT(G108,FIND("-",G108)-1),""))-(IFERROR(--MID(G108,FIND("-",G108)+1,99),"")))=SIGN((AW108)-(AX108)))+2*(((IFERROR(--LEFT(G108,FIND("-",G108)-1),""))-(IFERROR(--MID(G108,FIND("-",G108)+1,99),"")))=((AW108)-(AX108)))+2*((IFERROR(--LEFT(G108,FIND("-",G108)-1),""))=(AW108))+2*((IFERROR(--MID(G108,FIND("-",G108)+1,99),""))=(AX108))),""))</f>
        <v>0</v>
      </c>
      <c r="I108" s="10" t="s">
        <v>35</v>
      </c>
      <c r="J108" s="11">
        <f>IF(OR($C108="",I108=""),"",IFERROR(IF(AND(IFERROR(--LEFT(I108,FIND("-",I108)-1),"")=AW108,IFERROR(--MID(I108,FIND("-",I108)+1,99),"")=AX108),10,5*(SIGN((IFERROR(--LEFT(I108,FIND("-",I108)-1),""))-(IFERROR(--MID(I108,FIND("-",I108)+1,99),"")))=SIGN((AW108)-(AX108)))+2*(((IFERROR(--LEFT(I108,FIND("-",I108)-1),""))-(IFERROR(--MID(I108,FIND("-",I108)+1,99),"")))=((AW108)-(AX108)))+2*((IFERROR(--LEFT(I108,FIND("-",I108)-1),""))=(AW108))+2*((IFERROR(--MID(I108,FIND("-",I108)+1,99),""))=(AX108))),""))</f>
        <v>2</v>
      </c>
      <c r="K108" s="10" t="s">
        <v>45</v>
      </c>
      <c r="L108" s="11">
        <f>IF(OR($C108="",K108=""),"",IFERROR(IF(AND(IFERROR(--LEFT(K108,FIND("-",K108)-1),"")=AW108,IFERROR(--MID(K108,FIND("-",K108)+1,99),"")=AX108),10,5*(SIGN((IFERROR(--LEFT(K108,FIND("-",K108)-1),""))-(IFERROR(--MID(K108,FIND("-",K108)+1,99),"")))=SIGN((AW108)-(AX108)))+2*(((IFERROR(--LEFT(K108,FIND("-",K108)-1),""))-(IFERROR(--MID(K108,FIND("-",K108)+1,99),"")))=((AW108)-(AX108)))+2*((IFERROR(--LEFT(K108,FIND("-",K108)-1),""))=(AW108))+2*((IFERROR(--MID(K108,FIND("-",K108)+1,99),""))=(AX108))),""))</f>
        <v>2</v>
      </c>
      <c r="M108" s="10" t="s">
        <v>37</v>
      </c>
      <c r="N108" s="11">
        <f>IF(OR($C108="",M108=""),"",IFERROR(IF(AND(IFERROR(--LEFT(M108,FIND("-",M108)-1),"")=AW108,IFERROR(--MID(M108,FIND("-",M108)+1,99),"")=AX108),10,5*(SIGN((IFERROR(--LEFT(M108,FIND("-",M108)-1),""))-(IFERROR(--MID(M108,FIND("-",M108)+1,99),"")))=SIGN((AW108)-(AX108)))+2*(((IFERROR(--LEFT(M108,FIND("-",M108)-1),""))-(IFERROR(--MID(M108,FIND("-",M108)+1,99),"")))=((AW108)-(AX108)))+2*((IFERROR(--LEFT(M108,FIND("-",M108)-1),""))=(AW108))+2*((IFERROR(--MID(M108,FIND("-",M108)+1,99),""))=(AX108))),""))</f>
        <v>0</v>
      </c>
      <c r="O108" s="10" t="s">
        <v>50</v>
      </c>
      <c r="P108" s="11">
        <f>IF(OR($C108="",O108=""),"",IFERROR(IF(AND(IFERROR(--LEFT(O108,FIND("-",O108)-1),"")=AW108,IFERROR(--MID(O108,FIND("-",O108)+1,99),"")=AX108),10,5*(SIGN((IFERROR(--LEFT(O108,FIND("-",O108)-1),""))-(IFERROR(--MID(O108,FIND("-",O108)+1,99),"")))=SIGN((AW108)-(AX108)))+2*(((IFERROR(--LEFT(O108,FIND("-",O108)-1),""))-(IFERROR(--MID(O108,FIND("-",O108)+1,99),"")))=((AW108)-(AX108)))+2*((IFERROR(--LEFT(O108,FIND("-",O108)-1),""))=(AW108))+2*((IFERROR(--MID(O108,FIND("-",O108)+1,99),""))=(AX108))),""))</f>
        <v>0</v>
      </c>
      <c r="Q108" s="10" t="s">
        <v>123</v>
      </c>
      <c r="R108" s="11">
        <f>IF(OR($C108="",Q108=""),"",IFERROR(IF(AND(IFERROR(--LEFT(Q108,FIND("-",Q108)-1),"")=AW108,IFERROR(--MID(Q108,FIND("-",Q108)+1,99),"")=AX108),10,5*(SIGN((IFERROR(--LEFT(Q108,FIND("-",Q108)-1),""))-(IFERROR(--MID(Q108,FIND("-",Q108)+1,99),"")))=SIGN((AW108)-(AX108)))+2*(((IFERROR(--LEFT(Q108,FIND("-",Q108)-1),""))-(IFERROR(--MID(Q108,FIND("-",Q108)+1,99),"")))=((AW108)-(AX108)))+2*((IFERROR(--LEFT(Q108,FIND("-",Q108)-1),""))=(AW108))+2*((IFERROR(--MID(Q108,FIND("-",Q108)+1,99),""))=(AX108))),""))</f>
        <v>2</v>
      </c>
      <c r="S108" s="10" t="s">
        <v>33</v>
      </c>
      <c r="T108" s="11">
        <f>IF(OR($C108="",S108=""),"",IFERROR(IF(AND(IFERROR(--LEFT(S108,FIND("-",S108)-1),"")=AW108,IFERROR(--MID(S108,FIND("-",S108)+1,99),"")=AX108),10,5*(SIGN((IFERROR(--LEFT(S108,FIND("-",S108)-1),""))-(IFERROR(--MID(S108,FIND("-",S108)+1,99),"")))=SIGN((AW108)-(AX108)))+2*(((IFERROR(--LEFT(S108,FIND("-",S108)-1),""))-(IFERROR(--MID(S108,FIND("-",S108)+1,99),"")))=((AW108)-(AX108)))+2*((IFERROR(--LEFT(S108,FIND("-",S108)-1),""))=(AW108))+2*((IFERROR(--MID(S108,FIND("-",S108)+1,99),""))=(AX108))),""))</f>
        <v>7</v>
      </c>
      <c r="U108" s="10" t="s">
        <v>35</v>
      </c>
      <c r="V108" s="11">
        <f>IF(OR($C108="",U108=""),"",IFERROR(IF(AND(IFERROR(--LEFT(U108,FIND("-",U108)-1),"")=AW108,IFERROR(--MID(U108,FIND("-",U108)+1,99),"")=AX108),10,5*(SIGN((IFERROR(--LEFT(U108,FIND("-",U108)-1),""))-(IFERROR(--MID(U108,FIND("-",U108)+1,99),"")))=SIGN((AW108)-(AX108)))+2*(((IFERROR(--LEFT(U108,FIND("-",U108)-1),""))-(IFERROR(--MID(U108,FIND("-",U108)+1,99),"")))=((AW108)-(AX108)))+2*((IFERROR(--LEFT(U108,FIND("-",U108)-1),""))=(AW108))+2*((IFERROR(--MID(U108,FIND("-",U108)+1,99),""))=(AX108))),""))</f>
        <v>2</v>
      </c>
      <c r="W108" s="10" t="s">
        <v>35</v>
      </c>
      <c r="X108" s="11">
        <f>IF(OR($C108="",W108=""),"",IFERROR(IF(AND(IFERROR(--LEFT(W108,FIND("-",W108)-1),"")=AW108,IFERROR(--MID(W108,FIND("-",W108)+1,99),"")=AX108),10,5*(SIGN((IFERROR(--LEFT(W108,FIND("-",W108)-1),""))-(IFERROR(--MID(W108,FIND("-",W108)+1,99),"")))=SIGN((AW108)-(AX108)))+2*(((IFERROR(--LEFT(W108,FIND("-",W108)-1),""))-(IFERROR(--MID(W108,FIND("-",W108)+1,99),"")))=((AW108)-(AX108)))+2*((IFERROR(--LEFT(W108,FIND("-",W108)-1),""))=(AW108))+2*((IFERROR(--MID(W108,FIND("-",W108)+1,99),""))=(AX108))),""))</f>
        <v>2</v>
      </c>
      <c r="Y108" s="10" t="s">
        <v>35</v>
      </c>
      <c r="Z108" s="11">
        <f>IF(OR($C108="",Y108=""),"",IFERROR(IF(AND(IFERROR(--LEFT(Y108,FIND("-",Y108)-1),"")=AW108,IFERROR(--MID(Y108,FIND("-",Y108)+1,99),"")=AX108),10,5*(SIGN((IFERROR(--LEFT(Y108,FIND("-",Y108)-1),""))-(IFERROR(--MID(Y108,FIND("-",Y108)+1,99),"")))=SIGN((AW108)-(AX108)))+2*(((IFERROR(--LEFT(Y108,FIND("-",Y108)-1),""))-(IFERROR(--MID(Y108,FIND("-",Y108)+1,99),"")))=((AW108)-(AX108)))+2*((IFERROR(--LEFT(Y108,FIND("-",Y108)-1),""))=(AW108))+2*((IFERROR(--MID(Y108,FIND("-",Y108)+1,99),""))=(AX108))),""))</f>
        <v>2</v>
      </c>
      <c r="AA108" s="10" t="s">
        <v>36</v>
      </c>
      <c r="AB108" s="11">
        <f>IF(OR($C108="",AA108=""),"",IFERROR(IF(AND(IFERROR(--LEFT(AA108,FIND("-",AA108)-1),"")=AW108,IFERROR(--MID(AA108,FIND("-",AA108)+1,99),"")=AX108),10,5*(SIGN((IFERROR(--LEFT(AA108,FIND("-",AA108)-1),""))-(IFERROR(--MID(AA108,FIND("-",AA108)+1,99),"")))=SIGN((AW108)-(AX108)))+2*(((IFERROR(--LEFT(AA108,FIND("-",AA108)-1),""))-(IFERROR(--MID(AA108,FIND("-",AA108)+1,99),"")))=((AW108)-(AX108)))+2*((IFERROR(--LEFT(AA108,FIND("-",AA108)-1),""))=(AW108))+2*((IFERROR(--MID(AA108,FIND("-",AA108)+1,99),""))=(AX108))),""))</f>
        <v>7</v>
      </c>
      <c r="AC108" s="28" t="s">
        <v>33</v>
      </c>
      <c r="AD108" s="11">
        <f>IF(OR($C108="",AC108=""),"",IFERROR(IF(AND(IFERROR(--LEFT(AC108,FIND("-",AC108)-1),"")=AW108,IFERROR(--MID(AC108,FIND("-",AC108)+1,99),"")=AX108),10,5*(SIGN((IFERROR(--LEFT(AC108,FIND("-",AC108)-1),""))-(IFERROR(--MID(AC108,FIND("-",AC108)+1,99),"")))=SIGN((AW108)-(AX108)))+2*(((IFERROR(--LEFT(AC108,FIND("-",AC108)-1),""))-(IFERROR(--MID(AC108,FIND("-",AC108)+1,99),"")))=((AW108)-(AX108)))+2*((IFERROR(--LEFT(AC108,FIND("-",AC108)-1),""))=(AW108))+2*((IFERROR(--MID(AC108,FIND("-",AC108)+1,99),""))=(AX108))),""))</f>
        <v>7</v>
      </c>
      <c r="AE108" s="10" t="s">
        <v>35</v>
      </c>
      <c r="AF108" s="11">
        <f>IF(OR($C108="",AE108=""),"",IFERROR(IF(AND(IFERROR(--LEFT(AE108,FIND("-",AE108)-1),"")=AW108,IFERROR(--MID(AE108,FIND("-",AE108)+1,99),"")=AX108),10,5*(SIGN((IFERROR(--LEFT(AE108,FIND("-",AE108)-1),""))-(IFERROR(--MID(AE108,FIND("-",AE108)+1,99),"")))=SIGN((AW108)-(AX108)))+2*(((IFERROR(--LEFT(AE108,FIND("-",AE108)-1),""))-(IFERROR(--MID(AE108,FIND("-",AE108)+1,99),"")))=((AW108)-(AX108)))+2*((IFERROR(--LEFT(AE108,FIND("-",AE108)-1),""))=(AW108))+2*((IFERROR(--MID(AE108,FIND("-",AE108)+1,99),""))=(AX108))),""))</f>
        <v>2</v>
      </c>
      <c r="AG108" s="10" t="s">
        <v>37</v>
      </c>
      <c r="AH108" s="11">
        <f>IF(OR($C108="",AG108=""),"",IFERROR(IF(AND(IFERROR(--LEFT(AG108,FIND("-",AG108)-1),"")=AW108,IFERROR(--MID(AG108,FIND("-",AG108)+1,99),"")=AX108),10,5*(SIGN((IFERROR(--LEFT(AG108,FIND("-",AG108)-1),""))-(IFERROR(--MID(AG108,FIND("-",AG108)+1,99),"")))=SIGN((AW108)-(AX108)))+2*(((IFERROR(--LEFT(AG108,FIND("-",AG108)-1),""))-(IFERROR(--MID(AG108,FIND("-",AG108)+1,99),"")))=((AW108)-(AX108)))+2*((IFERROR(--LEFT(AG108,FIND("-",AG108)-1),""))=(AW108))+2*((IFERROR(--MID(AG108,FIND("-",AG108)+1,99),""))=(AX108))),""))</f>
        <v>0</v>
      </c>
      <c r="AI108" s="10" t="s">
        <v>39</v>
      </c>
      <c r="AJ108" s="11">
        <f>IF(OR($C108="",AI108=""),"",IFERROR(IF(AND(IFERROR(--LEFT(AI108,FIND("-",AI108)-1),"")=AW108,IFERROR(--MID(AI108,FIND("-",AI108)+1,99),"")=AX108),10,5*(SIGN((IFERROR(--LEFT(AI108,FIND("-",AI108)-1),""))-(IFERROR(--MID(AI108,FIND("-",AI108)+1,99),"")))=SIGN((AW108)-(AX108)))+2*(((IFERROR(--LEFT(AI108,FIND("-",AI108)-1),""))-(IFERROR(--MID(AI108,FIND("-",AI108)+1,99),"")))=((AW108)-(AX108)))+2*((IFERROR(--LEFT(AI108,FIND("-",AI108)-1),""))=(AW108))+2*((IFERROR(--MID(AI108,FIND("-",AI108)+1,99),""))=(AX108))),""))</f>
        <v>5</v>
      </c>
      <c r="AK108" s="10" t="s">
        <v>45</v>
      </c>
      <c r="AL108" s="11">
        <f>IF(OR($C108="",AK108=""),"",IFERROR(IF(AND(IFERROR(--LEFT(AK108,FIND("-",AK108)-1),"")=AW108,IFERROR(--MID(AK108,FIND("-",AK108)+1,99),"")=AX108),10,5*(SIGN((IFERROR(--LEFT(AK108,FIND("-",AK108)-1),""))-(IFERROR(--MID(AK108,FIND("-",AK108)+1,99),"")))=SIGN((AW108)-(AX108)))+2*(((IFERROR(--LEFT(AK108,FIND("-",AK108)-1),""))-(IFERROR(--MID(AK108,FIND("-",AK108)+1,99),"")))=((AW108)-(AX108)))+2*((IFERROR(--LEFT(AK108,FIND("-",AK108)-1),""))=(AW108))+2*((IFERROR(--MID(AK108,FIND("-",AK108)+1,99),""))=(AX108))),""))</f>
        <v>2</v>
      </c>
      <c r="AM108" s="10" t="s">
        <v>36</v>
      </c>
      <c r="AN108" s="11">
        <f>IF(OR($C108="",AM108=""),"",IFERROR(IF(AND(IFERROR(--LEFT(AM108,FIND("-",AM108)-1),"")=AW108,IFERROR(--MID(AM108,FIND("-",AM108)+1,99),"")=AX108),10,5*(SIGN((IFERROR(--LEFT(AM108,FIND("-",AM108)-1),""))-(IFERROR(--MID(AM108,FIND("-",AM108)+1,99),"")))=SIGN((AW108)-(AX108)))+2*(((IFERROR(--LEFT(AM108,FIND("-",AM108)-1),""))-(IFERROR(--MID(AM108,FIND("-",AM108)+1,99),"")))=((AW108)-(AX108)))+2*((IFERROR(--LEFT(AM108,FIND("-",AM108)-1),""))=(AW108))+2*((IFERROR(--MID(AM108,FIND("-",AM108)+1,99),""))=(AX108))),""))</f>
        <v>7</v>
      </c>
      <c r="AO108" s="10" t="s">
        <v>50</v>
      </c>
      <c r="AP108" s="11">
        <f>IF(OR($C108="",AO108=""),"",IFERROR(IF(AND(IFERROR(--LEFT(AO108,FIND("-",AO108)-1),"")=AW108,IFERROR(--MID(AO108,FIND("-",AO108)+1,99),"")=AX108),10,5*(SIGN((IFERROR(--LEFT(AO108,FIND("-",AO108)-1),""))-(IFERROR(--MID(AO108,FIND("-",AO108)+1,99),"")))=SIGN((AW108)-(AX108)))+2*(((IFERROR(--LEFT(AO108,FIND("-",AO108)-1),""))-(IFERROR(--MID(AO108,FIND("-",AO108)+1,99),"")))=((AW108)-(AX108)))+2*((IFERROR(--LEFT(AO108,FIND("-",AO108)-1),""))=(AW108))+2*((IFERROR(--MID(AO108,FIND("-",AO108)+1,99),""))=(AX108))),""))</f>
        <v>0</v>
      </c>
      <c r="AQ108" s="10" t="s">
        <v>37</v>
      </c>
      <c r="AR108" s="11">
        <f t="shared" si="78"/>
        <v>0</v>
      </c>
      <c r="AS108" s="10" t="s">
        <v>35</v>
      </c>
      <c r="AT108" s="11">
        <f t="shared" si="79"/>
        <v>2</v>
      </c>
      <c r="AU108" s="10" t="s">
        <v>35</v>
      </c>
      <c r="AV108" s="11">
        <f>IF(OR($C108="",AU108=""),"",IFERROR(IF(AND(IFERROR(--LEFT(AU108,FIND("-",AU108)-1),"")=AW108,IFERROR(--MID(AU108,FIND("-",AU108)+1,99),"")=AX108),10,5*(SIGN((IFERROR(--LEFT(AU108,FIND("-",AU108)-1),""))-(IFERROR(--MID(AU108,FIND("-",AU108)+1,99),"")))=SIGN((AW108)-(AX108)))+2*(((IFERROR(--LEFT(AU108,FIND("-",AU108)-1),""))-(IFERROR(--MID(AU108,FIND("-",AU108)+1,99),"")))=((AW108)-(AX108)))+2*((IFERROR(--LEFT(AU108,FIND("-",AU108)-1),""))=(AW108))+2*((IFERROR(--MID(AU108,FIND("-",AU108)+1,99),""))=(AX108))),""))</f>
        <v>2</v>
      </c>
      <c r="AW108" s="11">
        <f>IF($C108="","",IFERROR(--LEFT($C108,FIND("-",$C108)-1),""))</f>
        <v>3</v>
      </c>
      <c r="AX108" s="11">
        <f>IF($C108="","",IFERROR(--MID($C108,FIND("-",$C108)+1,99),""))</f>
        <v>1</v>
      </c>
    </row>
    <row r="109" spans="1:50" ht="18" customHeight="1" x14ac:dyDescent="0.3">
      <c r="A109" s="9">
        <v>1.166666666666667</v>
      </c>
      <c r="B109" s="18" t="s">
        <v>96</v>
      </c>
      <c r="C109" s="10" t="s">
        <v>123</v>
      </c>
      <c r="D109" s="1" t="s">
        <v>97</v>
      </c>
      <c r="E109" s="10" t="s">
        <v>35</v>
      </c>
      <c r="F109" s="11">
        <f>IF(OR($C109="",E109=""),"",IFERROR(IF(AND(IFERROR(--LEFT(E109,FIND("-",E109)-1),"")=AW109,IFERROR(--MID(E109,FIND("-",E109)+1,99),"")=AX109),10,5*(SIGN((IFERROR(--LEFT(E109,FIND("-",E109)-1),""))-(IFERROR(--MID(E109,FIND("-",E109)+1,99),"")))=SIGN((AW109)-(AX109)))+2*(((IFERROR(--LEFT(E109,FIND("-",E109)-1),""))-(IFERROR(--MID(E109,FIND("-",E109)+1,99),"")))=((AW109)-(AX109)))+2*((IFERROR(--LEFT(E109,FIND("-",E109)-1),""))=(AW109))+2*((IFERROR(--MID(E109,FIND("-",E109)+1,99),""))=(AX109))),""))</f>
        <v>7</v>
      </c>
      <c r="G109" s="10" t="s">
        <v>56</v>
      </c>
      <c r="H109" s="11">
        <f>IF(OR($C109="",G109=""),"",IFERROR(IF(AND(IFERROR(--LEFT(G109,FIND("-",G109)-1),"")=AW109,IFERROR(--MID(G109,FIND("-",G109)+1,99),"")=AX109),10,5*(SIGN((IFERROR(--LEFT(G109,FIND("-",G109)-1),""))-(IFERROR(--MID(G109,FIND("-",G109)+1,99),"")))=SIGN((AW109)-(AX109)))+2*(((IFERROR(--LEFT(G109,FIND("-",G109)-1),""))-(IFERROR(--MID(G109,FIND("-",G109)+1,99),"")))=((AW109)-(AX109)))+2*((IFERROR(--LEFT(G109,FIND("-",G109)-1),""))=(AW109))+2*((IFERROR(--MID(G109,FIND("-",G109)+1,99),""))=(AX109))),""))</f>
        <v>2</v>
      </c>
      <c r="I109" s="10" t="s">
        <v>45</v>
      </c>
      <c r="J109" s="11">
        <f>IF(OR($C109="",I109=""),"",IFERROR(IF(AND(IFERROR(--LEFT(I109,FIND("-",I109)-1),"")=AW109,IFERROR(--MID(I109,FIND("-",I109)+1,99),"")=AX109),10,5*(SIGN((IFERROR(--LEFT(I109,FIND("-",I109)-1),""))-(IFERROR(--MID(I109,FIND("-",I109)+1,99),"")))=SIGN((AW109)-(AX109)))+2*(((IFERROR(--LEFT(I109,FIND("-",I109)-1),""))-(IFERROR(--MID(I109,FIND("-",I109)+1,99),"")))=((AW109)-(AX109)))+2*((IFERROR(--LEFT(I109,FIND("-",I109)-1),""))=(AW109))+2*((IFERROR(--MID(I109,FIND("-",I109)+1,99),""))=(AX109))),""))</f>
        <v>0</v>
      </c>
      <c r="K109" s="10" t="s">
        <v>45</v>
      </c>
      <c r="L109" s="11">
        <f>IF(OR($C109="",K109=""),"",IFERROR(IF(AND(IFERROR(--LEFT(K109,FIND("-",K109)-1),"")=AW109,IFERROR(--MID(K109,FIND("-",K109)+1,99),"")=AX109),10,5*(SIGN((IFERROR(--LEFT(K109,FIND("-",K109)-1),""))-(IFERROR(--MID(K109,FIND("-",K109)+1,99),"")))=SIGN((AW109)-(AX109)))+2*(((IFERROR(--LEFT(K109,FIND("-",K109)-1),""))-(IFERROR(--MID(K109,FIND("-",K109)+1,99),"")))=((AW109)-(AX109)))+2*((IFERROR(--LEFT(K109,FIND("-",K109)-1),""))=(AW109))+2*((IFERROR(--MID(K109,FIND("-",K109)+1,99),""))=(AX109))),""))</f>
        <v>0</v>
      </c>
      <c r="M109" s="10" t="s">
        <v>33</v>
      </c>
      <c r="N109" s="11">
        <f>IF(OR($C109="",M109=""),"",IFERROR(IF(AND(IFERROR(--LEFT(M109,FIND("-",M109)-1),"")=AW109,IFERROR(--MID(M109,FIND("-",M109)+1,99),"")=AX109),10,5*(SIGN((IFERROR(--LEFT(M109,FIND("-",M109)-1),""))-(IFERROR(--MID(M109,FIND("-",M109)+1,99),"")))=SIGN((AW109)-(AX109)))+2*(((IFERROR(--LEFT(M109,FIND("-",M109)-1),""))-(IFERROR(--MID(M109,FIND("-",M109)+1,99),"")))=((AW109)-(AX109)))+2*((IFERROR(--LEFT(M109,FIND("-",M109)-1),""))=(AW109))+2*((IFERROR(--MID(M109,FIND("-",M109)+1,99),""))=(AX109))),""))</f>
        <v>0</v>
      </c>
      <c r="O109" s="10" t="s">
        <v>37</v>
      </c>
      <c r="P109" s="11">
        <f>IF(OR($C109="",O109=""),"",IFERROR(IF(AND(IFERROR(--LEFT(O109,FIND("-",O109)-1),"")=AW109,IFERROR(--MID(O109,FIND("-",O109)+1,99),"")=AX109),10,5*(SIGN((IFERROR(--LEFT(O109,FIND("-",O109)-1),""))-(IFERROR(--MID(O109,FIND("-",O109)+1,99),"")))=SIGN((AW109)-(AX109)))+2*(((IFERROR(--LEFT(O109,FIND("-",O109)-1),""))-(IFERROR(--MID(O109,FIND("-",O109)+1,99),"")))=((AW109)-(AX109)))+2*((IFERROR(--LEFT(O109,FIND("-",O109)-1),""))=(AW109))+2*((IFERROR(--MID(O109,FIND("-",O109)+1,99),""))=(AX109))),""))</f>
        <v>0</v>
      </c>
      <c r="Q109" s="10" t="s">
        <v>45</v>
      </c>
      <c r="R109" s="11">
        <f>IF(OR($C109="",Q109=""),"",IFERROR(IF(AND(IFERROR(--LEFT(Q109,FIND("-",Q109)-1),"")=AW109,IFERROR(--MID(Q109,FIND("-",Q109)+1,99),"")=AX109),10,5*(SIGN((IFERROR(--LEFT(Q109,FIND("-",Q109)-1),""))-(IFERROR(--MID(Q109,FIND("-",Q109)+1,99),"")))=SIGN((AW109)-(AX109)))+2*(((IFERROR(--LEFT(Q109,FIND("-",Q109)-1),""))-(IFERROR(--MID(Q109,FIND("-",Q109)+1,99),"")))=((AW109)-(AX109)))+2*((IFERROR(--LEFT(Q109,FIND("-",Q109)-1),""))=(AW109))+2*((IFERROR(--MID(Q109,FIND("-",Q109)+1,99),""))=(AX109))),""))</f>
        <v>0</v>
      </c>
      <c r="S109" s="10" t="s">
        <v>49</v>
      </c>
      <c r="T109" s="11">
        <f>IF(OR($C109="",S109=""),"",IFERROR(IF(AND(IFERROR(--LEFT(S109,FIND("-",S109)-1),"")=AW109,IFERROR(--MID(S109,FIND("-",S109)+1,99),"")=AX109),10,5*(SIGN((IFERROR(--LEFT(S109,FIND("-",S109)-1),""))-(IFERROR(--MID(S109,FIND("-",S109)+1,99),"")))=SIGN((AW109)-(AX109)))+2*(((IFERROR(--LEFT(S109,FIND("-",S109)-1),""))-(IFERROR(--MID(S109,FIND("-",S109)+1,99),"")))=((AW109)-(AX109)))+2*((IFERROR(--LEFT(S109,FIND("-",S109)-1),""))=(AW109))+2*((IFERROR(--MID(S109,FIND("-",S109)+1,99),""))=(AX109))),""))</f>
        <v>7</v>
      </c>
      <c r="U109" s="10" t="s">
        <v>35</v>
      </c>
      <c r="V109" s="11">
        <f>IF(OR($C109="",U109=""),"",IFERROR(IF(AND(IFERROR(--LEFT(U109,FIND("-",U109)-1),"")=AW109,IFERROR(--MID(U109,FIND("-",U109)+1,99),"")=AX109),10,5*(SIGN((IFERROR(--LEFT(U109,FIND("-",U109)-1),""))-(IFERROR(--MID(U109,FIND("-",U109)+1,99),"")))=SIGN((AW109)-(AX109)))+2*(((IFERROR(--LEFT(U109,FIND("-",U109)-1),""))-(IFERROR(--MID(U109,FIND("-",U109)+1,99),"")))=((AW109)-(AX109)))+2*((IFERROR(--LEFT(U109,FIND("-",U109)-1),""))=(AW109))+2*((IFERROR(--MID(U109,FIND("-",U109)+1,99),""))=(AX109))),""))</f>
        <v>7</v>
      </c>
      <c r="W109" s="10" t="s">
        <v>35</v>
      </c>
      <c r="X109" s="11">
        <f>IF(OR($C109="",W109=""),"",IFERROR(IF(AND(IFERROR(--LEFT(W109,FIND("-",W109)-1),"")=AW109,IFERROR(--MID(W109,FIND("-",W109)+1,99),"")=AX109),10,5*(SIGN((IFERROR(--LEFT(W109,FIND("-",W109)-1),""))-(IFERROR(--MID(W109,FIND("-",W109)+1,99),"")))=SIGN((AW109)-(AX109)))+2*(((IFERROR(--LEFT(W109,FIND("-",W109)-1),""))-(IFERROR(--MID(W109,FIND("-",W109)+1,99),"")))=((AW109)-(AX109)))+2*((IFERROR(--LEFT(W109,FIND("-",W109)-1),""))=(AW109))+2*((IFERROR(--MID(W109,FIND("-",W109)+1,99),""))=(AX109))),""))</f>
        <v>7</v>
      </c>
      <c r="Y109" s="10" t="s">
        <v>35</v>
      </c>
      <c r="Z109" s="11">
        <f>IF(OR($C109="",Y109=""),"",IFERROR(IF(AND(IFERROR(--LEFT(Y109,FIND("-",Y109)-1),"")=AW109,IFERROR(--MID(Y109,FIND("-",Y109)+1,99),"")=AX109),10,5*(SIGN((IFERROR(--LEFT(Y109,FIND("-",Y109)-1),""))-(IFERROR(--MID(Y109,FIND("-",Y109)+1,99),"")))=SIGN((AW109)-(AX109)))+2*(((IFERROR(--LEFT(Y109,FIND("-",Y109)-1),""))-(IFERROR(--MID(Y109,FIND("-",Y109)+1,99),"")))=((AW109)-(AX109)))+2*((IFERROR(--LEFT(Y109,FIND("-",Y109)-1),""))=(AW109))+2*((IFERROR(--MID(Y109,FIND("-",Y109)+1,99),""))=(AX109))),""))</f>
        <v>7</v>
      </c>
      <c r="AA109" s="10" t="s">
        <v>35</v>
      </c>
      <c r="AB109" s="11">
        <f>IF(OR($C109="",AA109=""),"",IFERROR(IF(AND(IFERROR(--LEFT(AA109,FIND("-",AA109)-1),"")=AW109,IFERROR(--MID(AA109,FIND("-",AA109)+1,99),"")=AX109),10,5*(SIGN((IFERROR(--LEFT(AA109,FIND("-",AA109)-1),""))-(IFERROR(--MID(AA109,FIND("-",AA109)+1,99),"")))=SIGN((AW109)-(AX109)))+2*(((IFERROR(--LEFT(AA109,FIND("-",AA109)-1),""))-(IFERROR(--MID(AA109,FIND("-",AA109)+1,99),"")))=((AW109)-(AX109)))+2*((IFERROR(--LEFT(AA109,FIND("-",AA109)-1),""))=(AW109))+2*((IFERROR(--MID(AA109,FIND("-",AA109)+1,99),""))=(AX109))),""))</f>
        <v>7</v>
      </c>
      <c r="AC109" s="28" t="s">
        <v>61</v>
      </c>
      <c r="AD109" s="11">
        <f>IF(OR($C109="",AC109=""),"",IFERROR(IF(AND(IFERROR(--LEFT(AC109,FIND("-",AC109)-1),"")=AW109,IFERROR(--MID(AC109,FIND("-",AC109)+1,99),"")=AX109),10,5*(SIGN((IFERROR(--LEFT(AC109,FIND("-",AC109)-1),""))-(IFERROR(--MID(AC109,FIND("-",AC109)+1,99),"")))=SIGN((AW109)-(AX109)))+2*(((IFERROR(--LEFT(AC109,FIND("-",AC109)-1),""))-(IFERROR(--MID(AC109,FIND("-",AC109)+1,99),"")))=((AW109)-(AX109)))+2*((IFERROR(--LEFT(AC109,FIND("-",AC109)-1),""))=(AW109))+2*((IFERROR(--MID(AC109,FIND("-",AC109)+1,99),""))=(AX109))),""))</f>
        <v>2</v>
      </c>
      <c r="AE109" s="10" t="s">
        <v>35</v>
      </c>
      <c r="AF109" s="11">
        <f>IF(OR($C109="",AE109=""),"",IFERROR(IF(AND(IFERROR(--LEFT(AE109,FIND("-",AE109)-1),"")=AW109,IFERROR(--MID(AE109,FIND("-",AE109)+1,99),"")=AX109),10,5*(SIGN((IFERROR(--LEFT(AE109,FIND("-",AE109)-1),""))-(IFERROR(--MID(AE109,FIND("-",AE109)+1,99),"")))=SIGN((AW109)-(AX109)))+2*(((IFERROR(--LEFT(AE109,FIND("-",AE109)-1),""))-(IFERROR(--MID(AE109,FIND("-",AE109)+1,99),"")))=((AW109)-(AX109)))+2*((IFERROR(--LEFT(AE109,FIND("-",AE109)-1),""))=(AW109))+2*((IFERROR(--MID(AE109,FIND("-",AE109)+1,99),""))=(AX109))),""))</f>
        <v>7</v>
      </c>
      <c r="AG109" s="10" t="s">
        <v>35</v>
      </c>
      <c r="AH109" s="11">
        <f>IF(OR($C109="",AG109=""),"",IFERROR(IF(AND(IFERROR(--LEFT(AG109,FIND("-",AG109)-1),"")=AW109,IFERROR(--MID(AG109,FIND("-",AG109)+1,99),"")=AX109),10,5*(SIGN((IFERROR(--LEFT(AG109,FIND("-",AG109)-1),""))-(IFERROR(--MID(AG109,FIND("-",AG109)+1,99),"")))=SIGN((AW109)-(AX109)))+2*(((IFERROR(--LEFT(AG109,FIND("-",AG109)-1),""))-(IFERROR(--MID(AG109,FIND("-",AG109)+1,99),"")))=((AW109)-(AX109)))+2*((IFERROR(--LEFT(AG109,FIND("-",AG109)-1),""))=(AW109))+2*((IFERROR(--MID(AG109,FIND("-",AG109)+1,99),""))=(AX109))),""))</f>
        <v>7</v>
      </c>
      <c r="AI109" s="10" t="s">
        <v>45</v>
      </c>
      <c r="AJ109" s="11">
        <f>IF(OR($C109="",AI109=""),"",IFERROR(IF(AND(IFERROR(--LEFT(AI109,FIND("-",AI109)-1),"")=AW109,IFERROR(--MID(AI109,FIND("-",AI109)+1,99),"")=AX109),10,5*(SIGN((IFERROR(--LEFT(AI109,FIND("-",AI109)-1),""))-(IFERROR(--MID(AI109,FIND("-",AI109)+1,99),"")))=SIGN((AW109)-(AX109)))+2*(((IFERROR(--LEFT(AI109,FIND("-",AI109)-1),""))-(IFERROR(--MID(AI109,FIND("-",AI109)+1,99),"")))=((AW109)-(AX109)))+2*((IFERROR(--LEFT(AI109,FIND("-",AI109)-1),""))=(AW109))+2*((IFERROR(--MID(AI109,FIND("-",AI109)+1,99),""))=(AX109))),""))</f>
        <v>0</v>
      </c>
      <c r="AK109" s="10" t="s">
        <v>35</v>
      </c>
      <c r="AL109" s="11">
        <f>IF(OR($C109="",AK109=""),"",IFERROR(IF(AND(IFERROR(--LEFT(AK109,FIND("-",AK109)-1),"")=AW109,IFERROR(--MID(AK109,FIND("-",AK109)+1,99),"")=AX109),10,5*(SIGN((IFERROR(--LEFT(AK109,FIND("-",AK109)-1),""))-(IFERROR(--MID(AK109,FIND("-",AK109)+1,99),"")))=SIGN((AW109)-(AX109)))+2*(((IFERROR(--LEFT(AK109,FIND("-",AK109)-1),""))-(IFERROR(--MID(AK109,FIND("-",AK109)+1,99),"")))=((AW109)-(AX109)))+2*((IFERROR(--LEFT(AK109,FIND("-",AK109)-1),""))=(AW109))+2*((IFERROR(--MID(AK109,FIND("-",AK109)+1,99),""))=(AX109))),""))</f>
        <v>7</v>
      </c>
      <c r="AM109" s="10" t="s">
        <v>45</v>
      </c>
      <c r="AN109" s="11">
        <f>IF(OR($C109="",AM109=""),"",IFERROR(IF(AND(IFERROR(--LEFT(AM109,FIND("-",AM109)-1),"")=AW109,IFERROR(--MID(AM109,FIND("-",AM109)+1,99),"")=AX109),10,5*(SIGN((IFERROR(--LEFT(AM109,FIND("-",AM109)-1),""))-(IFERROR(--MID(AM109,FIND("-",AM109)+1,99),"")))=SIGN((AW109)-(AX109)))+2*(((IFERROR(--LEFT(AM109,FIND("-",AM109)-1),""))-(IFERROR(--MID(AM109,FIND("-",AM109)+1,99),"")))=((AW109)-(AX109)))+2*((IFERROR(--LEFT(AM109,FIND("-",AM109)-1),""))=(AW109))+2*((IFERROR(--MID(AM109,FIND("-",AM109)+1,99),""))=(AX109))),""))</f>
        <v>0</v>
      </c>
      <c r="AO109" s="10" t="s">
        <v>33</v>
      </c>
      <c r="AP109" s="11">
        <f>IF(OR($C109="",AO109=""),"",IFERROR(IF(AND(IFERROR(--LEFT(AO109,FIND("-",AO109)-1),"")=AW109,IFERROR(--MID(AO109,FIND("-",AO109)+1,99),"")=AX109),10,5*(SIGN((IFERROR(--LEFT(AO109,FIND("-",AO109)-1),""))-(IFERROR(--MID(AO109,FIND("-",AO109)+1,99),"")))=SIGN((AW109)-(AX109)))+2*(((IFERROR(--LEFT(AO109,FIND("-",AO109)-1),""))-(IFERROR(--MID(AO109,FIND("-",AO109)+1,99),"")))=((AW109)-(AX109)))+2*((IFERROR(--LEFT(AO109,FIND("-",AO109)-1),""))=(AW109))+2*((IFERROR(--MID(AO109,FIND("-",AO109)+1,99),""))=(AX109))),""))</f>
        <v>0</v>
      </c>
      <c r="AQ109" s="10" t="s">
        <v>33</v>
      </c>
      <c r="AR109" s="11">
        <f t="shared" si="78"/>
        <v>0</v>
      </c>
      <c r="AS109" s="10" t="s">
        <v>50</v>
      </c>
      <c r="AT109" s="11">
        <f t="shared" si="79"/>
        <v>7</v>
      </c>
      <c r="AU109" s="10" t="s">
        <v>37</v>
      </c>
      <c r="AV109" s="11">
        <f>IF(OR($C109="",AU109=""),"",IFERROR(IF(AND(IFERROR(--LEFT(AU109,FIND("-",AU109)-1),"")=AW109,IFERROR(--MID(AU109,FIND("-",AU109)+1,99),"")=AX109),10,5*(SIGN((IFERROR(--LEFT(AU109,FIND("-",AU109)-1),""))-(IFERROR(--MID(AU109,FIND("-",AU109)+1,99),"")))=SIGN((AW109)-(AX109)))+2*(((IFERROR(--LEFT(AU109,FIND("-",AU109)-1),""))-(IFERROR(--MID(AU109,FIND("-",AU109)+1,99),"")))=((AW109)-(AX109)))+2*((IFERROR(--LEFT(AU109,FIND("-",AU109)-1),""))=(AW109))+2*((IFERROR(--MID(AU109,FIND("-",AU109)+1,99),""))=(AX109))),""))</f>
        <v>0</v>
      </c>
      <c r="AW109" s="11">
        <f>IF($C109="","",IFERROR(--LEFT($C109,FIND("-",$C109)-1),""))</f>
        <v>3</v>
      </c>
      <c r="AX109" s="11">
        <f>IF($C109="","",IFERROR(--MID($C109,FIND("-",$C109)+1,99),""))</f>
        <v>3</v>
      </c>
    </row>
    <row r="110" spans="1:50" ht="18" customHeight="1" x14ac:dyDescent="0.3">
      <c r="A110" s="9">
        <v>1.166666666666667</v>
      </c>
      <c r="B110" s="18" t="s">
        <v>98</v>
      </c>
      <c r="C110" s="10" t="s">
        <v>57</v>
      </c>
      <c r="D110" s="1" t="s">
        <v>95</v>
      </c>
      <c r="E110" s="10" t="s">
        <v>66</v>
      </c>
      <c r="F110" s="11">
        <f>IF(OR($C110="",E110=""),"",IFERROR(IF(AND(IFERROR(--LEFT(E110,FIND("-",E110)-1),"")=AW110,IFERROR(--MID(E110,FIND("-",E110)+1,99),"")=AX110),10,5*(SIGN((IFERROR(--LEFT(E110,FIND("-",E110)-1),""))-(IFERROR(--MID(E110,FIND("-",E110)+1,99),"")))=SIGN((AW110)-(AX110)))+2*(((IFERROR(--LEFT(E110,FIND("-",E110)-1),""))-(IFERROR(--MID(E110,FIND("-",E110)+1,99),"")))=((AW110)-(AX110)))+2*((IFERROR(--LEFT(E110,FIND("-",E110)-1),""))=(AW110))+2*((IFERROR(--MID(E110,FIND("-",E110)+1,99),""))=(AX110))),""))</f>
        <v>5</v>
      </c>
      <c r="G110" s="10" t="s">
        <v>127</v>
      </c>
      <c r="H110" s="11">
        <f>IF(OR($C110="",G110=""),"",IFERROR(IF(AND(IFERROR(--LEFT(G110,FIND("-",G110)-1),"")=AW110,IFERROR(--MID(G110,FIND("-",G110)+1,99),"")=AX110),10,5*(SIGN((IFERROR(--LEFT(G110,FIND("-",G110)-1),""))-(IFERROR(--MID(G110,FIND("-",G110)+1,99),"")))=SIGN((AW110)-(AX110)))+2*(((IFERROR(--LEFT(G110,FIND("-",G110)-1),""))-(IFERROR(--MID(G110,FIND("-",G110)+1,99),"")))=((AW110)-(AX110)))+2*((IFERROR(--LEFT(G110,FIND("-",G110)-1),""))=(AW110))+2*((IFERROR(--MID(G110,FIND("-",G110)+1,99),""))=(AX110))),""))</f>
        <v>5</v>
      </c>
      <c r="I110" s="10" t="s">
        <v>48</v>
      </c>
      <c r="J110" s="11">
        <f>IF(OR($C110="",I110=""),"",IFERROR(IF(AND(IFERROR(--LEFT(I110,FIND("-",I110)-1),"")=AW110,IFERROR(--MID(I110,FIND("-",I110)+1,99),"")=AX110),10,5*(SIGN((IFERROR(--LEFT(I110,FIND("-",I110)-1),""))-(IFERROR(--MID(I110,FIND("-",I110)+1,99),"")))=SIGN((AW110)-(AX110)))+2*(((IFERROR(--LEFT(I110,FIND("-",I110)-1),""))-(IFERROR(--MID(I110,FIND("-",I110)+1,99),"")))=((AW110)-(AX110)))+2*((IFERROR(--LEFT(I110,FIND("-",I110)-1),""))=(AW110))+2*((IFERROR(--MID(I110,FIND("-",I110)+1,99),""))=(AX110))),""))</f>
        <v>7</v>
      </c>
      <c r="K110" s="10" t="s">
        <v>48</v>
      </c>
      <c r="L110" s="11">
        <f>IF(OR($C110="",K110=""),"",IFERROR(IF(AND(IFERROR(--LEFT(K110,FIND("-",K110)-1),"")=AW110,IFERROR(--MID(K110,FIND("-",K110)+1,99),"")=AX110),10,5*(SIGN((IFERROR(--LEFT(K110,FIND("-",K110)-1),""))-(IFERROR(--MID(K110,FIND("-",K110)+1,99),"")))=SIGN((AW110)-(AX110)))+2*(((IFERROR(--LEFT(K110,FIND("-",K110)-1),""))-(IFERROR(--MID(K110,FIND("-",K110)+1,99),"")))=((AW110)-(AX110)))+2*((IFERROR(--LEFT(K110,FIND("-",K110)-1),""))=(AW110))+2*((IFERROR(--MID(K110,FIND("-",K110)+1,99),""))=(AX110))),""))</f>
        <v>7</v>
      </c>
      <c r="M110" s="10" t="s">
        <v>57</v>
      </c>
      <c r="N110" s="11">
        <f>IF(OR($C110="",M110=""),"",IFERROR(IF(AND(IFERROR(--LEFT(M110,FIND("-",M110)-1),"")=AW110,IFERROR(--MID(M110,FIND("-",M110)+1,99),"")=AX110),10,5*(SIGN((IFERROR(--LEFT(M110,FIND("-",M110)-1),""))-(IFERROR(--MID(M110,FIND("-",M110)+1,99),"")))=SIGN((AW110)-(AX110)))+2*(((IFERROR(--LEFT(M110,FIND("-",M110)-1),""))-(IFERROR(--MID(M110,FIND("-",M110)+1,99),"")))=((AW110)-(AX110)))+2*((IFERROR(--LEFT(M110,FIND("-",M110)-1),""))=(AW110))+2*((IFERROR(--MID(M110,FIND("-",M110)+1,99),""))=(AX110))),""))</f>
        <v>10</v>
      </c>
      <c r="O110" s="10" t="s">
        <v>48</v>
      </c>
      <c r="P110" s="11">
        <f>IF(OR($C110="",O110=""),"",IFERROR(IF(AND(IFERROR(--LEFT(O110,FIND("-",O110)-1),"")=AW110,IFERROR(--MID(O110,FIND("-",O110)+1,99),"")=AX110),10,5*(SIGN((IFERROR(--LEFT(O110,FIND("-",O110)-1),""))-(IFERROR(--MID(O110,FIND("-",O110)+1,99),"")))=SIGN((AW110)-(AX110)))+2*(((IFERROR(--LEFT(O110,FIND("-",O110)-1),""))-(IFERROR(--MID(O110,FIND("-",O110)+1,99),"")))=((AW110)-(AX110)))+2*((IFERROR(--LEFT(O110,FIND("-",O110)-1),""))=(AW110))+2*((IFERROR(--MID(O110,FIND("-",O110)+1,99),""))=(AX110))),""))</f>
        <v>7</v>
      </c>
      <c r="Q110" s="10" t="s">
        <v>48</v>
      </c>
      <c r="R110" s="11">
        <f>IF(OR($C110="",Q110=""),"",IFERROR(IF(AND(IFERROR(--LEFT(Q110,FIND("-",Q110)-1),"")=AW110,IFERROR(--MID(Q110,FIND("-",Q110)+1,99),"")=AX110),10,5*(SIGN((IFERROR(--LEFT(Q110,FIND("-",Q110)-1),""))-(IFERROR(--MID(Q110,FIND("-",Q110)+1,99),"")))=SIGN((AW110)-(AX110)))+2*(((IFERROR(--LEFT(Q110,FIND("-",Q110)-1),""))-(IFERROR(--MID(Q110,FIND("-",Q110)+1,99),"")))=((AW110)-(AX110)))+2*((IFERROR(--LEFT(Q110,FIND("-",Q110)-1),""))=(AW110))+2*((IFERROR(--MID(Q110,FIND("-",Q110)+1,99),""))=(AX110))),""))</f>
        <v>7</v>
      </c>
      <c r="S110" s="10" t="s">
        <v>115</v>
      </c>
      <c r="T110" s="11">
        <f>IF(OR($C110="",S110=""),"",IFERROR(IF(AND(IFERROR(--LEFT(S110,FIND("-",S110)-1),"")=AW110,IFERROR(--MID(S110,FIND("-",S110)+1,99),"")=AX110),10,5*(SIGN((IFERROR(--LEFT(S110,FIND("-",S110)-1),""))-(IFERROR(--MID(S110,FIND("-",S110)+1,99),"")))=SIGN((AW110)-(AX110)))+2*(((IFERROR(--LEFT(S110,FIND("-",S110)-1),""))-(IFERROR(--MID(S110,FIND("-",S110)+1,99),"")))=((AW110)-(AX110)))+2*((IFERROR(--LEFT(S110,FIND("-",S110)-1),""))=(AW110))+2*((IFERROR(--MID(S110,FIND("-",S110)+1,99),""))=(AX110))),""))</f>
        <v>7</v>
      </c>
      <c r="U110" s="10" t="s">
        <v>56</v>
      </c>
      <c r="V110" s="11">
        <f>IF(OR($C110="",U110=""),"",IFERROR(IF(AND(IFERROR(--LEFT(U110,FIND("-",U110)-1),"")=AW110,IFERROR(--MID(U110,FIND("-",U110)+1,99),"")=AX110),10,5*(SIGN((IFERROR(--LEFT(U110,FIND("-",U110)-1),""))-(IFERROR(--MID(U110,FIND("-",U110)+1,99),"")))=SIGN((AW110)-(AX110)))+2*(((IFERROR(--LEFT(U110,FIND("-",U110)-1),""))-(IFERROR(--MID(U110,FIND("-",U110)+1,99),"")))=((AW110)-(AX110)))+2*((IFERROR(--LEFT(U110,FIND("-",U110)-1),""))=(AW110))+2*((IFERROR(--MID(U110,FIND("-",U110)+1,99),""))=(AX110))),""))</f>
        <v>7</v>
      </c>
      <c r="W110" s="10" t="s">
        <v>56</v>
      </c>
      <c r="X110" s="11">
        <f>IF(OR($C110="",W110=""),"",IFERROR(IF(AND(IFERROR(--LEFT(W110,FIND("-",W110)-1),"")=AW110,IFERROR(--MID(W110,FIND("-",W110)+1,99),"")=AX110),10,5*(SIGN((IFERROR(--LEFT(W110,FIND("-",W110)-1),""))-(IFERROR(--MID(W110,FIND("-",W110)+1,99),"")))=SIGN((AW110)-(AX110)))+2*(((IFERROR(--LEFT(W110,FIND("-",W110)-1),""))-(IFERROR(--MID(W110,FIND("-",W110)+1,99),"")))=((AW110)-(AX110)))+2*((IFERROR(--LEFT(W110,FIND("-",W110)-1),""))=(AW110))+2*((IFERROR(--MID(W110,FIND("-",W110)+1,99),""))=(AX110))),""))</f>
        <v>7</v>
      </c>
      <c r="Y110" s="10" t="s">
        <v>56</v>
      </c>
      <c r="Z110" s="11">
        <f>IF(OR($C110="",Y110=""),"",IFERROR(IF(AND(IFERROR(--LEFT(Y110,FIND("-",Y110)-1),"")=AW110,IFERROR(--MID(Y110,FIND("-",Y110)+1,99),"")=AX110),10,5*(SIGN((IFERROR(--LEFT(Y110,FIND("-",Y110)-1),""))-(IFERROR(--MID(Y110,FIND("-",Y110)+1,99),"")))=SIGN((AW110)-(AX110)))+2*(((IFERROR(--LEFT(Y110,FIND("-",Y110)-1),""))-(IFERROR(--MID(Y110,FIND("-",Y110)+1,99),"")))=((AW110)-(AX110)))+2*((IFERROR(--LEFT(Y110,FIND("-",Y110)-1),""))=(AW110))+2*((IFERROR(--MID(Y110,FIND("-",Y110)+1,99),""))=(AX110))),""))</f>
        <v>7</v>
      </c>
      <c r="AA110" s="10" t="s">
        <v>66</v>
      </c>
      <c r="AB110" s="11">
        <f>IF(OR($C110="",AA110=""),"",IFERROR(IF(AND(IFERROR(--LEFT(AA110,FIND("-",AA110)-1),"")=AW110,IFERROR(--MID(AA110,FIND("-",AA110)+1,99),"")=AX110),10,5*(SIGN((IFERROR(--LEFT(AA110,FIND("-",AA110)-1),""))-(IFERROR(--MID(AA110,FIND("-",AA110)+1,99),"")))=SIGN((AW110)-(AX110)))+2*(((IFERROR(--LEFT(AA110,FIND("-",AA110)-1),""))-(IFERROR(--MID(AA110,FIND("-",AA110)+1,99),"")))=((AW110)-(AX110)))+2*((IFERROR(--LEFT(AA110,FIND("-",AA110)-1),""))=(AW110))+2*((IFERROR(--MID(AA110,FIND("-",AA110)+1,99),""))=(AX110))),""))</f>
        <v>5</v>
      </c>
      <c r="AC110" s="28" t="s">
        <v>45</v>
      </c>
      <c r="AD110" s="11">
        <f>IF(OR($C110="",AC110=""),"",IFERROR(IF(AND(IFERROR(--LEFT(AC110,FIND("-",AC110)-1),"")=AW110,IFERROR(--MID(AC110,FIND("-",AC110)+1,99),"")=AX110),10,5*(SIGN((IFERROR(--LEFT(AC110,FIND("-",AC110)-1),""))-(IFERROR(--MID(AC110,FIND("-",AC110)+1,99),"")))=SIGN((AW110)-(AX110)))+2*(((IFERROR(--LEFT(AC110,FIND("-",AC110)-1),""))-(IFERROR(--MID(AC110,FIND("-",AC110)+1,99),"")))=((AW110)-(AX110)))+2*((IFERROR(--LEFT(AC110,FIND("-",AC110)-1),""))=(AW110))+2*((IFERROR(--MID(AC110,FIND("-",AC110)+1,99),""))=(AX110))),""))</f>
        <v>5</v>
      </c>
      <c r="AE110" s="10" t="s">
        <v>56</v>
      </c>
      <c r="AF110" s="11">
        <f>IF(OR($C110="",AE110=""),"",IFERROR(IF(AND(IFERROR(--LEFT(AE110,FIND("-",AE110)-1),"")=AW110,IFERROR(--MID(AE110,FIND("-",AE110)+1,99),"")=AX110),10,5*(SIGN((IFERROR(--LEFT(AE110,FIND("-",AE110)-1),""))-(IFERROR(--MID(AE110,FIND("-",AE110)+1,99),"")))=SIGN((AW110)-(AX110)))+2*(((IFERROR(--LEFT(AE110,FIND("-",AE110)-1),""))-(IFERROR(--MID(AE110,FIND("-",AE110)+1,99),"")))=((AW110)-(AX110)))+2*((IFERROR(--LEFT(AE110,FIND("-",AE110)-1),""))=(AW110))+2*((IFERROR(--MID(AE110,FIND("-",AE110)+1,99),""))=(AX110))),""))</f>
        <v>7</v>
      </c>
      <c r="AG110" s="10" t="s">
        <v>48</v>
      </c>
      <c r="AH110" s="11">
        <f>IF(OR($C110="",AG110=""),"",IFERROR(IF(AND(IFERROR(--LEFT(AG110,FIND("-",AG110)-1),"")=AW110,IFERROR(--MID(AG110,FIND("-",AG110)+1,99),"")=AX110),10,5*(SIGN((IFERROR(--LEFT(AG110,FIND("-",AG110)-1),""))-(IFERROR(--MID(AG110,FIND("-",AG110)+1,99),"")))=SIGN((AW110)-(AX110)))+2*(((IFERROR(--LEFT(AG110,FIND("-",AG110)-1),""))-(IFERROR(--MID(AG110,FIND("-",AG110)+1,99),"")))=((AW110)-(AX110)))+2*((IFERROR(--LEFT(AG110,FIND("-",AG110)-1),""))=(AW110))+2*((IFERROR(--MID(AG110,FIND("-",AG110)+1,99),""))=(AX110))),""))</f>
        <v>7</v>
      </c>
      <c r="AI110" s="10" t="s">
        <v>66</v>
      </c>
      <c r="AJ110" s="11">
        <f>IF(OR($C110="",AI110=""),"",IFERROR(IF(AND(IFERROR(--LEFT(AI110,FIND("-",AI110)-1),"")=AW110,IFERROR(--MID(AI110,FIND("-",AI110)+1,99),"")=AX110),10,5*(SIGN((IFERROR(--LEFT(AI110,FIND("-",AI110)-1),""))-(IFERROR(--MID(AI110,FIND("-",AI110)+1,99),"")))=SIGN((AW110)-(AX110)))+2*(((IFERROR(--LEFT(AI110,FIND("-",AI110)-1),""))-(IFERROR(--MID(AI110,FIND("-",AI110)+1,99),"")))=((AW110)-(AX110)))+2*((IFERROR(--LEFT(AI110,FIND("-",AI110)-1),""))=(AW110))+2*((IFERROR(--MID(AI110,FIND("-",AI110)+1,99),""))=(AX110))),""))</f>
        <v>5</v>
      </c>
      <c r="AK110" s="10" t="s">
        <v>48</v>
      </c>
      <c r="AL110" s="11">
        <f>IF(OR($C110="",AK110=""),"",IFERROR(IF(AND(IFERROR(--LEFT(AK110,FIND("-",AK110)-1),"")=AW110,IFERROR(--MID(AK110,FIND("-",AK110)+1,99),"")=AX110),10,5*(SIGN((IFERROR(--LEFT(AK110,FIND("-",AK110)-1),""))-(IFERROR(--MID(AK110,FIND("-",AK110)+1,99),"")))=SIGN((AW110)-(AX110)))+2*(((IFERROR(--LEFT(AK110,FIND("-",AK110)-1),""))-(IFERROR(--MID(AK110,FIND("-",AK110)+1,99),"")))=((AW110)-(AX110)))+2*((IFERROR(--LEFT(AK110,FIND("-",AK110)-1),""))=(AW110))+2*((IFERROR(--MID(AK110,FIND("-",AK110)+1,99),""))=(AX110))),""))</f>
        <v>7</v>
      </c>
      <c r="AM110" s="10" t="s">
        <v>48</v>
      </c>
      <c r="AN110" s="11">
        <f>IF(OR($C110="",AM110=""),"",IFERROR(IF(AND(IFERROR(--LEFT(AM110,FIND("-",AM110)-1),"")=AW110,IFERROR(--MID(AM110,FIND("-",AM110)+1,99),"")=AX110),10,5*(SIGN((IFERROR(--LEFT(AM110,FIND("-",AM110)-1),""))-(IFERROR(--MID(AM110,FIND("-",AM110)+1,99),"")))=SIGN((AW110)-(AX110)))+2*(((IFERROR(--LEFT(AM110,FIND("-",AM110)-1),""))-(IFERROR(--MID(AM110,FIND("-",AM110)+1,99),"")))=((AW110)-(AX110)))+2*((IFERROR(--LEFT(AM110,FIND("-",AM110)-1),""))=(AW110))+2*((IFERROR(--MID(AM110,FIND("-",AM110)+1,99),""))=(AX110))),""))</f>
        <v>7</v>
      </c>
      <c r="AO110" s="10" t="s">
        <v>56</v>
      </c>
      <c r="AP110" s="11">
        <f>IF(OR($C110="",AO110=""),"",IFERROR(IF(AND(IFERROR(--LEFT(AO110,FIND("-",AO110)-1),"")=AW110,IFERROR(--MID(AO110,FIND("-",AO110)+1,99),"")=AX110),10,5*(SIGN((IFERROR(--LEFT(AO110,FIND("-",AO110)-1),""))-(IFERROR(--MID(AO110,FIND("-",AO110)+1,99),"")))=SIGN((AW110)-(AX110)))+2*(((IFERROR(--LEFT(AO110,FIND("-",AO110)-1),""))-(IFERROR(--MID(AO110,FIND("-",AO110)+1,99),"")))=((AW110)-(AX110)))+2*((IFERROR(--LEFT(AO110,FIND("-",AO110)-1),""))=(AW110))+2*((IFERROR(--MID(AO110,FIND("-",AO110)+1,99),""))=(AX110))),""))</f>
        <v>7</v>
      </c>
      <c r="AQ110" s="10" t="s">
        <v>56</v>
      </c>
      <c r="AR110" s="11">
        <f t="shared" si="78"/>
        <v>7</v>
      </c>
      <c r="AS110" s="10" t="s">
        <v>45</v>
      </c>
      <c r="AT110" s="11">
        <f t="shared" si="79"/>
        <v>5</v>
      </c>
      <c r="AU110" s="10" t="s">
        <v>115</v>
      </c>
      <c r="AV110" s="11">
        <f>IF(OR($C110="",AU110=""),"",IFERROR(IF(AND(IFERROR(--LEFT(AU110,FIND("-",AU110)-1),"")=AW110,IFERROR(--MID(AU110,FIND("-",AU110)+1,99),"")=AX110),10,5*(SIGN((IFERROR(--LEFT(AU110,FIND("-",AU110)-1),""))-(IFERROR(--MID(AU110,FIND("-",AU110)+1,99),"")))=SIGN((AW110)-(AX110)))+2*(((IFERROR(--LEFT(AU110,FIND("-",AU110)-1),""))-(IFERROR(--MID(AU110,FIND("-",AU110)+1,99),"")))=((AW110)-(AX110)))+2*((IFERROR(--LEFT(AU110,FIND("-",AU110)-1),""))=(AW110))+2*((IFERROR(--MID(AU110,FIND("-",AU110)+1,99),""))=(AX110))),""))</f>
        <v>7</v>
      </c>
      <c r="AW110" s="11">
        <f>IF($C110="","",IFERROR(--LEFT($C110,FIND("-",$C110)-1),""))</f>
        <v>1</v>
      </c>
      <c r="AX110" s="11">
        <f>IF($C110="","",IFERROR(--MID($C110,FIND("-",$C110)+1,99),""))</f>
        <v>3</v>
      </c>
    </row>
    <row r="111" spans="1:50" ht="18" customHeight="1" x14ac:dyDescent="0.3">
      <c r="A111" s="12"/>
      <c r="B111" s="18"/>
      <c r="C111" s="13"/>
      <c r="D111" s="1"/>
      <c r="E111" s="22"/>
      <c r="F111" s="12"/>
      <c r="G111" s="22"/>
      <c r="H111" s="12"/>
      <c r="I111" s="22"/>
      <c r="J111" s="12"/>
      <c r="K111" s="22"/>
      <c r="L111" s="12"/>
      <c r="M111" s="22"/>
      <c r="N111" s="12"/>
      <c r="O111" s="22"/>
      <c r="P111" s="12"/>
      <c r="Q111" s="22"/>
      <c r="R111" s="12"/>
      <c r="S111" s="22"/>
      <c r="T111" s="12"/>
      <c r="U111" s="13"/>
      <c r="V111" s="12"/>
      <c r="W111" s="22"/>
      <c r="X111" s="12"/>
      <c r="Y111" s="22"/>
      <c r="Z111" s="12"/>
      <c r="AA111" s="22"/>
      <c r="AB111" s="12"/>
      <c r="AC111" s="22"/>
      <c r="AD111" s="12"/>
      <c r="AE111" s="22"/>
      <c r="AF111" s="12"/>
      <c r="AG111" s="22"/>
      <c r="AH111" s="12"/>
      <c r="AI111" s="22"/>
      <c r="AJ111" s="12"/>
      <c r="AK111" s="22"/>
      <c r="AL111" s="12"/>
      <c r="AM111" s="22"/>
      <c r="AN111" s="12"/>
      <c r="AO111" s="22"/>
      <c r="AP111" s="12"/>
      <c r="AQ111" s="22"/>
      <c r="AR111" s="12" t="str">
        <f t="shared" si="78"/>
        <v/>
      </c>
      <c r="AS111" s="22"/>
      <c r="AT111" s="12" t="str">
        <f t="shared" si="79"/>
        <v/>
      </c>
      <c r="AU111" s="22"/>
      <c r="AV111" s="12"/>
      <c r="AW111" s="12"/>
      <c r="AX111" s="12"/>
    </row>
    <row r="112" spans="1:50" ht="18" customHeight="1" x14ac:dyDescent="0.3">
      <c r="A112" s="12"/>
      <c r="B112" s="18"/>
      <c r="C112" s="13"/>
      <c r="D112" s="1"/>
      <c r="E112" s="22"/>
      <c r="F112" s="12"/>
      <c r="G112" s="22"/>
      <c r="H112" s="12"/>
      <c r="I112" s="22"/>
      <c r="J112" s="12"/>
      <c r="K112" s="22"/>
      <c r="L112" s="12"/>
      <c r="M112" s="22"/>
      <c r="N112" s="12"/>
      <c r="O112" s="22"/>
      <c r="P112" s="12"/>
      <c r="Q112" s="22"/>
      <c r="R112" s="12"/>
      <c r="S112" s="22"/>
      <c r="T112" s="12"/>
      <c r="U112" s="13"/>
      <c r="V112" s="12"/>
      <c r="W112" s="22"/>
      <c r="X112" s="12"/>
      <c r="Y112" s="22"/>
      <c r="Z112" s="12"/>
      <c r="AA112" s="22"/>
      <c r="AB112" s="12"/>
      <c r="AC112" s="22"/>
      <c r="AD112" s="12"/>
      <c r="AE112" s="22"/>
      <c r="AF112" s="12"/>
      <c r="AG112" s="22"/>
      <c r="AH112" s="12"/>
      <c r="AI112" s="22"/>
      <c r="AJ112" s="12"/>
      <c r="AK112" s="22"/>
      <c r="AL112" s="12"/>
      <c r="AM112" s="22"/>
      <c r="AN112" s="12"/>
      <c r="AO112" s="22"/>
      <c r="AP112" s="12"/>
      <c r="AQ112" s="22"/>
      <c r="AR112" s="12" t="str">
        <f t="shared" si="78"/>
        <v/>
      </c>
      <c r="AS112" s="22"/>
      <c r="AT112" s="12" t="str">
        <f t="shared" si="79"/>
        <v/>
      </c>
      <c r="AU112" s="22"/>
      <c r="AV112" s="12"/>
      <c r="AW112" s="12"/>
      <c r="AX112" s="12"/>
    </row>
    <row r="113" spans="1:50" ht="20.100000000000001" customHeight="1" x14ac:dyDescent="0.3">
      <c r="A113" s="41" t="s">
        <v>128</v>
      </c>
      <c r="B113" s="37"/>
      <c r="C113" s="38"/>
      <c r="D113" s="37"/>
      <c r="E113" s="38"/>
      <c r="F113" s="37"/>
      <c r="G113" s="38"/>
      <c r="H113" s="37"/>
      <c r="I113" s="38"/>
      <c r="J113" s="37"/>
      <c r="K113" s="38"/>
      <c r="L113" s="37"/>
      <c r="M113" s="38"/>
      <c r="N113" s="37"/>
      <c r="O113" s="38"/>
      <c r="P113" s="37"/>
      <c r="Q113" s="38"/>
      <c r="R113" s="37"/>
      <c r="S113" s="38"/>
      <c r="T113" s="37"/>
      <c r="U113" s="38"/>
      <c r="V113" s="37"/>
      <c r="W113" s="38"/>
      <c r="X113" s="37"/>
      <c r="Y113" s="38"/>
      <c r="Z113" s="37"/>
      <c r="AA113" s="38"/>
      <c r="AB113" s="37"/>
      <c r="AC113" s="38"/>
      <c r="AD113" s="37"/>
      <c r="AE113" s="38"/>
      <c r="AF113" s="37"/>
      <c r="AG113" s="38"/>
      <c r="AH113" s="37"/>
      <c r="AI113" s="38"/>
      <c r="AJ113" s="37"/>
      <c r="AK113" s="38"/>
      <c r="AL113" s="37"/>
      <c r="AM113" s="38"/>
      <c r="AN113" s="37"/>
      <c r="AO113" s="38"/>
      <c r="AP113" s="37"/>
      <c r="AQ113" s="37"/>
      <c r="AR113" s="37"/>
      <c r="AS113" s="37"/>
      <c r="AT113" s="37"/>
      <c r="AU113" s="38"/>
      <c r="AV113" s="39"/>
      <c r="AW113" s="7"/>
      <c r="AX113" s="7"/>
    </row>
    <row r="114" spans="1:50" ht="20.100000000000001" customHeight="1" x14ac:dyDescent="0.3">
      <c r="A114" s="36" t="s">
        <v>126</v>
      </c>
      <c r="B114" s="37"/>
      <c r="C114" s="38"/>
      <c r="D114" s="37"/>
      <c r="E114" s="38"/>
      <c r="F114" s="37"/>
      <c r="G114" s="38"/>
      <c r="H114" s="37"/>
      <c r="I114" s="38"/>
      <c r="J114" s="37"/>
      <c r="K114" s="38"/>
      <c r="L114" s="37"/>
      <c r="M114" s="38"/>
      <c r="N114" s="37"/>
      <c r="O114" s="38"/>
      <c r="P114" s="37"/>
      <c r="Q114" s="38"/>
      <c r="R114" s="37"/>
      <c r="S114" s="38"/>
      <c r="T114" s="37"/>
      <c r="U114" s="38"/>
      <c r="V114" s="37"/>
      <c r="W114" s="38"/>
      <c r="X114" s="37"/>
      <c r="Y114" s="38"/>
      <c r="Z114" s="37"/>
      <c r="AA114" s="38"/>
      <c r="AB114" s="37"/>
      <c r="AC114" s="38"/>
      <c r="AD114" s="37"/>
      <c r="AE114" s="38"/>
      <c r="AF114" s="37"/>
      <c r="AG114" s="38"/>
      <c r="AH114" s="37"/>
      <c r="AI114" s="38"/>
      <c r="AJ114" s="37"/>
      <c r="AK114" s="38"/>
      <c r="AL114" s="37"/>
      <c r="AM114" s="38"/>
      <c r="AN114" s="37"/>
      <c r="AO114" s="38"/>
      <c r="AP114" s="37"/>
      <c r="AQ114" s="37"/>
      <c r="AR114" s="37"/>
      <c r="AS114" s="37"/>
      <c r="AT114" s="37"/>
      <c r="AU114" s="38"/>
      <c r="AV114" s="39"/>
      <c r="AW114" s="8"/>
      <c r="AX114" s="8"/>
    </row>
    <row r="115" spans="1:50" ht="18" customHeight="1" x14ac:dyDescent="0.3">
      <c r="A115" s="9">
        <v>1.875</v>
      </c>
      <c r="B115" s="18" t="s">
        <v>32</v>
      </c>
      <c r="C115" s="10" t="s">
        <v>45</v>
      </c>
      <c r="D115" s="1" t="s">
        <v>46</v>
      </c>
      <c r="E115" s="10" t="s">
        <v>45</v>
      </c>
      <c r="F115" s="11">
        <f>IF(OR($C115="",E115=""),"",IFERROR(IF(AND(IFERROR(--LEFT(E115,FIND("-",E115)-1),"")=AW115,IFERROR(--MID(E115,FIND("-",E115)+1,99),"")=AX115),10,5*(SIGN((IFERROR(--LEFT(E115,FIND("-",E115)-1),""))-(IFERROR(--MID(E115,FIND("-",E115)+1,99),"")))=SIGN((AW115)-(AX115)))+2*(((IFERROR(--LEFT(E115,FIND("-",E115)-1),""))-(IFERROR(--MID(E115,FIND("-",E115)+1,99),"")))=((AW115)-(AX115)))+2*((IFERROR(--LEFT(E115,FIND("-",E115)-1),""))=(AW115))+2*((IFERROR(--MID(E115,FIND("-",E115)+1,99),""))=(AX115))),""))</f>
        <v>10</v>
      </c>
      <c r="G115" s="10" t="s">
        <v>45</v>
      </c>
      <c r="H115" s="11">
        <f>IF(OR($C115="",G115=""),"",IFERROR(IF(AND(IFERROR(--LEFT(G115,FIND("-",G115)-1),"")=AW115,IFERROR(--MID(G115,FIND("-",G115)+1,99),"")=AX115),10,5*(SIGN((IFERROR(--LEFT(G115,FIND("-",G115)-1),""))-(IFERROR(--MID(G115,FIND("-",G115)+1,99),"")))=SIGN((AW115)-(AX115)))+2*(((IFERROR(--LEFT(G115,FIND("-",G115)-1),""))-(IFERROR(--MID(G115,FIND("-",G115)+1,99),"")))=((AW115)-(AX115)))+2*((IFERROR(--LEFT(G115,FIND("-",G115)-1),""))=(AW115))+2*((IFERROR(--MID(G115,FIND("-",G115)+1,99),""))=(AX115))),""))</f>
        <v>10</v>
      </c>
      <c r="I115" s="10" t="s">
        <v>37</v>
      </c>
      <c r="J115" s="11">
        <f>IF(OR($C115="",I115=""),"",IFERROR(IF(AND(IFERROR(--LEFT(I115,FIND("-",I115)-1),"")=AW115,IFERROR(--MID(I115,FIND("-",I115)+1,99),"")=AX115),10,5*(SIGN((IFERROR(--LEFT(I115,FIND("-",I115)-1),""))-(IFERROR(--MID(I115,FIND("-",I115)+1,99),"")))=SIGN((AW115)-(AX115)))+2*(((IFERROR(--LEFT(I115,FIND("-",I115)-1),""))-(IFERROR(--MID(I115,FIND("-",I115)+1,99),"")))=((AW115)-(AX115)))+2*((IFERROR(--LEFT(I115,FIND("-",I115)-1),""))=(AW115))+2*((IFERROR(--MID(I115,FIND("-",I115)+1,99),""))=(AX115))),""))</f>
        <v>7</v>
      </c>
      <c r="K115" s="10" t="s">
        <v>45</v>
      </c>
      <c r="L115" s="11">
        <f>IF(OR($C115="",K115=""),"",IFERROR(IF(AND(IFERROR(--LEFT(K115,FIND("-",K115)-1),"")=AW115,IFERROR(--MID(K115,FIND("-",K115)+1,99),"")=AX115),10,5*(SIGN((IFERROR(--LEFT(K115,FIND("-",K115)-1),""))-(IFERROR(--MID(K115,FIND("-",K115)+1,99),"")))=SIGN((AW115)-(AX115)))+2*(((IFERROR(--LEFT(K115,FIND("-",K115)-1),""))-(IFERROR(--MID(K115,FIND("-",K115)+1,99),"")))=((AW115)-(AX115)))+2*((IFERROR(--LEFT(K115,FIND("-",K115)-1),""))=(AW115))+2*((IFERROR(--MID(K115,FIND("-",K115)+1,99),""))=(AX115))),""))</f>
        <v>10</v>
      </c>
      <c r="M115" s="10" t="s">
        <v>50</v>
      </c>
      <c r="N115" s="11">
        <f>IF(OR($C115="",M115=""),"",IFERROR(IF(AND(IFERROR(--LEFT(M115,FIND("-",M115)-1),"")=AW115,IFERROR(--MID(M115,FIND("-",M115)+1,99),"")=AX115),10,5*(SIGN((IFERROR(--LEFT(M115,FIND("-",M115)-1),""))-(IFERROR(--MID(M115,FIND("-",M115)+1,99),"")))=SIGN((AW115)-(AX115)))+2*(((IFERROR(--LEFT(M115,FIND("-",M115)-1),""))-(IFERROR(--MID(M115,FIND("-",M115)+1,99),"")))=((AW115)-(AX115)))+2*((IFERROR(--LEFT(M115,FIND("-",M115)-1),""))=(AW115))+2*((IFERROR(--MID(M115,FIND("-",M115)+1,99),""))=(AX115))),""))</f>
        <v>2</v>
      </c>
      <c r="O115" s="10" t="s">
        <v>37</v>
      </c>
      <c r="P115" s="11">
        <f>IF(OR($C115="",O115=""),"",IFERROR(IF(AND(IFERROR(--LEFT(O115,FIND("-",O115)-1),"")=AW115,IFERROR(--MID(O115,FIND("-",O115)+1,99),"")=AX115),10,5*(SIGN((IFERROR(--LEFT(O115,FIND("-",O115)-1),""))-(IFERROR(--MID(O115,FIND("-",O115)+1,99),"")))=SIGN((AW115)-(AX115)))+2*(((IFERROR(--LEFT(O115,FIND("-",O115)-1),""))-(IFERROR(--MID(O115,FIND("-",O115)+1,99),"")))=((AW115)-(AX115)))+2*((IFERROR(--LEFT(O115,FIND("-",O115)-1),""))=(AW115))+2*((IFERROR(--MID(O115,FIND("-",O115)+1,99),""))=(AX115))),""))</f>
        <v>7</v>
      </c>
      <c r="Q115" s="10" t="s">
        <v>48</v>
      </c>
      <c r="R115" s="11">
        <f>IF(OR($C115="",Q115=""),"",IFERROR(IF(AND(IFERROR(--LEFT(Q115,FIND("-",Q115)-1),"")=AW115,IFERROR(--MID(Q115,FIND("-",Q115)+1,99),"")=AX115),10,5*(SIGN((IFERROR(--LEFT(Q115,FIND("-",Q115)-1),""))-(IFERROR(--MID(Q115,FIND("-",Q115)+1,99),"")))=SIGN((AW115)-(AX115)))+2*(((IFERROR(--LEFT(Q115,FIND("-",Q115)-1),""))-(IFERROR(--MID(Q115,FIND("-",Q115)+1,99),"")))=((AW115)-(AX115)))+2*((IFERROR(--LEFT(Q115,FIND("-",Q115)-1),""))=(AW115))+2*((IFERROR(--MID(Q115,FIND("-",Q115)+1,99),""))=(AX115))),""))</f>
        <v>7</v>
      </c>
      <c r="S115" s="10" t="s">
        <v>45</v>
      </c>
      <c r="T115" s="11">
        <f>IF(OR($C115="",S115=""),"",IFERROR(IF(AND(IFERROR(--LEFT(S115,FIND("-",S115)-1),"")=AW115,IFERROR(--MID(S115,FIND("-",S115)+1,99),"")=AX115),10,5*(SIGN((IFERROR(--LEFT(S115,FIND("-",S115)-1),""))-(IFERROR(--MID(S115,FIND("-",S115)+1,99),"")))=SIGN((AW115)-(AX115)))+2*(((IFERROR(--LEFT(S115,FIND("-",S115)-1),""))-(IFERROR(--MID(S115,FIND("-",S115)+1,99),"")))=((AW115)-(AX115)))+2*((IFERROR(--LEFT(S115,FIND("-",S115)-1),""))=(AW115))+2*((IFERROR(--MID(S115,FIND("-",S115)+1,99),""))=(AX115))),""))</f>
        <v>10</v>
      </c>
      <c r="U115" s="10" t="s">
        <v>48</v>
      </c>
      <c r="V115" s="11">
        <f>IF(OR($C115="",U115=""),"",IFERROR(IF(AND(IFERROR(--LEFT(U115,FIND("-",U115)-1),"")=AW115,IFERROR(--MID(U115,FIND("-",U115)+1,99),"")=AX115),10,5*(SIGN((IFERROR(--LEFT(U115,FIND("-",U115)-1),""))-(IFERROR(--MID(U115,FIND("-",U115)+1,99),"")))=SIGN((AW115)-(AX115)))+2*(((IFERROR(--LEFT(U115,FIND("-",U115)-1),""))-(IFERROR(--MID(U115,FIND("-",U115)+1,99),"")))=((AW115)-(AX115)))+2*((IFERROR(--LEFT(U115,FIND("-",U115)-1),""))=(AW115))+2*((IFERROR(--MID(U115,FIND("-",U115)+1,99),""))=(AX115))),""))</f>
        <v>7</v>
      </c>
      <c r="W115" s="10" t="s">
        <v>37</v>
      </c>
      <c r="X115" s="11">
        <f>IF(OR($C115="",W115=""),"",IFERROR(IF(AND(IFERROR(--LEFT(W115,FIND("-",W115)-1),"")=AW115,IFERROR(--MID(W115,FIND("-",W115)+1,99),"")=AX115),10,5*(SIGN((IFERROR(--LEFT(W115,FIND("-",W115)-1),""))-(IFERROR(--MID(W115,FIND("-",W115)+1,99),"")))=SIGN((AW115)-(AX115)))+2*(((IFERROR(--LEFT(W115,FIND("-",W115)-1),""))-(IFERROR(--MID(W115,FIND("-",W115)+1,99),"")))=((AW115)-(AX115)))+2*((IFERROR(--LEFT(W115,FIND("-",W115)-1),""))=(AW115))+2*((IFERROR(--MID(W115,FIND("-",W115)+1,99),""))=(AX115))),""))</f>
        <v>7</v>
      </c>
      <c r="Y115" s="10" t="s">
        <v>37</v>
      </c>
      <c r="Z115" s="11">
        <f>IF(OR($C115="",Y115=""),"",IFERROR(IF(AND(IFERROR(--LEFT(Y115,FIND("-",Y115)-1),"")=AW115,IFERROR(--MID(Y115,FIND("-",Y115)+1,99),"")=AX115),10,5*(SIGN((IFERROR(--LEFT(Y115,FIND("-",Y115)-1),""))-(IFERROR(--MID(Y115,FIND("-",Y115)+1,99),"")))=SIGN((AW115)-(AX115)))+2*(((IFERROR(--LEFT(Y115,FIND("-",Y115)-1),""))-(IFERROR(--MID(Y115,FIND("-",Y115)+1,99),"")))=((AW115)-(AX115)))+2*((IFERROR(--LEFT(Y115,FIND("-",Y115)-1),""))=(AW115))+2*((IFERROR(--MID(Y115,FIND("-",Y115)+1,99),""))=(AX115))),""))</f>
        <v>7</v>
      </c>
      <c r="AA115" s="10" t="s">
        <v>48</v>
      </c>
      <c r="AB115" s="11">
        <f>IF(OR($C115="",AA115=""),"",IFERROR(IF(AND(IFERROR(--LEFT(AA115,FIND("-",AA115)-1),"")=AW115,IFERROR(--MID(AA115,FIND("-",AA115)+1,99),"")=AX115),10,5*(SIGN((IFERROR(--LEFT(AA115,FIND("-",AA115)-1),""))-(IFERROR(--MID(AA115,FIND("-",AA115)+1,99),"")))=SIGN((AW115)-(AX115)))+2*(((IFERROR(--LEFT(AA115,FIND("-",AA115)-1),""))-(IFERROR(--MID(AA115,FIND("-",AA115)+1,99),"")))=((AW115)-(AX115)))+2*((IFERROR(--LEFT(AA115,FIND("-",AA115)-1),""))=(AW115))+2*((IFERROR(--MID(AA115,FIND("-",AA115)+1,99),""))=(AX115))),""))</f>
        <v>7</v>
      </c>
      <c r="AC115" s="10" t="s">
        <v>37</v>
      </c>
      <c r="AD115" s="11">
        <f>IF(OR($C115="",AC115=""),"",IFERROR(IF(AND(IFERROR(--LEFT(AC115,FIND("-",AC115)-1),"")=AW115,IFERROR(--MID(AC115,FIND("-",AC115)+1,99),"")=AX115),10,5*(SIGN((IFERROR(--LEFT(AC115,FIND("-",AC115)-1),""))-(IFERROR(--MID(AC115,FIND("-",AC115)+1,99),"")))=SIGN((AW115)-(AX115)))+2*(((IFERROR(--LEFT(AC115,FIND("-",AC115)-1),""))-(IFERROR(--MID(AC115,FIND("-",AC115)+1,99),"")))=((AW115)-(AX115)))+2*((IFERROR(--LEFT(AC115,FIND("-",AC115)-1),""))=(AW115))+2*((IFERROR(--MID(AC115,FIND("-",AC115)+1,99),""))=(AX115))),""))</f>
        <v>7</v>
      </c>
      <c r="AE115" s="10" t="s">
        <v>48</v>
      </c>
      <c r="AF115" s="11">
        <f>IF(OR($C115="",AE115=""),"",IFERROR(IF(AND(IFERROR(--LEFT(AE115,FIND("-",AE115)-1),"")=AW115,IFERROR(--MID(AE115,FIND("-",AE115)+1,99),"")=AX115),10,5*(SIGN((IFERROR(--LEFT(AE115,FIND("-",AE115)-1),""))-(IFERROR(--MID(AE115,FIND("-",AE115)+1,99),"")))=SIGN((AW115)-(AX115)))+2*(((IFERROR(--LEFT(AE115,FIND("-",AE115)-1),""))-(IFERROR(--MID(AE115,FIND("-",AE115)+1,99),"")))=((AW115)-(AX115)))+2*((IFERROR(--LEFT(AE115,FIND("-",AE115)-1),""))=(AW115))+2*((IFERROR(--MID(AE115,FIND("-",AE115)+1,99),""))=(AX115))),""))</f>
        <v>7</v>
      </c>
      <c r="AG115" s="10" t="s">
        <v>45</v>
      </c>
      <c r="AH115" s="11">
        <f>IF(OR($C115="",AG115=""),"",IFERROR(IF(AND(IFERROR(--LEFT(AG115,FIND("-",AG115)-1),"")=AW115,IFERROR(--MID(AG115,FIND("-",AG115)+1,99),"")=AX115),10,5*(SIGN((IFERROR(--LEFT(AG115,FIND("-",AG115)-1),""))-(IFERROR(--MID(AG115,FIND("-",AG115)+1,99),"")))=SIGN((AW115)-(AX115)))+2*(((IFERROR(--LEFT(AG115,FIND("-",AG115)-1),""))-(IFERROR(--MID(AG115,FIND("-",AG115)+1,99),"")))=((AW115)-(AX115)))+2*((IFERROR(--LEFT(AG115,FIND("-",AG115)-1),""))=(AW115))+2*((IFERROR(--MID(AG115,FIND("-",AG115)+1,99),""))=(AX115))),""))</f>
        <v>10</v>
      </c>
      <c r="AI115" s="10" t="s">
        <v>57</v>
      </c>
      <c r="AJ115" s="11">
        <f>IF(OR($C115="",AI115=""),"",IFERROR(IF(AND(IFERROR(--LEFT(AI115,FIND("-",AI115)-1),"")=AW115,IFERROR(--MID(AI115,FIND("-",AI115)+1,99),"")=AX115),10,5*(SIGN((IFERROR(--LEFT(AI115,FIND("-",AI115)-1),""))-(IFERROR(--MID(AI115,FIND("-",AI115)+1,99),"")))=SIGN((AW115)-(AX115)))+2*(((IFERROR(--LEFT(AI115,FIND("-",AI115)-1),""))-(IFERROR(--MID(AI115,FIND("-",AI115)+1,99),"")))=((AW115)-(AX115)))+2*((IFERROR(--LEFT(AI115,FIND("-",AI115)-1),""))=(AW115))+2*((IFERROR(--MID(AI115,FIND("-",AI115)+1,99),""))=(AX115))),""))</f>
        <v>5</v>
      </c>
      <c r="AK115" s="10" t="s">
        <v>45</v>
      </c>
      <c r="AL115" s="11">
        <f>IF(OR($C115="",AK115=""),"",IFERROR(IF(AND(IFERROR(--LEFT(AK115,FIND("-",AK115)-1),"")=AW115,IFERROR(--MID(AK115,FIND("-",AK115)+1,99),"")=AX115),10,5*(SIGN((IFERROR(--LEFT(AK115,FIND("-",AK115)-1),""))-(IFERROR(--MID(AK115,FIND("-",AK115)+1,99),"")))=SIGN((AW115)-(AX115)))+2*(((IFERROR(--LEFT(AK115,FIND("-",AK115)-1),""))-(IFERROR(--MID(AK115,FIND("-",AK115)+1,99),"")))=((AW115)-(AX115)))+2*((IFERROR(--LEFT(AK115,FIND("-",AK115)-1),""))=(AW115))+2*((IFERROR(--MID(AK115,FIND("-",AK115)+1,99),""))=(AX115))),""))</f>
        <v>10</v>
      </c>
      <c r="AM115" s="10" t="s">
        <v>35</v>
      </c>
      <c r="AN115" s="11">
        <f>IF(OR($C115="",AM115=""),"",IFERROR(IF(AND(IFERROR(--LEFT(AM115,FIND("-",AM115)-1),"")=AW115,IFERROR(--MID(AM115,FIND("-",AM115)+1,99),"")=AX115),10,5*(SIGN((IFERROR(--LEFT(AM115,FIND("-",AM115)-1),""))-(IFERROR(--MID(AM115,FIND("-",AM115)+1,99),"")))=SIGN((AW115)-(AX115)))+2*(((IFERROR(--LEFT(AM115,FIND("-",AM115)-1),""))-(IFERROR(--MID(AM115,FIND("-",AM115)+1,99),"")))=((AW115)-(AX115)))+2*((IFERROR(--LEFT(AM115,FIND("-",AM115)-1),""))=(AW115))+2*((IFERROR(--MID(AM115,FIND("-",AM115)+1,99),""))=(AX115))),""))</f>
        <v>2</v>
      </c>
      <c r="AO115" s="10" t="s">
        <v>48</v>
      </c>
      <c r="AP115" s="11">
        <f>IF(OR($C115="",AO115=""),"",IFERROR(IF(AND(IFERROR(--LEFT(AO115,FIND("-",AO115)-1),"")=AW115,IFERROR(--MID(AO115,FIND("-",AO115)+1,99),"")=AX115),10,5*(SIGN((IFERROR(--LEFT(AO115,FIND("-",AO115)-1),""))-(IFERROR(--MID(AO115,FIND("-",AO115)+1,99),"")))=SIGN((AW115)-(AX115)))+2*(((IFERROR(--LEFT(AO115,FIND("-",AO115)-1),""))-(IFERROR(--MID(AO115,FIND("-",AO115)+1,99),"")))=((AW115)-(AX115)))+2*((IFERROR(--LEFT(AO115,FIND("-",AO115)-1),""))=(AW115))+2*((IFERROR(--MID(AO115,FIND("-",AO115)+1,99),""))=(AX115))),""))</f>
        <v>7</v>
      </c>
      <c r="AQ115" s="10" t="s">
        <v>50</v>
      </c>
      <c r="AR115" s="11">
        <f>IF(OR($C115="",AQ115=""),"",IFERROR(IF(AND(IFERROR(--LEFT(AQ115,FIND("-",AQ115)-1),"")=AW115,IFERROR(--MID(AQ115,FIND("-",AQ115)+1,99),"")=AX115),10,5*(SIGN((IFERROR(--LEFT(AQ115,FIND("-",AQ115)-1),""))-(IFERROR(--MID(AQ115,FIND("-",AQ115)+1,99),"")))=SIGN((AW115)-(AX115)))+2*(((IFERROR(--LEFT(AQ115,FIND("-",AQ115)-1),""))-(IFERROR(--MID(AQ115,FIND("-",AQ115)+1,99),"")))=((AW115)-(AX115)))+2*((IFERROR(--LEFT(AQ115,FIND("-",AQ115)-1),""))=(AW115))+2*((IFERROR(--MID(AQ115,FIND("-",AQ115)+1,99),""))=(AX115))),""))</f>
        <v>2</v>
      </c>
      <c r="AS115" s="10" t="s">
        <v>45</v>
      </c>
      <c r="AT115" s="11">
        <f>IF(OR($C115="",AS115=""),"",IFERROR(IF(AND(IFERROR(--LEFT(AS115,FIND("-",AS115)-1),"")=AW115,IFERROR(--MID(AS115,FIND("-",AS115)+1,99),"")=AX115),10,5*(SIGN((IFERROR(--LEFT(AS115,FIND("-",AS115)-1),""))-(IFERROR(--MID(AS115,FIND("-",AS115)+1,99),"")))=SIGN((AW115)-(AX115)))+2*(((IFERROR(--LEFT(AS115,FIND("-",AS115)-1),""))-(IFERROR(--MID(AS115,FIND("-",AS115)+1,99),"")))=((AW115)-(AX115)))+2*((IFERROR(--LEFT(AS115,FIND("-",AS115)-1),""))=(AW115))+2*((IFERROR(--MID(AS115,FIND("-",AS115)+1,99),""))=(AX115))),""))</f>
        <v>10</v>
      </c>
      <c r="AU115" s="10" t="s">
        <v>48</v>
      </c>
      <c r="AV115" s="11">
        <f>IF(OR($C115="",AU115=""),"",IFERROR(IF(AND(IFERROR(--LEFT(AU115,FIND("-",AU115)-1),"")=AW115,IFERROR(--MID(AU115,FIND("-",AU115)+1,99),"")=AX115),10,5*(SIGN((IFERROR(--LEFT(AU115,FIND("-",AU115)-1),""))-(IFERROR(--MID(AU115,FIND("-",AU115)+1,99),"")))=SIGN((AW115)-(AX115)))+2*(((IFERROR(--LEFT(AU115,FIND("-",AU115)-1),""))-(IFERROR(--MID(AU115,FIND("-",AU115)+1,99),"")))=((AW115)-(AX115)))+2*((IFERROR(--LEFT(AU115,FIND("-",AU115)-1),""))=(AW115))+2*((IFERROR(--MID(AU115,FIND("-",AU115)+1,99),""))=(AX115))),""))</f>
        <v>7</v>
      </c>
      <c r="AW115" s="11">
        <f>IF($C115="","",IFERROR(--LEFT($C115,FIND("-",$C115)-1),""))</f>
        <v>0</v>
      </c>
      <c r="AX115" s="11">
        <f>IF($C115="","",IFERROR(--MID($C115,FIND("-",$C115)+1,99),""))</f>
        <v>1</v>
      </c>
    </row>
    <row r="116" spans="1:50" ht="18" customHeight="1" x14ac:dyDescent="0.3">
      <c r="A116" s="12"/>
      <c r="B116" s="18"/>
      <c r="C116" s="13"/>
      <c r="D116" s="1"/>
      <c r="E116" s="22"/>
      <c r="F116" s="12"/>
      <c r="G116" s="22"/>
      <c r="H116" s="12"/>
      <c r="I116" s="22"/>
      <c r="J116" s="12"/>
      <c r="K116" s="22"/>
      <c r="L116" s="12"/>
      <c r="M116" s="22"/>
      <c r="N116" s="12"/>
      <c r="O116" s="22"/>
      <c r="P116" s="12"/>
      <c r="Q116" s="22"/>
      <c r="R116" s="12"/>
      <c r="S116" s="22"/>
      <c r="T116" s="12"/>
      <c r="U116" s="13"/>
      <c r="V116" s="12"/>
      <c r="W116" s="22"/>
      <c r="X116" s="12"/>
      <c r="Y116" s="22"/>
      <c r="Z116" s="12"/>
      <c r="AA116" s="22"/>
      <c r="AB116" s="12"/>
      <c r="AC116" s="22"/>
      <c r="AD116" s="12"/>
      <c r="AE116" s="22"/>
      <c r="AF116" s="12"/>
      <c r="AG116" s="22"/>
      <c r="AH116" s="12"/>
      <c r="AI116" s="22"/>
      <c r="AJ116" s="12"/>
      <c r="AK116" s="22"/>
      <c r="AL116" s="12"/>
      <c r="AM116" s="22"/>
      <c r="AN116" s="12"/>
      <c r="AO116" s="22"/>
      <c r="AP116" s="12"/>
      <c r="AQ116" s="22"/>
      <c r="AR116" s="12" t="str">
        <f>IF(OR($C116="",AQ116=""),"",IFERROR(IF(AND(IFERROR(--LEFT(AQ116,FIND("-",AQ116)-1),"")=AW116,IFERROR(--MID(AQ116,FIND("-",AQ116)+1,99),"")=AX116),10,5*(SIGN((IFERROR(--LEFT(AQ116,FIND("-",AQ116)-1),""))-(IFERROR(--MID(AQ116,FIND("-",AQ116)+1,99),"")))=SIGN((AW116)-(AX116)))+2*(((IFERROR(--LEFT(AQ116,FIND("-",AQ116)-1),""))-(IFERROR(--MID(AQ116,FIND("-",AQ116)+1,99),"")))=((AW116)-(AX116)))+2*((IFERROR(--LEFT(AQ116,FIND("-",AQ116)-1),""))=(AW116))+2*((IFERROR(--MID(AQ116,FIND("-",AQ116)+1,99),""))=(AX116))),""))</f>
        <v/>
      </c>
      <c r="AS116" s="22"/>
      <c r="AT116" s="12" t="str">
        <f>IF(OR($C116="",AS116=""),"",IFERROR(IF(AND(IFERROR(--LEFT(AS116,FIND("-",AS116)-1),"")=AW116,IFERROR(--MID(AS116,FIND("-",AS116)+1,99),"")=AX116),10,5*(SIGN((IFERROR(--LEFT(AS116,FIND("-",AS116)-1),""))-(IFERROR(--MID(AS116,FIND("-",AS116)+1,99),"")))=SIGN((AW116)-(AX116)))+2*(((IFERROR(--LEFT(AS116,FIND("-",AS116)-1),""))-(IFERROR(--MID(AS116,FIND("-",AS116)+1,99),"")))=((AW116)-(AX116)))+2*((IFERROR(--LEFT(AS116,FIND("-",AS116)-1),""))=(AW116))+2*((IFERROR(--MID(AS116,FIND("-",AS116)+1,99),""))=(AX116))),""))</f>
        <v/>
      </c>
      <c r="AU116" s="22"/>
      <c r="AV116" s="12"/>
      <c r="AW116" s="12"/>
      <c r="AX116" s="12"/>
    </row>
    <row r="117" spans="1:50" ht="20.100000000000001" customHeight="1" x14ac:dyDescent="0.3">
      <c r="A117" s="36" t="s">
        <v>129</v>
      </c>
      <c r="B117" s="37"/>
      <c r="C117" s="38"/>
      <c r="D117" s="37"/>
      <c r="E117" s="38"/>
      <c r="F117" s="37"/>
      <c r="G117" s="38"/>
      <c r="H117" s="37"/>
      <c r="I117" s="38"/>
      <c r="J117" s="37"/>
      <c r="K117" s="38"/>
      <c r="L117" s="37"/>
      <c r="M117" s="38"/>
      <c r="N117" s="37"/>
      <c r="O117" s="38"/>
      <c r="P117" s="37"/>
      <c r="Q117" s="38"/>
      <c r="R117" s="37"/>
      <c r="S117" s="38"/>
      <c r="T117" s="37"/>
      <c r="U117" s="38"/>
      <c r="V117" s="37"/>
      <c r="W117" s="38"/>
      <c r="X117" s="37"/>
      <c r="Y117" s="38"/>
      <c r="Z117" s="37"/>
      <c r="AA117" s="38"/>
      <c r="AB117" s="37"/>
      <c r="AC117" s="38"/>
      <c r="AD117" s="37"/>
      <c r="AE117" s="38"/>
      <c r="AF117" s="37"/>
      <c r="AG117" s="38"/>
      <c r="AH117" s="37"/>
      <c r="AI117" s="38"/>
      <c r="AJ117" s="37"/>
      <c r="AK117" s="38"/>
      <c r="AL117" s="37"/>
      <c r="AM117" s="38"/>
      <c r="AN117" s="37"/>
      <c r="AO117" s="38"/>
      <c r="AP117" s="37"/>
      <c r="AQ117" s="37"/>
      <c r="AR117" s="37"/>
      <c r="AS117" s="37"/>
      <c r="AT117" s="37"/>
      <c r="AU117" s="38"/>
      <c r="AV117" s="39"/>
      <c r="AW117" s="8"/>
      <c r="AX117" s="8"/>
    </row>
    <row r="118" spans="1:50" ht="18" customHeight="1" x14ac:dyDescent="0.3">
      <c r="A118" s="9">
        <v>1.791666666666667</v>
      </c>
      <c r="B118" s="18" t="s">
        <v>59</v>
      </c>
      <c r="C118" s="10" t="s">
        <v>33</v>
      </c>
      <c r="D118" s="1" t="s">
        <v>74</v>
      </c>
      <c r="E118" s="10" t="s">
        <v>34</v>
      </c>
      <c r="F118" s="11">
        <f>IF(OR($C118="",E118=""),"",IFERROR(IF(AND(IFERROR(--LEFT(E118,FIND("-",E118)-1),"")=AW118,IFERROR(--MID(E118,FIND("-",E118)+1,99),"")=AX118),10,5*(SIGN((IFERROR(--LEFT(E118,FIND("-",E118)-1),""))-(IFERROR(--MID(E118,FIND("-",E118)+1,99),"")))=SIGN((AW118)-(AX118)))+2*(((IFERROR(--LEFT(E118,FIND("-",E118)-1),""))-(IFERROR(--MID(E118,FIND("-",E118)+1,99),"")))=((AW118)-(AX118)))+2*((IFERROR(--LEFT(E118,FIND("-",E118)-1),""))=(AW118))+2*((IFERROR(--MID(E118,FIND("-",E118)+1,99),""))=(AX118))),""))</f>
        <v>7</v>
      </c>
      <c r="G118" s="10" t="s">
        <v>33</v>
      </c>
      <c r="H118" s="11">
        <f>IF(OR($C118="",G118=""),"",IFERROR(IF(AND(IFERROR(--LEFT(G118,FIND("-",G118)-1),"")=AW118,IFERROR(--MID(G118,FIND("-",G118)+1,99),"")=AX118),10,5*(SIGN((IFERROR(--LEFT(G118,FIND("-",G118)-1),""))-(IFERROR(--MID(G118,FIND("-",G118)+1,99),"")))=SIGN((AW118)-(AX118)))+2*(((IFERROR(--LEFT(G118,FIND("-",G118)-1),""))-(IFERROR(--MID(G118,FIND("-",G118)+1,99),"")))=((AW118)-(AX118)))+2*((IFERROR(--LEFT(G118,FIND("-",G118)-1),""))=(AW118))+2*((IFERROR(--MID(G118,FIND("-",G118)+1,99),""))=(AX118))),""))</f>
        <v>10</v>
      </c>
      <c r="I118" s="10" t="s">
        <v>33</v>
      </c>
      <c r="J118" s="11">
        <f>IF(OR($C118="",I118=""),"",IFERROR(IF(AND(IFERROR(--LEFT(I118,FIND("-",I118)-1),"")=AW118,IFERROR(--MID(I118,FIND("-",I118)+1,99),"")=AX118),10,5*(SIGN((IFERROR(--LEFT(I118,FIND("-",I118)-1),""))-(IFERROR(--MID(I118,FIND("-",I118)+1,99),"")))=SIGN((AW118)-(AX118)))+2*(((IFERROR(--LEFT(I118,FIND("-",I118)-1),""))-(IFERROR(--MID(I118,FIND("-",I118)+1,99),"")))=((AW118)-(AX118)))+2*((IFERROR(--LEFT(I118,FIND("-",I118)-1),""))=(AW118))+2*((IFERROR(--MID(I118,FIND("-",I118)+1,99),""))=(AX118))),""))</f>
        <v>10</v>
      </c>
      <c r="K118" s="10" t="s">
        <v>34</v>
      </c>
      <c r="L118" s="11">
        <f>IF(OR($C118="",K118=""),"",IFERROR(IF(AND(IFERROR(--LEFT(K118,FIND("-",K118)-1),"")=AW118,IFERROR(--MID(K118,FIND("-",K118)+1,99),"")=AX118),10,5*(SIGN((IFERROR(--LEFT(K118,FIND("-",K118)-1),""))-(IFERROR(--MID(K118,FIND("-",K118)+1,99),"")))=SIGN((AW118)-(AX118)))+2*(((IFERROR(--LEFT(K118,FIND("-",K118)-1),""))-(IFERROR(--MID(K118,FIND("-",K118)+1,99),"")))=((AW118)-(AX118)))+2*((IFERROR(--LEFT(K118,FIND("-",K118)-1),""))=(AW118))+2*((IFERROR(--MID(K118,FIND("-",K118)+1,99),""))=(AX118))),""))</f>
        <v>7</v>
      </c>
      <c r="M118" s="10" t="s">
        <v>37</v>
      </c>
      <c r="N118" s="11">
        <f>IF(OR($C118="",M118=""),"",IFERROR(IF(AND(IFERROR(--LEFT(M118,FIND("-",M118)-1),"")=AW118,IFERROR(--MID(M118,FIND("-",M118)+1,99),"")=AX118),10,5*(SIGN((IFERROR(--LEFT(M118,FIND("-",M118)-1),""))-(IFERROR(--MID(M118,FIND("-",M118)+1,99),"")))=SIGN((AW118)-(AX118)))+2*(((IFERROR(--LEFT(M118,FIND("-",M118)-1),""))-(IFERROR(--MID(M118,FIND("-",M118)+1,99),"")))=((AW118)-(AX118)))+2*((IFERROR(--LEFT(M118,FIND("-",M118)-1),""))=(AW118))+2*((IFERROR(--MID(M118,FIND("-",M118)+1,99),""))=(AX118))),""))</f>
        <v>0</v>
      </c>
      <c r="O118" s="10" t="s">
        <v>37</v>
      </c>
      <c r="P118" s="11">
        <f>IF(OR($C118="",O118=""),"",IFERROR(IF(AND(IFERROR(--LEFT(O118,FIND("-",O118)-1),"")=AW118,IFERROR(--MID(O118,FIND("-",O118)+1,99),"")=AX118),10,5*(SIGN((IFERROR(--LEFT(O118,FIND("-",O118)-1),""))-(IFERROR(--MID(O118,FIND("-",O118)+1,99),"")))=SIGN((AW118)-(AX118)))+2*(((IFERROR(--LEFT(O118,FIND("-",O118)-1),""))-(IFERROR(--MID(O118,FIND("-",O118)+1,99),"")))=((AW118)-(AX118)))+2*((IFERROR(--LEFT(O118,FIND("-",O118)-1),""))=(AW118))+2*((IFERROR(--MID(O118,FIND("-",O118)+1,99),""))=(AX118))),""))</f>
        <v>0</v>
      </c>
      <c r="Q118" s="10" t="s">
        <v>49</v>
      </c>
      <c r="R118" s="11">
        <f>IF(OR($C118="",Q118=""),"",IFERROR(IF(AND(IFERROR(--LEFT(Q118,FIND("-",Q118)-1),"")=AW118,IFERROR(--MID(Q118,FIND("-",Q118)+1,99),"")=AX118),10,5*(SIGN((IFERROR(--LEFT(Q118,FIND("-",Q118)-1),""))-(IFERROR(--MID(Q118,FIND("-",Q118)+1,99),"")))=SIGN((AW118)-(AX118)))+2*(((IFERROR(--LEFT(Q118,FIND("-",Q118)-1),""))-(IFERROR(--MID(Q118,FIND("-",Q118)+1,99),"")))=((AW118)-(AX118)))+2*((IFERROR(--LEFT(Q118,FIND("-",Q118)-1),""))=(AW118))+2*((IFERROR(--MID(Q118,FIND("-",Q118)+1,99),""))=(AX118))),""))</f>
        <v>2</v>
      </c>
      <c r="S118" s="10" t="s">
        <v>33</v>
      </c>
      <c r="T118" s="11">
        <f>IF(OR($C118="",S118=""),"",IFERROR(IF(AND(IFERROR(--LEFT(S118,FIND("-",S118)-1),"")=AW118,IFERROR(--MID(S118,FIND("-",S118)+1,99),"")=AX118),10,5*(SIGN((IFERROR(--LEFT(S118,FIND("-",S118)-1),""))-(IFERROR(--MID(S118,FIND("-",S118)+1,99),"")))=SIGN((AW118)-(AX118)))+2*(((IFERROR(--LEFT(S118,FIND("-",S118)-1),""))-(IFERROR(--MID(S118,FIND("-",S118)+1,99),"")))=((AW118)-(AX118)))+2*((IFERROR(--LEFT(S118,FIND("-",S118)-1),""))=(AW118))+2*((IFERROR(--MID(S118,FIND("-",S118)+1,99),""))=(AX118))),""))</f>
        <v>10</v>
      </c>
      <c r="U118" s="10" t="s">
        <v>34</v>
      </c>
      <c r="V118" s="11">
        <f>IF(OR($C118="",U118=""),"",IFERROR(IF(AND(IFERROR(--LEFT(U118,FIND("-",U118)-1),"")=AW118,IFERROR(--MID(U118,FIND("-",U118)+1,99),"")=AX118),10,5*(SIGN((IFERROR(--LEFT(U118,FIND("-",U118)-1),""))-(IFERROR(--MID(U118,FIND("-",U118)+1,99),"")))=SIGN((AW118)-(AX118)))+2*(((IFERROR(--LEFT(U118,FIND("-",U118)-1),""))-(IFERROR(--MID(U118,FIND("-",U118)+1,99),"")))=((AW118)-(AX118)))+2*((IFERROR(--LEFT(U118,FIND("-",U118)-1),""))=(AW118))+2*((IFERROR(--MID(U118,FIND("-",U118)+1,99),""))=(AX118))),""))</f>
        <v>7</v>
      </c>
      <c r="W118" s="10" t="s">
        <v>33</v>
      </c>
      <c r="X118" s="11">
        <f>IF(OR($C118="",W118=""),"",IFERROR(IF(AND(IFERROR(--LEFT(W118,FIND("-",W118)-1),"")=AW118,IFERROR(--MID(W118,FIND("-",W118)+1,99),"")=AX118),10,5*(SIGN((IFERROR(--LEFT(W118,FIND("-",W118)-1),""))-(IFERROR(--MID(W118,FIND("-",W118)+1,99),"")))=SIGN((AW118)-(AX118)))+2*(((IFERROR(--LEFT(W118,FIND("-",W118)-1),""))-(IFERROR(--MID(W118,FIND("-",W118)+1,99),"")))=((AW118)-(AX118)))+2*((IFERROR(--LEFT(W118,FIND("-",W118)-1),""))=(AW118))+2*((IFERROR(--MID(W118,FIND("-",W118)+1,99),""))=(AX118))),""))</f>
        <v>10</v>
      </c>
      <c r="Y118" s="10" t="s">
        <v>34</v>
      </c>
      <c r="Z118" s="11">
        <f>IF(OR($C118="",Y118=""),"",IFERROR(IF(AND(IFERROR(--LEFT(Y118,FIND("-",Y118)-1),"")=AW118,IFERROR(--MID(Y118,FIND("-",Y118)+1,99),"")=AX118),10,5*(SIGN((IFERROR(--LEFT(Y118,FIND("-",Y118)-1),""))-(IFERROR(--MID(Y118,FIND("-",Y118)+1,99),"")))=SIGN((AW118)-(AX118)))+2*(((IFERROR(--LEFT(Y118,FIND("-",Y118)-1),""))-(IFERROR(--MID(Y118,FIND("-",Y118)+1,99),"")))=((AW118)-(AX118)))+2*((IFERROR(--LEFT(Y118,FIND("-",Y118)-1),""))=(AW118))+2*((IFERROR(--MID(Y118,FIND("-",Y118)+1,99),""))=(AX118))),""))</f>
        <v>7</v>
      </c>
      <c r="AA118" s="10" t="s">
        <v>61</v>
      </c>
      <c r="AB118" s="11">
        <f>IF(OR($C118="",AA118=""),"",IFERROR(IF(AND(IFERROR(--LEFT(AA118,FIND("-",AA118)-1),"")=AW118,IFERROR(--MID(AA118,FIND("-",AA118)+1,99),"")=AX118),10,5*(SIGN((IFERROR(--LEFT(AA118,FIND("-",AA118)-1),""))-(IFERROR(--MID(AA118,FIND("-",AA118)+1,99),"")))=SIGN((AW118)-(AX118)))+2*(((IFERROR(--LEFT(AA118,FIND("-",AA118)-1),""))-(IFERROR(--MID(AA118,FIND("-",AA118)+1,99),"")))=((AW118)-(AX118)))+2*((IFERROR(--LEFT(AA118,FIND("-",AA118)-1),""))=(AW118))+2*((IFERROR(--MID(AA118,FIND("-",AA118)+1,99),""))=(AX118))),""))</f>
        <v>7</v>
      </c>
      <c r="AC118" s="10" t="s">
        <v>34</v>
      </c>
      <c r="AD118" s="11">
        <f>IF(OR($C118="",AC118=""),"",IFERROR(IF(AND(IFERROR(--LEFT(AC118,FIND("-",AC118)-1),"")=AW118,IFERROR(--MID(AC118,FIND("-",AC118)+1,99),"")=AX118),10,5*(SIGN((IFERROR(--LEFT(AC118,FIND("-",AC118)-1),""))-(IFERROR(--MID(AC118,FIND("-",AC118)+1,99),"")))=SIGN((AW118)-(AX118)))+2*(((IFERROR(--LEFT(AC118,FIND("-",AC118)-1),""))-(IFERROR(--MID(AC118,FIND("-",AC118)+1,99),"")))=((AW118)-(AX118)))+2*((IFERROR(--LEFT(AC118,FIND("-",AC118)-1),""))=(AW118))+2*((IFERROR(--MID(AC118,FIND("-",AC118)+1,99),""))=(AX118))),""))</f>
        <v>7</v>
      </c>
      <c r="AE118" s="10" t="s">
        <v>33</v>
      </c>
      <c r="AF118" s="11">
        <f>IF(OR($C118="",AE118=""),"",IFERROR(IF(AND(IFERROR(--LEFT(AE118,FIND("-",AE118)-1),"")=AW118,IFERROR(--MID(AE118,FIND("-",AE118)+1,99),"")=AX118),10,5*(SIGN((IFERROR(--LEFT(AE118,FIND("-",AE118)-1),""))-(IFERROR(--MID(AE118,FIND("-",AE118)+1,99),"")))=SIGN((AW118)-(AX118)))+2*(((IFERROR(--LEFT(AE118,FIND("-",AE118)-1),""))-(IFERROR(--MID(AE118,FIND("-",AE118)+1,99),"")))=((AW118)-(AX118)))+2*((IFERROR(--LEFT(AE118,FIND("-",AE118)-1),""))=(AW118))+2*((IFERROR(--MID(AE118,FIND("-",AE118)+1,99),""))=(AX118))),""))</f>
        <v>10</v>
      </c>
      <c r="AG118" s="10" t="s">
        <v>36</v>
      </c>
      <c r="AH118" s="11">
        <f>IF(OR($C118="",AG118=""),"",IFERROR(IF(AND(IFERROR(--LEFT(AG118,FIND("-",AG118)-1),"")=AW118,IFERROR(--MID(AG118,FIND("-",AG118)+1,99),"")=AX118),10,5*(SIGN((IFERROR(--LEFT(AG118,FIND("-",AG118)-1),""))-(IFERROR(--MID(AG118,FIND("-",AG118)+1,99),"")))=SIGN((AW118)-(AX118)))+2*(((IFERROR(--LEFT(AG118,FIND("-",AG118)-1),""))-(IFERROR(--MID(AG118,FIND("-",AG118)+1,99),"")))=((AW118)-(AX118)))+2*((IFERROR(--LEFT(AG118,FIND("-",AG118)-1),""))=(AW118))+2*((IFERROR(--MID(AG118,FIND("-",AG118)+1,99),""))=(AX118))),""))</f>
        <v>7</v>
      </c>
      <c r="AI118" s="10" t="s">
        <v>61</v>
      </c>
      <c r="AJ118" s="11">
        <f>IF(OR($C118="",AI118=""),"",IFERROR(IF(AND(IFERROR(--LEFT(AI118,FIND("-",AI118)-1),"")=AW118,IFERROR(--MID(AI118,FIND("-",AI118)+1,99),"")=AX118),10,5*(SIGN((IFERROR(--LEFT(AI118,FIND("-",AI118)-1),""))-(IFERROR(--MID(AI118,FIND("-",AI118)+1,99),"")))=SIGN((AW118)-(AX118)))+2*(((IFERROR(--LEFT(AI118,FIND("-",AI118)-1),""))-(IFERROR(--MID(AI118,FIND("-",AI118)+1,99),"")))=((AW118)-(AX118)))+2*((IFERROR(--LEFT(AI118,FIND("-",AI118)-1),""))=(AW118))+2*((IFERROR(--MID(AI118,FIND("-",AI118)+1,99),""))=(AX118))),""))</f>
        <v>7</v>
      </c>
      <c r="AK118" s="10" t="s">
        <v>33</v>
      </c>
      <c r="AL118" s="11">
        <f>IF(OR($C118="",AK118=""),"",IFERROR(IF(AND(IFERROR(--LEFT(AK118,FIND("-",AK118)-1),"")=AW118,IFERROR(--MID(AK118,FIND("-",AK118)+1,99),"")=AX118),10,5*(SIGN((IFERROR(--LEFT(AK118,FIND("-",AK118)-1),""))-(IFERROR(--MID(AK118,FIND("-",AK118)+1,99),"")))=SIGN((AW118)-(AX118)))+2*(((IFERROR(--LEFT(AK118,FIND("-",AK118)-1),""))-(IFERROR(--MID(AK118,FIND("-",AK118)+1,99),"")))=((AW118)-(AX118)))+2*((IFERROR(--LEFT(AK118,FIND("-",AK118)-1),""))=(AW118))+2*((IFERROR(--MID(AK118,FIND("-",AK118)+1,99),""))=(AX118))),""))</f>
        <v>10</v>
      </c>
      <c r="AM118" s="10" t="s">
        <v>33</v>
      </c>
      <c r="AN118" s="11">
        <f>IF(OR($C118="",AM118=""),"",IFERROR(IF(AND(IFERROR(--LEFT(AM118,FIND("-",AM118)-1),"")=AW118,IFERROR(--MID(AM118,FIND("-",AM118)+1,99),"")=AX118),10,5*(SIGN((IFERROR(--LEFT(AM118,FIND("-",AM118)-1),""))-(IFERROR(--MID(AM118,FIND("-",AM118)+1,99),"")))=SIGN((AW118)-(AX118)))+2*(((IFERROR(--LEFT(AM118,FIND("-",AM118)-1),""))-(IFERROR(--MID(AM118,FIND("-",AM118)+1,99),"")))=((AW118)-(AX118)))+2*((IFERROR(--LEFT(AM118,FIND("-",AM118)-1),""))=(AW118))+2*((IFERROR(--MID(AM118,FIND("-",AM118)+1,99),""))=(AX118))),""))</f>
        <v>10</v>
      </c>
      <c r="AO118" s="10" t="s">
        <v>48</v>
      </c>
      <c r="AP118" s="11">
        <f>IF(OR($C118="",AO118=""),"",IFERROR(IF(AND(IFERROR(--LEFT(AO118,FIND("-",AO118)-1),"")=AW118,IFERROR(--MID(AO118,FIND("-",AO118)+1,99),"")=AX118),10,5*(SIGN((IFERROR(--LEFT(AO118,FIND("-",AO118)-1),""))-(IFERROR(--MID(AO118,FIND("-",AO118)+1,99),"")))=SIGN((AW118)-(AX118)))+2*(((IFERROR(--LEFT(AO118,FIND("-",AO118)-1),""))-(IFERROR(--MID(AO118,FIND("-",AO118)+1,99),"")))=((AW118)-(AX118)))+2*((IFERROR(--LEFT(AO118,FIND("-",AO118)-1),""))=(AW118))+2*((IFERROR(--MID(AO118,FIND("-",AO118)+1,99),""))=(AX118))),""))</f>
        <v>0</v>
      </c>
      <c r="AQ118" s="10" t="s">
        <v>33</v>
      </c>
      <c r="AR118" s="11">
        <f>IF(OR($C118="",AQ118=""),"",IFERROR(IF(AND(IFERROR(--LEFT(AQ118,FIND("-",AQ118)-1),"")=AW118,IFERROR(--MID(AQ118,FIND("-",AQ118)+1,99),"")=AX118),10,5*(SIGN((IFERROR(--LEFT(AQ118,FIND("-",AQ118)-1),""))-(IFERROR(--MID(AQ118,FIND("-",AQ118)+1,99),"")))=SIGN((AW118)-(AX118)))+2*(((IFERROR(--LEFT(AQ118,FIND("-",AQ118)-1),""))-(IFERROR(--MID(AQ118,FIND("-",AQ118)+1,99),"")))=((AW118)-(AX118)))+2*((IFERROR(--LEFT(AQ118,FIND("-",AQ118)-1),""))=(AW118))+2*((IFERROR(--MID(AQ118,FIND("-",AQ118)+1,99),""))=(AX118))),""))</f>
        <v>10</v>
      </c>
      <c r="AS118" s="10" t="s">
        <v>39</v>
      </c>
      <c r="AT118" s="11">
        <f>IF(OR($C118="",AS118=""),"",IFERROR(IF(AND(IFERROR(--LEFT(AS118,FIND("-",AS118)-1),"")=AW118,IFERROR(--MID(AS118,FIND("-",AS118)+1,99),"")=AX118),10,5*(SIGN((IFERROR(--LEFT(AS118,FIND("-",AS118)-1),""))-(IFERROR(--MID(AS118,FIND("-",AS118)+1,99),"")))=SIGN((AW118)-(AX118)))+2*(((IFERROR(--LEFT(AS118,FIND("-",AS118)-1),""))-(IFERROR(--MID(AS118,FIND("-",AS118)+1,99),"")))=((AW118)-(AX118)))+2*((IFERROR(--LEFT(AS118,FIND("-",AS118)-1),""))=(AW118))+2*((IFERROR(--MID(AS118,FIND("-",AS118)+1,99),""))=(AX118))),""))</f>
        <v>7</v>
      </c>
      <c r="AU118" s="10" t="s">
        <v>34</v>
      </c>
      <c r="AV118" s="11">
        <f>IF(OR($C118="",AU118=""),"",IFERROR(IF(AND(IFERROR(--LEFT(AU118,FIND("-",AU118)-1),"")=AW118,IFERROR(--MID(AU118,FIND("-",AU118)+1,99),"")=AX118),10,5*(SIGN((IFERROR(--LEFT(AU118,FIND("-",AU118)-1),""))-(IFERROR(--MID(AU118,FIND("-",AU118)+1,99),"")))=SIGN((AW118)-(AX118)))+2*(((IFERROR(--LEFT(AU118,FIND("-",AU118)-1),""))-(IFERROR(--MID(AU118,FIND("-",AU118)+1,99),"")))=((AW118)-(AX118)))+2*((IFERROR(--LEFT(AU118,FIND("-",AU118)-1),""))=(AW118))+2*((IFERROR(--MID(AU118,FIND("-",AU118)+1,99),""))=(AX118))),""))</f>
        <v>7</v>
      </c>
      <c r="AW118" s="11">
        <f>IF($C118="","",IFERROR(--LEFT($C118,FIND("-",$C118)-1),""))</f>
        <v>2</v>
      </c>
      <c r="AX118" s="11">
        <f>IF($C118="","",IFERROR(--MID($C118,FIND("-",$C118)+1,99),""))</f>
        <v>1</v>
      </c>
    </row>
    <row r="119" spans="1:50" ht="18" customHeight="1" x14ac:dyDescent="0.3">
      <c r="A119" s="9">
        <v>1.9375</v>
      </c>
      <c r="B119" s="18" t="s">
        <v>69</v>
      </c>
      <c r="C119" s="10" t="s">
        <v>35</v>
      </c>
      <c r="D119" s="1" t="s">
        <v>53</v>
      </c>
      <c r="E119" s="10" t="s">
        <v>34</v>
      </c>
      <c r="F119" s="11">
        <f>IF(OR($C119="",E119=""),"",IFERROR(IF(AND(IFERROR(--LEFT(E119,FIND("-",E119)-1),"")=AW119,IFERROR(--MID(E119,FIND("-",E119)+1,99),"")=AX119),10,5*(SIGN((IFERROR(--LEFT(E119,FIND("-",E119)-1),""))-(IFERROR(--MID(E119,FIND("-",E119)+1,99),"")))=SIGN((AW119)-(AX119)))+2*(((IFERROR(--LEFT(E119,FIND("-",E119)-1),""))-(IFERROR(--MID(E119,FIND("-",E119)+1,99),"")))=((AW119)-(AX119)))+2*((IFERROR(--LEFT(E119,FIND("-",E119)-1),""))=(AW119))+2*((IFERROR(--MID(E119,FIND("-",E119)+1,99),""))=(AX119))),""))</f>
        <v>2</v>
      </c>
      <c r="G119" s="10" t="s">
        <v>39</v>
      </c>
      <c r="H119" s="11">
        <f>IF(OR($C119="",G119=""),"",IFERROR(IF(AND(IFERROR(--LEFT(G119,FIND("-",G119)-1),"")=AW119,IFERROR(--MID(G119,FIND("-",G119)+1,99),"")=AX119),10,5*(SIGN((IFERROR(--LEFT(G119,FIND("-",G119)-1),""))-(IFERROR(--MID(G119,FIND("-",G119)+1,99),"")))=SIGN((AW119)-(AX119)))+2*(((IFERROR(--LEFT(G119,FIND("-",G119)-1),""))-(IFERROR(--MID(G119,FIND("-",G119)+1,99),"")))=((AW119)-(AX119)))+2*((IFERROR(--LEFT(G119,FIND("-",G119)-1),""))=(AW119))+2*((IFERROR(--MID(G119,FIND("-",G119)+1,99),""))=(AX119))),""))</f>
        <v>2</v>
      </c>
      <c r="I119" s="10" t="s">
        <v>36</v>
      </c>
      <c r="J119" s="11">
        <f>IF(OR($C119="",I119=""),"",IFERROR(IF(AND(IFERROR(--LEFT(I119,FIND("-",I119)-1),"")=AW119,IFERROR(--MID(I119,FIND("-",I119)+1,99),"")=AX119),10,5*(SIGN((IFERROR(--LEFT(I119,FIND("-",I119)-1),""))-(IFERROR(--MID(I119,FIND("-",I119)+1,99),"")))=SIGN((AW119)-(AX119)))+2*(((IFERROR(--LEFT(I119,FIND("-",I119)-1),""))-(IFERROR(--MID(I119,FIND("-",I119)+1,99),"")))=((AW119)-(AX119)))+2*((IFERROR(--LEFT(I119,FIND("-",I119)-1),""))=(AW119))+2*((IFERROR(--MID(I119,FIND("-",I119)+1,99),""))=(AX119))),""))</f>
        <v>0</v>
      </c>
      <c r="K119" s="10" t="s">
        <v>63</v>
      </c>
      <c r="L119" s="11">
        <f>IF(OR($C119="",K119=""),"",IFERROR(IF(AND(IFERROR(--LEFT(K119,FIND("-",K119)-1),"")=AW119,IFERROR(--MID(K119,FIND("-",K119)+1,99),"")=AX119),10,5*(SIGN((IFERROR(--LEFT(K119,FIND("-",K119)-1),""))-(IFERROR(--MID(K119,FIND("-",K119)+1,99),"")))=SIGN((AW119)-(AX119)))+2*(((IFERROR(--LEFT(K119,FIND("-",K119)-1),""))-(IFERROR(--MID(K119,FIND("-",K119)+1,99),"")))=((AW119)-(AX119)))+2*((IFERROR(--LEFT(K119,FIND("-",K119)-1),""))=(AW119))+2*((IFERROR(--MID(K119,FIND("-",K119)+1,99),""))=(AX119))),""))</f>
        <v>0</v>
      </c>
      <c r="M119" s="10" t="s">
        <v>34</v>
      </c>
      <c r="N119" s="11">
        <f>IF(OR($C119="",M119=""),"",IFERROR(IF(AND(IFERROR(--LEFT(M119,FIND("-",M119)-1),"")=AW119,IFERROR(--MID(M119,FIND("-",M119)+1,99),"")=AX119),10,5*(SIGN((IFERROR(--LEFT(M119,FIND("-",M119)-1),""))-(IFERROR(--MID(M119,FIND("-",M119)+1,99),"")))=SIGN((AW119)-(AX119)))+2*(((IFERROR(--LEFT(M119,FIND("-",M119)-1),""))-(IFERROR(--MID(M119,FIND("-",M119)+1,99),"")))=((AW119)-(AX119)))+2*((IFERROR(--LEFT(M119,FIND("-",M119)-1),""))=(AW119))+2*((IFERROR(--MID(M119,FIND("-",M119)+1,99),""))=(AX119))),""))</f>
        <v>2</v>
      </c>
      <c r="O119" s="10" t="s">
        <v>38</v>
      </c>
      <c r="P119" s="11">
        <f>IF(OR($C119="",O119=""),"",IFERROR(IF(AND(IFERROR(--LEFT(O119,FIND("-",O119)-1),"")=AW119,IFERROR(--MID(O119,FIND("-",O119)+1,99),"")=AX119),10,5*(SIGN((IFERROR(--LEFT(O119,FIND("-",O119)-1),""))-(IFERROR(--MID(O119,FIND("-",O119)+1,99),"")))=SIGN((AW119)-(AX119)))+2*(((IFERROR(--LEFT(O119,FIND("-",O119)-1),""))-(IFERROR(--MID(O119,FIND("-",O119)+1,99),"")))=((AW119)-(AX119)))+2*((IFERROR(--LEFT(O119,FIND("-",O119)-1),""))=(AW119))+2*((IFERROR(--MID(O119,FIND("-",O119)+1,99),""))=(AX119))),""))</f>
        <v>0</v>
      </c>
      <c r="Q119" s="10" t="s">
        <v>43</v>
      </c>
      <c r="R119" s="11">
        <f>IF(OR($C119="",Q119=""),"",IFERROR(IF(AND(IFERROR(--LEFT(Q119,FIND("-",Q119)-1),"")=AW119,IFERROR(--MID(Q119,FIND("-",Q119)+1,99),"")=AX119),10,5*(SIGN((IFERROR(--LEFT(Q119,FIND("-",Q119)-1),""))-(IFERROR(--MID(Q119,FIND("-",Q119)+1,99),"")))=SIGN((AW119)-(AX119)))+2*(((IFERROR(--LEFT(Q119,FIND("-",Q119)-1),""))-(IFERROR(--MID(Q119,FIND("-",Q119)+1,99),"")))=((AW119)-(AX119)))+2*((IFERROR(--LEFT(Q119,FIND("-",Q119)-1),""))=(AW119))+2*((IFERROR(--MID(Q119,FIND("-",Q119)+1,99),""))=(AX119))),""))</f>
        <v>2</v>
      </c>
      <c r="S119" s="10" t="s">
        <v>36</v>
      </c>
      <c r="T119" s="11">
        <f>IF(OR($C119="",S119=""),"",IFERROR(IF(AND(IFERROR(--LEFT(S119,FIND("-",S119)-1),"")=AW119,IFERROR(--MID(S119,FIND("-",S119)+1,99),"")=AX119),10,5*(SIGN((IFERROR(--LEFT(S119,FIND("-",S119)-1),""))-(IFERROR(--MID(S119,FIND("-",S119)+1,99),"")))=SIGN((AW119)-(AX119)))+2*(((IFERROR(--LEFT(S119,FIND("-",S119)-1),""))-(IFERROR(--MID(S119,FIND("-",S119)+1,99),"")))=((AW119)-(AX119)))+2*((IFERROR(--LEFT(S119,FIND("-",S119)-1),""))=(AW119))+2*((IFERROR(--MID(S119,FIND("-",S119)+1,99),""))=(AX119))),""))</f>
        <v>0</v>
      </c>
      <c r="U119" s="10" t="s">
        <v>38</v>
      </c>
      <c r="V119" s="11">
        <f>IF(OR($C119="",U119=""),"",IFERROR(IF(AND(IFERROR(--LEFT(U119,FIND("-",U119)-1),"")=AW119,IFERROR(--MID(U119,FIND("-",U119)+1,99),"")=AX119),10,5*(SIGN((IFERROR(--LEFT(U119,FIND("-",U119)-1),""))-(IFERROR(--MID(U119,FIND("-",U119)+1,99),"")))=SIGN((AW119)-(AX119)))+2*(((IFERROR(--LEFT(U119,FIND("-",U119)-1),""))-(IFERROR(--MID(U119,FIND("-",U119)+1,99),"")))=((AW119)-(AX119)))+2*((IFERROR(--LEFT(U119,FIND("-",U119)-1),""))=(AW119))+2*((IFERROR(--MID(U119,FIND("-",U119)+1,99),""))=(AX119))),""))</f>
        <v>0</v>
      </c>
      <c r="W119" s="10" t="s">
        <v>36</v>
      </c>
      <c r="X119" s="11">
        <f>IF(OR($C119="",W119=""),"",IFERROR(IF(AND(IFERROR(--LEFT(W119,FIND("-",W119)-1),"")=AW119,IFERROR(--MID(W119,FIND("-",W119)+1,99),"")=AX119),10,5*(SIGN((IFERROR(--LEFT(W119,FIND("-",W119)-1),""))-(IFERROR(--MID(W119,FIND("-",W119)+1,99),"")))=SIGN((AW119)-(AX119)))+2*(((IFERROR(--LEFT(W119,FIND("-",W119)-1),""))-(IFERROR(--MID(W119,FIND("-",W119)+1,99),"")))=((AW119)-(AX119)))+2*((IFERROR(--LEFT(W119,FIND("-",W119)-1),""))=(AW119))+2*((IFERROR(--MID(W119,FIND("-",W119)+1,99),""))=(AX119))),""))</f>
        <v>0</v>
      </c>
      <c r="Y119" s="10" t="s">
        <v>38</v>
      </c>
      <c r="Z119" s="11">
        <f>IF(OR($C119="",Y119=""),"",IFERROR(IF(AND(IFERROR(--LEFT(Y119,FIND("-",Y119)-1),"")=AW119,IFERROR(--MID(Y119,FIND("-",Y119)+1,99),"")=AX119),10,5*(SIGN((IFERROR(--LEFT(Y119,FIND("-",Y119)-1),""))-(IFERROR(--MID(Y119,FIND("-",Y119)+1,99),"")))=SIGN((AW119)-(AX119)))+2*(((IFERROR(--LEFT(Y119,FIND("-",Y119)-1),""))-(IFERROR(--MID(Y119,FIND("-",Y119)+1,99),"")))=((AW119)-(AX119)))+2*((IFERROR(--LEFT(Y119,FIND("-",Y119)-1),""))=(AW119))+2*((IFERROR(--MID(Y119,FIND("-",Y119)+1,99),""))=(AX119))),""))</f>
        <v>0</v>
      </c>
      <c r="AA119" s="10" t="s">
        <v>43</v>
      </c>
      <c r="AB119" s="11">
        <f>IF(OR($C119="",AA119=""),"",IFERROR(IF(AND(IFERROR(--LEFT(AA119,FIND("-",AA119)-1),"")=AW119,IFERROR(--MID(AA119,FIND("-",AA119)+1,99),"")=AX119),10,5*(SIGN((IFERROR(--LEFT(AA119,FIND("-",AA119)-1),""))-(IFERROR(--MID(AA119,FIND("-",AA119)+1,99),"")))=SIGN((AW119)-(AX119)))+2*(((IFERROR(--LEFT(AA119,FIND("-",AA119)-1),""))-(IFERROR(--MID(AA119,FIND("-",AA119)+1,99),"")))=((AW119)-(AX119)))+2*((IFERROR(--LEFT(AA119,FIND("-",AA119)-1),""))=(AW119))+2*((IFERROR(--MID(AA119,FIND("-",AA119)+1,99),""))=(AX119))),""))</f>
        <v>2</v>
      </c>
      <c r="AC119" s="10" t="s">
        <v>34</v>
      </c>
      <c r="AD119" s="11">
        <f>IF(OR($C119="",AC119=""),"",IFERROR(IF(AND(IFERROR(--LEFT(AC119,FIND("-",AC119)-1),"")=AW119,IFERROR(--MID(AC119,FIND("-",AC119)+1,99),"")=AX119),10,5*(SIGN((IFERROR(--LEFT(AC119,FIND("-",AC119)-1),""))-(IFERROR(--MID(AC119,FIND("-",AC119)+1,99),"")))=SIGN((AW119)-(AX119)))+2*(((IFERROR(--LEFT(AC119,FIND("-",AC119)-1),""))-(IFERROR(--MID(AC119,FIND("-",AC119)+1,99),"")))=((AW119)-(AX119)))+2*((IFERROR(--LEFT(AC119,FIND("-",AC119)-1),""))=(AW119))+2*((IFERROR(--MID(AC119,FIND("-",AC119)+1,99),""))=(AX119))),""))</f>
        <v>2</v>
      </c>
      <c r="AE119" s="10" t="s">
        <v>38</v>
      </c>
      <c r="AF119" s="11">
        <f>IF(OR($C119="",AE119=""),"",IFERROR(IF(AND(IFERROR(--LEFT(AE119,FIND("-",AE119)-1),"")=AW119,IFERROR(--MID(AE119,FIND("-",AE119)+1,99),"")=AX119),10,5*(SIGN((IFERROR(--LEFT(AE119,FIND("-",AE119)-1),""))-(IFERROR(--MID(AE119,FIND("-",AE119)+1,99),"")))=SIGN((AW119)-(AX119)))+2*(((IFERROR(--LEFT(AE119,FIND("-",AE119)-1),""))-(IFERROR(--MID(AE119,FIND("-",AE119)+1,99),"")))=((AW119)-(AX119)))+2*((IFERROR(--LEFT(AE119,FIND("-",AE119)-1),""))=(AW119))+2*((IFERROR(--MID(AE119,FIND("-",AE119)+1,99),""))=(AX119))),""))</f>
        <v>0</v>
      </c>
      <c r="AG119" s="10" t="s">
        <v>36</v>
      </c>
      <c r="AH119" s="11">
        <f>IF(OR($C119="",AG119=""),"",IFERROR(IF(AND(IFERROR(--LEFT(AG119,FIND("-",AG119)-1),"")=AW119,IFERROR(--MID(AG119,FIND("-",AG119)+1,99),"")=AX119),10,5*(SIGN((IFERROR(--LEFT(AG119,FIND("-",AG119)-1),""))-(IFERROR(--MID(AG119,FIND("-",AG119)+1,99),"")))=SIGN((AW119)-(AX119)))+2*(((IFERROR(--LEFT(AG119,FIND("-",AG119)-1),""))-(IFERROR(--MID(AG119,FIND("-",AG119)+1,99),"")))=((AW119)-(AX119)))+2*((IFERROR(--LEFT(AG119,FIND("-",AG119)-1),""))=(AW119))+2*((IFERROR(--MID(AG119,FIND("-",AG119)+1,99),""))=(AX119))),""))</f>
        <v>0</v>
      </c>
      <c r="AI119" s="10" t="s">
        <v>33</v>
      </c>
      <c r="AJ119" s="11">
        <f>IF(OR($C119="",AI119=""),"",IFERROR(IF(AND(IFERROR(--LEFT(AI119,FIND("-",AI119)-1),"")=AW119,IFERROR(--MID(AI119,FIND("-",AI119)+1,99),"")=AX119),10,5*(SIGN((IFERROR(--LEFT(AI119,FIND("-",AI119)-1),""))-(IFERROR(--MID(AI119,FIND("-",AI119)+1,99),"")))=SIGN((AW119)-(AX119)))+2*(((IFERROR(--LEFT(AI119,FIND("-",AI119)-1),""))-(IFERROR(--MID(AI119,FIND("-",AI119)+1,99),"")))=((AW119)-(AX119)))+2*((IFERROR(--LEFT(AI119,FIND("-",AI119)-1),""))=(AW119))+2*((IFERROR(--MID(AI119,FIND("-",AI119)+1,99),""))=(AX119))),""))</f>
        <v>2</v>
      </c>
      <c r="AK119" s="10" t="s">
        <v>39</v>
      </c>
      <c r="AL119" s="11">
        <f>IF(OR($C119="",AK119=""),"",IFERROR(IF(AND(IFERROR(--LEFT(AK119,FIND("-",AK119)-1),"")=AW119,IFERROR(--MID(AK119,FIND("-",AK119)+1,99),"")=AX119),10,5*(SIGN((IFERROR(--LEFT(AK119,FIND("-",AK119)-1),""))-(IFERROR(--MID(AK119,FIND("-",AK119)+1,99),"")))=SIGN((AW119)-(AX119)))+2*(((IFERROR(--LEFT(AK119,FIND("-",AK119)-1),""))-(IFERROR(--MID(AK119,FIND("-",AK119)+1,99),"")))=((AW119)-(AX119)))+2*((IFERROR(--LEFT(AK119,FIND("-",AK119)-1),""))=(AW119))+2*((IFERROR(--MID(AK119,FIND("-",AK119)+1,99),""))=(AX119))),""))</f>
        <v>2</v>
      </c>
      <c r="AM119" s="10" t="s">
        <v>39</v>
      </c>
      <c r="AN119" s="11">
        <f>IF(OR($C119="",AM119=""),"",IFERROR(IF(AND(IFERROR(--LEFT(AM119,FIND("-",AM119)-1),"")=AW119,IFERROR(--MID(AM119,FIND("-",AM119)+1,99),"")=AX119),10,5*(SIGN((IFERROR(--LEFT(AM119,FIND("-",AM119)-1),""))-(IFERROR(--MID(AM119,FIND("-",AM119)+1,99),"")))=SIGN((AW119)-(AX119)))+2*(((IFERROR(--LEFT(AM119,FIND("-",AM119)-1),""))-(IFERROR(--MID(AM119,FIND("-",AM119)+1,99),"")))=((AW119)-(AX119)))+2*((IFERROR(--LEFT(AM119,FIND("-",AM119)-1),""))=(AW119))+2*((IFERROR(--MID(AM119,FIND("-",AM119)+1,99),""))=(AX119))),""))</f>
        <v>2</v>
      </c>
      <c r="AO119" s="10" t="s">
        <v>34</v>
      </c>
      <c r="AP119" s="11">
        <f>IF(OR($C119="",AO119=""),"",IFERROR(IF(AND(IFERROR(--LEFT(AO119,FIND("-",AO119)-1),"")=AW119,IFERROR(--MID(AO119,FIND("-",AO119)+1,99),"")=AX119),10,5*(SIGN((IFERROR(--LEFT(AO119,FIND("-",AO119)-1),""))-(IFERROR(--MID(AO119,FIND("-",AO119)+1,99),"")))=SIGN((AW119)-(AX119)))+2*(((IFERROR(--LEFT(AO119,FIND("-",AO119)-1),""))-(IFERROR(--MID(AO119,FIND("-",AO119)+1,99),"")))=((AW119)-(AX119)))+2*((IFERROR(--LEFT(AO119,FIND("-",AO119)-1),""))=(AW119))+2*((IFERROR(--MID(AO119,FIND("-",AO119)+1,99),""))=(AX119))),""))</f>
        <v>2</v>
      </c>
      <c r="AQ119" s="10" t="s">
        <v>38</v>
      </c>
      <c r="AR119" s="11">
        <f>IF(OR($C119="",AQ119=""),"",IFERROR(IF(AND(IFERROR(--LEFT(AQ119,FIND("-",AQ119)-1),"")=AW119,IFERROR(--MID(AQ119,FIND("-",AQ119)+1,99),"")=AX119),10,5*(SIGN((IFERROR(--LEFT(AQ119,FIND("-",AQ119)-1),""))-(IFERROR(--MID(AQ119,FIND("-",AQ119)+1,99),"")))=SIGN((AW119)-(AX119)))+2*(((IFERROR(--LEFT(AQ119,FIND("-",AQ119)-1),""))-(IFERROR(--MID(AQ119,FIND("-",AQ119)+1,99),"")))=((AW119)-(AX119)))+2*((IFERROR(--LEFT(AQ119,FIND("-",AQ119)-1),""))=(AW119))+2*((IFERROR(--MID(AQ119,FIND("-",AQ119)+1,99),""))=(AX119))),""))</f>
        <v>0</v>
      </c>
      <c r="AS119" s="10" t="s">
        <v>38</v>
      </c>
      <c r="AT119" s="11">
        <f>IF(OR($C119="",AS119=""),"",IFERROR(IF(AND(IFERROR(--LEFT(AS119,FIND("-",AS119)-1),"")=AW119,IFERROR(--MID(AS119,FIND("-",AS119)+1,99),"")=AX119),10,5*(SIGN((IFERROR(--LEFT(AS119,FIND("-",AS119)-1),""))-(IFERROR(--MID(AS119,FIND("-",AS119)+1,99),"")))=SIGN((AW119)-(AX119)))+2*(((IFERROR(--LEFT(AS119,FIND("-",AS119)-1),""))-(IFERROR(--MID(AS119,FIND("-",AS119)+1,99),"")))=((AW119)-(AX119)))+2*((IFERROR(--LEFT(AS119,FIND("-",AS119)-1),""))=(AW119))+2*((IFERROR(--MID(AS119,FIND("-",AS119)+1,99),""))=(AX119))),""))</f>
        <v>0</v>
      </c>
      <c r="AU119" s="10" t="s">
        <v>36</v>
      </c>
      <c r="AV119" s="11">
        <f>IF(OR($C119="",AU119=""),"",IFERROR(IF(AND(IFERROR(--LEFT(AU119,FIND("-",AU119)-1),"")=AW119,IFERROR(--MID(AU119,FIND("-",AU119)+1,99),"")=AX119),10,5*(SIGN((IFERROR(--LEFT(AU119,FIND("-",AU119)-1),""))-(IFERROR(--MID(AU119,FIND("-",AU119)+1,99),"")))=SIGN((AW119)-(AX119)))+2*(((IFERROR(--LEFT(AU119,FIND("-",AU119)-1),""))-(IFERROR(--MID(AU119,FIND("-",AU119)+1,99),"")))=((AW119)-(AX119)))+2*((IFERROR(--LEFT(AU119,FIND("-",AU119)-1),""))=(AW119))+2*((IFERROR(--MID(AU119,FIND("-",AU119)+1,99),""))=(AX119))),""))</f>
        <v>0</v>
      </c>
      <c r="AW119" s="11">
        <f>IF($C119="","",IFERROR(--LEFT($C119,FIND("-",$C119)-1),""))</f>
        <v>1</v>
      </c>
      <c r="AX119" s="11">
        <f>IF($C119="","",IFERROR(--MID($C119,FIND("-",$C119)+1,99),""))</f>
        <v>1</v>
      </c>
    </row>
    <row r="120" spans="1:50" ht="18" customHeight="1" x14ac:dyDescent="0.3">
      <c r="A120" s="12"/>
      <c r="B120" s="18"/>
      <c r="C120" s="13"/>
      <c r="D120" s="1"/>
      <c r="E120" s="22"/>
      <c r="F120" s="12"/>
      <c r="G120" s="22"/>
      <c r="H120" s="12"/>
      <c r="I120" s="22"/>
      <c r="J120" s="12"/>
      <c r="K120" s="22"/>
      <c r="L120" s="12"/>
      <c r="M120" s="22"/>
      <c r="N120" s="12"/>
      <c r="O120" s="22"/>
      <c r="P120" s="12"/>
      <c r="Q120" s="22"/>
      <c r="R120" s="12"/>
      <c r="S120" s="22"/>
      <c r="T120" s="12"/>
      <c r="U120" s="13"/>
      <c r="V120" s="12"/>
      <c r="W120" s="22"/>
      <c r="X120" s="12"/>
      <c r="Y120" s="22"/>
      <c r="Z120" s="12"/>
      <c r="AA120" s="22"/>
      <c r="AB120" s="12"/>
      <c r="AC120" s="22"/>
      <c r="AD120" s="12"/>
      <c r="AE120" s="22"/>
      <c r="AF120" s="12"/>
      <c r="AG120" s="22"/>
      <c r="AH120" s="12"/>
      <c r="AI120" s="22"/>
      <c r="AJ120" s="12"/>
      <c r="AK120" s="22"/>
      <c r="AL120" s="12"/>
      <c r="AM120" s="22"/>
      <c r="AN120" s="12"/>
      <c r="AO120" s="22"/>
      <c r="AP120" s="12"/>
      <c r="AQ120" s="22"/>
      <c r="AR120" s="12" t="str">
        <f>IF(OR($C120="",AQ120=""),"",IFERROR(IF(AND(IFERROR(--LEFT(AQ120,FIND("-",AQ120)-1),"")=AW120,IFERROR(--MID(AQ120,FIND("-",AQ120)+1,99),"")=AX120),10,5*(SIGN((IFERROR(--LEFT(AQ120,FIND("-",AQ120)-1),""))-(IFERROR(--MID(AQ120,FIND("-",AQ120)+1,99),"")))=SIGN((AW120)-(AX120)))+2*(((IFERROR(--LEFT(AQ120,FIND("-",AQ120)-1),""))-(IFERROR(--MID(AQ120,FIND("-",AQ120)+1,99),"")))=((AW120)-(AX120)))+2*((IFERROR(--LEFT(AQ120,FIND("-",AQ120)-1),""))=(AW120))+2*((IFERROR(--MID(AQ120,FIND("-",AQ120)+1,99),""))=(AX120))),""))</f>
        <v/>
      </c>
      <c r="AS120" s="22"/>
      <c r="AT120" s="12" t="str">
        <f>IF(OR($C120="",AS120=""),"",IFERROR(IF(AND(IFERROR(--LEFT(AS120,FIND("-",AS120)-1),"")=AW120,IFERROR(--MID(AS120,FIND("-",AS120)+1,99),"")=AX120),10,5*(SIGN((IFERROR(--LEFT(AS120,FIND("-",AS120)-1),""))-(IFERROR(--MID(AS120,FIND("-",AS120)+1,99),"")))=SIGN((AW120)-(AX120)))+2*(((IFERROR(--LEFT(AS120,FIND("-",AS120)-1),""))-(IFERROR(--MID(AS120,FIND("-",AS120)+1,99),"")))=((AW120)-(AX120)))+2*((IFERROR(--LEFT(AS120,FIND("-",AS120)-1),""))=(AW120))+2*((IFERROR(--MID(AS120,FIND("-",AS120)+1,99),""))=(AX120))),""))</f>
        <v/>
      </c>
      <c r="AU120" s="22"/>
      <c r="AV120" s="12"/>
      <c r="AW120" s="12"/>
      <c r="AX120" s="12"/>
    </row>
    <row r="121" spans="1:50" ht="20.100000000000001" customHeight="1" x14ac:dyDescent="0.3">
      <c r="A121" s="36" t="s">
        <v>130</v>
      </c>
      <c r="B121" s="37"/>
      <c r="C121" s="38"/>
      <c r="D121" s="37"/>
      <c r="E121" s="38"/>
      <c r="F121" s="37"/>
      <c r="G121" s="38"/>
      <c r="H121" s="37"/>
      <c r="I121" s="38"/>
      <c r="J121" s="37"/>
      <c r="K121" s="38"/>
      <c r="L121" s="37"/>
      <c r="M121" s="38"/>
      <c r="N121" s="37"/>
      <c r="O121" s="38"/>
      <c r="P121" s="37"/>
      <c r="Q121" s="38"/>
      <c r="R121" s="37"/>
      <c r="S121" s="38"/>
      <c r="T121" s="37"/>
      <c r="U121" s="38"/>
      <c r="V121" s="37"/>
      <c r="W121" s="38"/>
      <c r="X121" s="37"/>
      <c r="Y121" s="38"/>
      <c r="Z121" s="37"/>
      <c r="AA121" s="38"/>
      <c r="AB121" s="37"/>
      <c r="AC121" s="38"/>
      <c r="AD121" s="37"/>
      <c r="AE121" s="38"/>
      <c r="AF121" s="37"/>
      <c r="AG121" s="38"/>
      <c r="AH121" s="37"/>
      <c r="AI121" s="38"/>
      <c r="AJ121" s="37"/>
      <c r="AK121" s="38"/>
      <c r="AL121" s="37"/>
      <c r="AM121" s="38"/>
      <c r="AN121" s="37"/>
      <c r="AO121" s="38"/>
      <c r="AP121" s="37"/>
      <c r="AQ121" s="37"/>
      <c r="AR121" s="37"/>
      <c r="AS121" s="37"/>
      <c r="AT121" s="37"/>
      <c r="AU121" s="38"/>
      <c r="AV121" s="39"/>
      <c r="AW121" s="8"/>
      <c r="AX121" s="8"/>
    </row>
    <row r="122" spans="1:50" ht="18" customHeight="1" x14ac:dyDescent="0.3">
      <c r="A122" s="9">
        <v>1.125</v>
      </c>
      <c r="B122" s="18" t="s">
        <v>73</v>
      </c>
      <c r="C122" s="10" t="s">
        <v>35</v>
      </c>
      <c r="D122" s="1" t="s">
        <v>60</v>
      </c>
      <c r="E122" s="10" t="s">
        <v>34</v>
      </c>
      <c r="F122" s="11">
        <f>IF(OR($C122="",E122=""),"",IFERROR(IF(AND(IFERROR(--LEFT(E122,FIND("-",E122)-1),"")=AW122,IFERROR(--MID(E122,FIND("-",E122)+1,99),"")=AX122),10,5*(SIGN((IFERROR(--LEFT(E122,FIND("-",E122)-1),""))-(IFERROR(--MID(E122,FIND("-",E122)+1,99),"")))=SIGN((AW122)-(AX122)))+2*(((IFERROR(--LEFT(E122,FIND("-",E122)-1),""))-(IFERROR(--MID(E122,FIND("-",E122)+1,99),"")))=((AW122)-(AX122)))+2*((IFERROR(--LEFT(E122,FIND("-",E122)-1),""))=(AW122))+2*((IFERROR(--MID(E122,FIND("-",E122)+1,99),""))=(AX122))),""))</f>
        <v>2</v>
      </c>
      <c r="G122" s="10" t="s">
        <v>39</v>
      </c>
      <c r="H122" s="11">
        <f>IF(OR($C122="",G122=""),"",IFERROR(IF(AND(IFERROR(--LEFT(G122,FIND("-",G122)-1),"")=AW122,IFERROR(--MID(G122,FIND("-",G122)+1,99),"")=AX122),10,5*(SIGN((IFERROR(--LEFT(G122,FIND("-",G122)-1),""))-(IFERROR(--MID(G122,FIND("-",G122)+1,99),"")))=SIGN((AW122)-(AX122)))+2*(((IFERROR(--LEFT(G122,FIND("-",G122)-1),""))-(IFERROR(--MID(G122,FIND("-",G122)+1,99),"")))=((AW122)-(AX122)))+2*((IFERROR(--LEFT(G122,FIND("-",G122)-1),""))=(AW122))+2*((IFERROR(--MID(G122,FIND("-",G122)+1,99),""))=(AX122))),""))</f>
        <v>2</v>
      </c>
      <c r="I122" s="10" t="s">
        <v>33</v>
      </c>
      <c r="J122" s="11">
        <f>IF(OR($C122="",I122=""),"",IFERROR(IF(AND(IFERROR(--LEFT(I122,FIND("-",I122)-1),"")=AW122,IFERROR(--MID(I122,FIND("-",I122)+1,99),"")=AX122),10,5*(SIGN((IFERROR(--LEFT(I122,FIND("-",I122)-1),""))-(IFERROR(--MID(I122,FIND("-",I122)+1,99),"")))=SIGN((AW122)-(AX122)))+2*(((IFERROR(--LEFT(I122,FIND("-",I122)-1),""))-(IFERROR(--MID(I122,FIND("-",I122)+1,99),"")))=((AW122)-(AX122)))+2*((IFERROR(--LEFT(I122,FIND("-",I122)-1),""))=(AW122))+2*((IFERROR(--MID(I122,FIND("-",I122)+1,99),""))=(AX122))),""))</f>
        <v>2</v>
      </c>
      <c r="K122" s="10" t="s">
        <v>34</v>
      </c>
      <c r="L122" s="11">
        <f>IF(OR($C122="",K122=""),"",IFERROR(IF(AND(IFERROR(--LEFT(K122,FIND("-",K122)-1),"")=AW122,IFERROR(--MID(K122,FIND("-",K122)+1,99),"")=AX122),10,5*(SIGN((IFERROR(--LEFT(K122,FIND("-",K122)-1),""))-(IFERROR(--MID(K122,FIND("-",K122)+1,99),"")))=SIGN((AW122)-(AX122)))+2*(((IFERROR(--LEFT(K122,FIND("-",K122)-1),""))-(IFERROR(--MID(K122,FIND("-",K122)+1,99),"")))=((AW122)-(AX122)))+2*((IFERROR(--LEFT(K122,FIND("-",K122)-1),""))=(AW122))+2*((IFERROR(--MID(K122,FIND("-",K122)+1,99),""))=(AX122))),""))</f>
        <v>2</v>
      </c>
      <c r="M122" s="10" t="s">
        <v>44</v>
      </c>
      <c r="N122" s="11">
        <f>IF(OR($C122="",M122=""),"",IFERROR(IF(AND(IFERROR(--LEFT(M122,FIND("-",M122)-1),"")=AW122,IFERROR(--MID(M122,FIND("-",M122)+1,99),"")=AX122),10,5*(SIGN((IFERROR(--LEFT(M122,FIND("-",M122)-1),""))-(IFERROR(--MID(M122,FIND("-",M122)+1,99),"")))=SIGN((AW122)-(AX122)))+2*(((IFERROR(--LEFT(M122,FIND("-",M122)-1),""))-(IFERROR(--MID(M122,FIND("-",M122)+1,99),"")))=((AW122)-(AX122)))+2*((IFERROR(--LEFT(M122,FIND("-",M122)-1),""))=(AW122))+2*((IFERROR(--MID(M122,FIND("-",M122)+1,99),""))=(AX122))),""))</f>
        <v>0</v>
      </c>
      <c r="O122" s="10" t="s">
        <v>34</v>
      </c>
      <c r="P122" s="11">
        <f>IF(OR($C122="",O122=""),"",IFERROR(IF(AND(IFERROR(--LEFT(O122,FIND("-",O122)-1),"")=AW122,IFERROR(--MID(O122,FIND("-",O122)+1,99),"")=AX122),10,5*(SIGN((IFERROR(--LEFT(O122,FIND("-",O122)-1),""))-(IFERROR(--MID(O122,FIND("-",O122)+1,99),"")))=SIGN((AW122)-(AX122)))+2*(((IFERROR(--LEFT(O122,FIND("-",O122)-1),""))-(IFERROR(--MID(O122,FIND("-",O122)+1,99),"")))=((AW122)-(AX122)))+2*((IFERROR(--LEFT(O122,FIND("-",O122)-1),""))=(AW122))+2*((IFERROR(--MID(O122,FIND("-",O122)+1,99),""))=(AX122))),""))</f>
        <v>2</v>
      </c>
      <c r="Q122" s="10" t="s">
        <v>61</v>
      </c>
      <c r="R122" s="11">
        <f>IF(OR($C122="",Q122=""),"",IFERROR(IF(AND(IFERROR(--LEFT(Q122,FIND("-",Q122)-1),"")=AW122,IFERROR(--MID(Q122,FIND("-",Q122)+1,99),"")=AX122),10,5*(SIGN((IFERROR(--LEFT(Q122,FIND("-",Q122)-1),""))-(IFERROR(--MID(Q122,FIND("-",Q122)+1,99),"")))=SIGN((AW122)-(AX122)))+2*(((IFERROR(--LEFT(Q122,FIND("-",Q122)-1),""))-(IFERROR(--MID(Q122,FIND("-",Q122)+1,99),"")))=((AW122)-(AX122)))+2*((IFERROR(--LEFT(Q122,FIND("-",Q122)-1),""))=(AW122))+2*((IFERROR(--MID(Q122,FIND("-",Q122)+1,99),""))=(AX122))),""))</f>
        <v>0</v>
      </c>
      <c r="S122" s="10" t="s">
        <v>33</v>
      </c>
      <c r="T122" s="11">
        <f>IF(OR($C122="",S122=""),"",IFERROR(IF(AND(IFERROR(--LEFT(S122,FIND("-",S122)-1),"")=AW122,IFERROR(--MID(S122,FIND("-",S122)+1,99),"")=AX122),10,5*(SIGN((IFERROR(--LEFT(S122,FIND("-",S122)-1),""))-(IFERROR(--MID(S122,FIND("-",S122)+1,99),"")))=SIGN((AW122)-(AX122)))+2*(((IFERROR(--LEFT(S122,FIND("-",S122)-1),""))-(IFERROR(--MID(S122,FIND("-",S122)+1,99),"")))=((AW122)-(AX122)))+2*((IFERROR(--LEFT(S122,FIND("-",S122)-1),""))=(AW122))+2*((IFERROR(--MID(S122,FIND("-",S122)+1,99),""))=(AX122))),""))</f>
        <v>2</v>
      </c>
      <c r="U122" s="10" t="s">
        <v>33</v>
      </c>
      <c r="V122" s="11">
        <f>IF(OR($C122="",U122=""),"",IFERROR(IF(AND(IFERROR(--LEFT(U122,FIND("-",U122)-1),"")=AW122,IFERROR(--MID(U122,FIND("-",U122)+1,99),"")=AX122),10,5*(SIGN((IFERROR(--LEFT(U122,FIND("-",U122)-1),""))-(IFERROR(--MID(U122,FIND("-",U122)+1,99),"")))=SIGN((AW122)-(AX122)))+2*(((IFERROR(--LEFT(U122,FIND("-",U122)-1),""))-(IFERROR(--MID(U122,FIND("-",U122)+1,99),"")))=((AW122)-(AX122)))+2*((IFERROR(--LEFT(U122,FIND("-",U122)-1),""))=(AW122))+2*((IFERROR(--MID(U122,FIND("-",U122)+1,99),""))=(AX122))),""))</f>
        <v>2</v>
      </c>
      <c r="W122" s="10" t="s">
        <v>33</v>
      </c>
      <c r="X122" s="11">
        <f>IF(OR($C122="",W122=""),"",IFERROR(IF(AND(IFERROR(--LEFT(W122,FIND("-",W122)-1),"")=AW122,IFERROR(--MID(W122,FIND("-",W122)+1,99),"")=AX122),10,5*(SIGN((IFERROR(--LEFT(W122,FIND("-",W122)-1),""))-(IFERROR(--MID(W122,FIND("-",W122)+1,99),"")))=SIGN((AW122)-(AX122)))+2*(((IFERROR(--LEFT(W122,FIND("-",W122)-1),""))-(IFERROR(--MID(W122,FIND("-",W122)+1,99),"")))=((AW122)-(AX122)))+2*((IFERROR(--LEFT(W122,FIND("-",W122)-1),""))=(AW122))+2*((IFERROR(--MID(W122,FIND("-",W122)+1,99),""))=(AX122))),""))</f>
        <v>2</v>
      </c>
      <c r="Y122" s="10" t="s">
        <v>33</v>
      </c>
      <c r="Z122" s="11">
        <f>IF(OR($C122="",Y122=""),"",IFERROR(IF(AND(IFERROR(--LEFT(Y122,FIND("-",Y122)-1),"")=AW122,IFERROR(--MID(Y122,FIND("-",Y122)+1,99),"")=AX122),10,5*(SIGN((IFERROR(--LEFT(Y122,FIND("-",Y122)-1),""))-(IFERROR(--MID(Y122,FIND("-",Y122)+1,99),"")))=SIGN((AW122)-(AX122)))+2*(((IFERROR(--LEFT(Y122,FIND("-",Y122)-1),""))-(IFERROR(--MID(Y122,FIND("-",Y122)+1,99),"")))=((AW122)-(AX122)))+2*((IFERROR(--LEFT(Y122,FIND("-",Y122)-1),""))=(AW122))+2*((IFERROR(--MID(Y122,FIND("-",Y122)+1,99),""))=(AX122))),""))</f>
        <v>2</v>
      </c>
      <c r="AA122" s="10" t="s">
        <v>33</v>
      </c>
      <c r="AB122" s="11">
        <f>IF(OR($C122="",AA122=""),"",IFERROR(IF(AND(IFERROR(--LEFT(AA122,FIND("-",AA122)-1),"")=AW122,IFERROR(--MID(AA122,FIND("-",AA122)+1,99),"")=AX122),10,5*(SIGN((IFERROR(--LEFT(AA122,FIND("-",AA122)-1),""))-(IFERROR(--MID(AA122,FIND("-",AA122)+1,99),"")))=SIGN((AW122)-(AX122)))+2*(((IFERROR(--LEFT(AA122,FIND("-",AA122)-1),""))-(IFERROR(--MID(AA122,FIND("-",AA122)+1,99),"")))=((AW122)-(AX122)))+2*((IFERROR(--LEFT(AA122,FIND("-",AA122)-1),""))=(AW122))+2*((IFERROR(--MID(AA122,FIND("-",AA122)+1,99),""))=(AX122))),""))</f>
        <v>2</v>
      </c>
      <c r="AC122" s="10" t="s">
        <v>61</v>
      </c>
      <c r="AD122" s="11">
        <f>IF(OR($C122="",AC122=""),"",IFERROR(IF(AND(IFERROR(--LEFT(AC122,FIND("-",AC122)-1),"")=AW122,IFERROR(--MID(AC122,FIND("-",AC122)+1,99),"")=AX122),10,5*(SIGN((IFERROR(--LEFT(AC122,FIND("-",AC122)-1),""))-(IFERROR(--MID(AC122,FIND("-",AC122)+1,99),"")))=SIGN((AW122)-(AX122)))+2*(((IFERROR(--LEFT(AC122,FIND("-",AC122)-1),""))-(IFERROR(--MID(AC122,FIND("-",AC122)+1,99),"")))=((AW122)-(AX122)))+2*((IFERROR(--LEFT(AC122,FIND("-",AC122)-1),""))=(AW122))+2*((IFERROR(--MID(AC122,FIND("-",AC122)+1,99),""))=(AX122))),""))</f>
        <v>0</v>
      </c>
      <c r="AE122" s="10" t="s">
        <v>49</v>
      </c>
      <c r="AF122" s="11">
        <f>IF(OR($C122="",AE122=""),"",IFERROR(IF(AND(IFERROR(--LEFT(AE122,FIND("-",AE122)-1),"")=AW122,IFERROR(--MID(AE122,FIND("-",AE122)+1,99),"")=AX122),10,5*(SIGN((IFERROR(--LEFT(AE122,FIND("-",AE122)-1),""))-(IFERROR(--MID(AE122,FIND("-",AE122)+1,99),"")))=SIGN((AW122)-(AX122)))+2*(((IFERROR(--LEFT(AE122,FIND("-",AE122)-1),""))-(IFERROR(--MID(AE122,FIND("-",AE122)+1,99),"")))=((AW122)-(AX122)))+2*((IFERROR(--LEFT(AE122,FIND("-",AE122)-1),""))=(AW122))+2*((IFERROR(--MID(AE122,FIND("-",AE122)+1,99),""))=(AX122))),""))</f>
        <v>7</v>
      </c>
      <c r="AG122" s="10" t="s">
        <v>33</v>
      </c>
      <c r="AH122" s="11">
        <f>IF(OR($C122="",AG122=""),"",IFERROR(IF(AND(IFERROR(--LEFT(AG122,FIND("-",AG122)-1),"")=AW122,IFERROR(--MID(AG122,FIND("-",AG122)+1,99),"")=AX122),10,5*(SIGN((IFERROR(--LEFT(AG122,FIND("-",AG122)-1),""))-(IFERROR(--MID(AG122,FIND("-",AG122)+1,99),"")))=SIGN((AW122)-(AX122)))+2*(((IFERROR(--LEFT(AG122,FIND("-",AG122)-1),""))-(IFERROR(--MID(AG122,FIND("-",AG122)+1,99),"")))=((AW122)-(AX122)))+2*((IFERROR(--LEFT(AG122,FIND("-",AG122)-1),""))=(AW122))+2*((IFERROR(--MID(AG122,FIND("-",AG122)+1,99),""))=(AX122))),""))</f>
        <v>2</v>
      </c>
      <c r="AI122" s="10" t="s">
        <v>38</v>
      </c>
      <c r="AJ122" s="11">
        <f>IF(OR($C122="",AI122=""),"",IFERROR(IF(AND(IFERROR(--LEFT(AI122,FIND("-",AI122)-1),"")=AW122,IFERROR(--MID(AI122,FIND("-",AI122)+1,99),"")=AX122),10,5*(SIGN((IFERROR(--LEFT(AI122,FIND("-",AI122)-1),""))-(IFERROR(--MID(AI122,FIND("-",AI122)+1,99),"")))=SIGN((AW122)-(AX122)))+2*(((IFERROR(--LEFT(AI122,FIND("-",AI122)-1),""))-(IFERROR(--MID(AI122,FIND("-",AI122)+1,99),"")))=((AW122)-(AX122)))+2*((IFERROR(--LEFT(AI122,FIND("-",AI122)-1),""))=(AW122))+2*((IFERROR(--MID(AI122,FIND("-",AI122)+1,99),""))=(AX122))),""))</f>
        <v>0</v>
      </c>
      <c r="AK122" s="10" t="s">
        <v>33</v>
      </c>
      <c r="AL122" s="11">
        <f>IF(OR($C122="",AK122=""),"",IFERROR(IF(AND(IFERROR(--LEFT(AK122,FIND("-",AK122)-1),"")=AW122,IFERROR(--MID(AK122,FIND("-",AK122)+1,99),"")=AX122),10,5*(SIGN((IFERROR(--LEFT(AK122,FIND("-",AK122)-1),""))-(IFERROR(--MID(AK122,FIND("-",AK122)+1,99),"")))=SIGN((AW122)-(AX122)))+2*(((IFERROR(--LEFT(AK122,FIND("-",AK122)-1),""))-(IFERROR(--MID(AK122,FIND("-",AK122)+1,99),"")))=((AW122)-(AX122)))+2*((IFERROR(--LEFT(AK122,FIND("-",AK122)-1),""))=(AW122))+2*((IFERROR(--MID(AK122,FIND("-",AK122)+1,99),""))=(AX122))),""))</f>
        <v>2</v>
      </c>
      <c r="AM122" s="10" t="s">
        <v>61</v>
      </c>
      <c r="AN122" s="11">
        <f>IF(OR($C122="",AM122=""),"",IFERROR(IF(AND(IFERROR(--LEFT(AM122,FIND("-",AM122)-1),"")=AW122,IFERROR(--MID(AM122,FIND("-",AM122)+1,99),"")=AX122),10,5*(SIGN((IFERROR(--LEFT(AM122,FIND("-",AM122)-1),""))-(IFERROR(--MID(AM122,FIND("-",AM122)+1,99),"")))=SIGN((AW122)-(AX122)))+2*(((IFERROR(--LEFT(AM122,FIND("-",AM122)-1),""))-(IFERROR(--MID(AM122,FIND("-",AM122)+1,99),"")))=((AW122)-(AX122)))+2*((IFERROR(--LEFT(AM122,FIND("-",AM122)-1),""))=(AW122))+2*((IFERROR(--MID(AM122,FIND("-",AM122)+1,99),""))=(AX122))),""))</f>
        <v>0</v>
      </c>
      <c r="AO122" s="10" t="s">
        <v>49</v>
      </c>
      <c r="AP122" s="11">
        <f>IF(OR($C122="",AO122=""),"",IFERROR(IF(AND(IFERROR(--LEFT(AO122,FIND("-",AO122)-1),"")=AW122,IFERROR(--MID(AO122,FIND("-",AO122)+1,99),"")=AX122),10,5*(SIGN((IFERROR(--LEFT(AO122,FIND("-",AO122)-1),""))-(IFERROR(--MID(AO122,FIND("-",AO122)+1,99),"")))=SIGN((AW122)-(AX122)))+2*(((IFERROR(--LEFT(AO122,FIND("-",AO122)-1),""))-(IFERROR(--MID(AO122,FIND("-",AO122)+1,99),"")))=((AW122)-(AX122)))+2*((IFERROR(--LEFT(AO122,FIND("-",AO122)-1),""))=(AW122))+2*((IFERROR(--MID(AO122,FIND("-",AO122)+1,99),""))=(AX122))),""))</f>
        <v>7</v>
      </c>
      <c r="AQ122" s="10" t="s">
        <v>37</v>
      </c>
      <c r="AR122" s="11">
        <f>IF(OR($C122="",AQ122=""),"",IFERROR(IF(AND(IFERROR(--LEFT(AQ122,FIND("-",AQ122)-1),"")=AW122,IFERROR(--MID(AQ122,FIND("-",AQ122)+1,99),"")=AX122),10,5*(SIGN((IFERROR(--LEFT(AQ122,FIND("-",AQ122)-1),""))-(IFERROR(--MID(AQ122,FIND("-",AQ122)+1,99),"")))=SIGN((AW122)-(AX122)))+2*(((IFERROR(--LEFT(AQ122,FIND("-",AQ122)-1),""))-(IFERROR(--MID(AQ122,FIND("-",AQ122)+1,99),"")))=((AW122)-(AX122)))+2*((IFERROR(--LEFT(AQ122,FIND("-",AQ122)-1),""))=(AW122))+2*((IFERROR(--MID(AQ122,FIND("-",AQ122)+1,99),""))=(AX122))),""))</f>
        <v>2</v>
      </c>
      <c r="AS122" s="10" t="s">
        <v>33</v>
      </c>
      <c r="AT122" s="11">
        <f>IF(OR($C122="",AS122=""),"",IFERROR(IF(AND(IFERROR(--LEFT(AS122,FIND("-",AS122)-1),"")=AW122,IFERROR(--MID(AS122,FIND("-",AS122)+1,99),"")=AX122),10,5*(SIGN((IFERROR(--LEFT(AS122,FIND("-",AS122)-1),""))-(IFERROR(--MID(AS122,FIND("-",AS122)+1,99),"")))=SIGN((AW122)-(AX122)))+2*(((IFERROR(--LEFT(AS122,FIND("-",AS122)-1),""))-(IFERROR(--MID(AS122,FIND("-",AS122)+1,99),"")))=((AW122)-(AX122)))+2*((IFERROR(--LEFT(AS122,FIND("-",AS122)-1),""))=(AW122))+2*((IFERROR(--MID(AS122,FIND("-",AS122)+1,99),""))=(AX122))),""))</f>
        <v>2</v>
      </c>
      <c r="AU122" s="10" t="s">
        <v>61</v>
      </c>
      <c r="AV122" s="11">
        <f>IF(OR($C122="",AU122=""),"",IFERROR(IF(AND(IFERROR(--LEFT(AU122,FIND("-",AU122)-1),"")=AW122,IFERROR(--MID(AU122,FIND("-",AU122)+1,99),"")=AX122),10,5*(SIGN((IFERROR(--LEFT(AU122,FIND("-",AU122)-1),""))-(IFERROR(--MID(AU122,FIND("-",AU122)+1,99),"")))=SIGN((AW122)-(AX122)))+2*(((IFERROR(--LEFT(AU122,FIND("-",AU122)-1),""))-(IFERROR(--MID(AU122,FIND("-",AU122)+1,99),"")))=((AW122)-(AX122)))+2*((IFERROR(--LEFT(AU122,FIND("-",AU122)-1),""))=(AW122))+2*((IFERROR(--MID(AU122,FIND("-",AU122)+1,99),""))=(AX122))),""))</f>
        <v>0</v>
      </c>
      <c r="AW122" s="11">
        <f>IF($C122="","",IFERROR(--LEFT($C122,FIND("-",$C122)-1),""))</f>
        <v>1</v>
      </c>
      <c r="AX122" s="11">
        <f>IF($C122="","",IFERROR(--MID($C122,FIND("-",$C122)+1,99),""))</f>
        <v>1</v>
      </c>
    </row>
    <row r="123" spans="1:50" ht="18" customHeight="1" x14ac:dyDescent="0.3">
      <c r="A123" s="9">
        <v>1.791666666666667</v>
      </c>
      <c r="B123" s="18" t="s">
        <v>76</v>
      </c>
      <c r="C123" s="10" t="s">
        <v>37</v>
      </c>
      <c r="D123" s="1" t="s">
        <v>94</v>
      </c>
      <c r="E123" s="10" t="s">
        <v>37</v>
      </c>
      <c r="F123" s="11">
        <f>IF(OR($C123="",E123=""),"",IFERROR(IF(AND(IFERROR(--LEFT(E123,FIND("-",E123)-1),"")=AW123,IFERROR(--MID(E123,FIND("-",E123)+1,99),"")=AX123),10,5*(SIGN((IFERROR(--LEFT(E123,FIND("-",E123)-1),""))-(IFERROR(--MID(E123,FIND("-",E123)+1,99),"")))=SIGN((AW123)-(AX123)))+2*(((IFERROR(--LEFT(E123,FIND("-",E123)-1),""))-(IFERROR(--MID(E123,FIND("-",E123)+1,99),"")))=((AW123)-(AX123)))+2*((IFERROR(--LEFT(E123,FIND("-",E123)-1),""))=(AW123))+2*((IFERROR(--MID(E123,FIND("-",E123)+1,99),""))=(AX123))),""))</f>
        <v>10</v>
      </c>
      <c r="G123" s="10" t="s">
        <v>35</v>
      </c>
      <c r="H123" s="11">
        <f>IF(OR($C123="",G123=""),"",IFERROR(IF(AND(IFERROR(--LEFT(G123,FIND("-",G123)-1),"")=AW123,IFERROR(--MID(G123,FIND("-",G123)+1,99),"")=AX123),10,5*(SIGN((IFERROR(--LEFT(G123,FIND("-",G123)-1),""))-(IFERROR(--MID(G123,FIND("-",G123)+1,99),"")))=SIGN((AW123)-(AX123)))+2*(((IFERROR(--LEFT(G123,FIND("-",G123)-1),""))-(IFERROR(--MID(G123,FIND("-",G123)+1,99),"")))=((AW123)-(AX123)))+2*((IFERROR(--LEFT(G123,FIND("-",G123)-1),""))=(AW123))+2*((IFERROR(--MID(G123,FIND("-",G123)+1,99),""))=(AX123))),""))</f>
        <v>2</v>
      </c>
      <c r="I123" s="10" t="s">
        <v>35</v>
      </c>
      <c r="J123" s="11">
        <f>IF(OR($C123="",I123=""),"",IFERROR(IF(AND(IFERROR(--LEFT(I123,FIND("-",I123)-1),"")=AW123,IFERROR(--MID(I123,FIND("-",I123)+1,99),"")=AX123),10,5*(SIGN((IFERROR(--LEFT(I123,FIND("-",I123)-1),""))-(IFERROR(--MID(I123,FIND("-",I123)+1,99),"")))=SIGN((AW123)-(AX123)))+2*(((IFERROR(--LEFT(I123,FIND("-",I123)-1),""))-(IFERROR(--MID(I123,FIND("-",I123)+1,99),"")))=((AW123)-(AX123)))+2*((IFERROR(--LEFT(I123,FIND("-",I123)-1),""))=(AW123))+2*((IFERROR(--MID(I123,FIND("-",I123)+1,99),""))=(AX123))),""))</f>
        <v>2</v>
      </c>
      <c r="K123" s="10" t="s">
        <v>48</v>
      </c>
      <c r="L123" s="11">
        <f>IF(OR($C123="",K123=""),"",IFERROR(IF(AND(IFERROR(--LEFT(K123,FIND("-",K123)-1),"")=AW123,IFERROR(--MID(K123,FIND("-",K123)+1,99),"")=AX123),10,5*(SIGN((IFERROR(--LEFT(K123,FIND("-",K123)-1),""))-(IFERROR(--MID(K123,FIND("-",K123)+1,99),"")))=SIGN((AW123)-(AX123)))+2*(((IFERROR(--LEFT(K123,FIND("-",K123)-1),""))-(IFERROR(--MID(K123,FIND("-",K123)+1,99),"")))=((AW123)-(AX123)))+2*((IFERROR(--LEFT(K123,FIND("-",K123)-1),""))=(AW123))+2*((IFERROR(--MID(K123,FIND("-",K123)+1,99),""))=(AX123))),""))</f>
        <v>7</v>
      </c>
      <c r="M123" s="10" t="s">
        <v>56</v>
      </c>
      <c r="N123" s="11">
        <f>IF(OR($C123="",M123=""),"",IFERROR(IF(AND(IFERROR(--LEFT(M123,FIND("-",M123)-1),"")=AW123,IFERROR(--MID(M123,FIND("-",M123)+1,99),"")=AX123),10,5*(SIGN((IFERROR(--LEFT(M123,FIND("-",M123)-1),""))-(IFERROR(--MID(M123,FIND("-",M123)+1,99),"")))=SIGN((AW123)-(AX123)))+2*(((IFERROR(--LEFT(M123,FIND("-",M123)-1),""))-(IFERROR(--MID(M123,FIND("-",M123)+1,99),"")))=((AW123)-(AX123)))+2*((IFERROR(--LEFT(M123,FIND("-",M123)-1),""))=(AW123))+2*((IFERROR(--MID(M123,FIND("-",M123)+1,99),""))=(AX123))),""))</f>
        <v>5</v>
      </c>
      <c r="O123" s="10" t="s">
        <v>35</v>
      </c>
      <c r="P123" s="11">
        <f>IF(OR($C123="",O123=""),"",IFERROR(IF(AND(IFERROR(--LEFT(O123,FIND("-",O123)-1),"")=AW123,IFERROR(--MID(O123,FIND("-",O123)+1,99),"")=AX123),10,5*(SIGN((IFERROR(--LEFT(O123,FIND("-",O123)-1),""))-(IFERROR(--MID(O123,FIND("-",O123)+1,99),"")))=SIGN((AW123)-(AX123)))+2*(((IFERROR(--LEFT(O123,FIND("-",O123)-1),""))-(IFERROR(--MID(O123,FIND("-",O123)+1,99),"")))=((AW123)-(AX123)))+2*((IFERROR(--LEFT(O123,FIND("-",O123)-1),""))=(AW123))+2*((IFERROR(--MID(O123,FIND("-",O123)+1,99),""))=(AX123))),""))</f>
        <v>2</v>
      </c>
      <c r="Q123" s="10" t="s">
        <v>115</v>
      </c>
      <c r="R123" s="11">
        <f>IF(OR($C123="",Q123=""),"",IFERROR(IF(AND(IFERROR(--LEFT(Q123,FIND("-",Q123)-1),"")=AW123,IFERROR(--MID(Q123,FIND("-",Q123)+1,99),"")=AX123),10,5*(SIGN((IFERROR(--LEFT(Q123,FIND("-",Q123)-1),""))-(IFERROR(--MID(Q123,FIND("-",Q123)+1,99),"")))=SIGN((AW123)-(AX123)))+2*(((IFERROR(--LEFT(Q123,FIND("-",Q123)-1),""))-(IFERROR(--MID(Q123,FIND("-",Q123)+1,99),"")))=((AW123)-(AX123)))+2*((IFERROR(--LEFT(Q123,FIND("-",Q123)-1),""))=(AW123))+2*((IFERROR(--MID(Q123,FIND("-",Q123)+1,99),""))=(AX123))),""))</f>
        <v>7</v>
      </c>
      <c r="S123" s="10" t="s">
        <v>33</v>
      </c>
      <c r="T123" s="11">
        <f>IF(OR($C123="",S123=""),"",IFERROR(IF(AND(IFERROR(--LEFT(S123,FIND("-",S123)-1),"")=AW123,IFERROR(--MID(S123,FIND("-",S123)+1,99),"")=AX123),10,5*(SIGN((IFERROR(--LEFT(S123,FIND("-",S123)-1),""))-(IFERROR(--MID(S123,FIND("-",S123)+1,99),"")))=SIGN((AW123)-(AX123)))+2*(((IFERROR(--LEFT(S123,FIND("-",S123)-1),""))-(IFERROR(--MID(S123,FIND("-",S123)+1,99),"")))=((AW123)-(AX123)))+2*((IFERROR(--LEFT(S123,FIND("-",S123)-1),""))=(AW123))+2*((IFERROR(--MID(S123,FIND("-",S123)+1,99),""))=(AX123))),""))</f>
        <v>0</v>
      </c>
      <c r="U123" s="10" t="s">
        <v>37</v>
      </c>
      <c r="V123" s="11">
        <f>IF(OR($C123="",U123=""),"",IFERROR(IF(AND(IFERROR(--LEFT(U123,FIND("-",U123)-1),"")=AW123,IFERROR(--MID(U123,FIND("-",U123)+1,99),"")=AX123),10,5*(SIGN((IFERROR(--LEFT(U123,FIND("-",U123)-1),""))-(IFERROR(--MID(U123,FIND("-",U123)+1,99),"")))=SIGN((AW123)-(AX123)))+2*(((IFERROR(--LEFT(U123,FIND("-",U123)-1),""))-(IFERROR(--MID(U123,FIND("-",U123)+1,99),"")))=((AW123)-(AX123)))+2*((IFERROR(--LEFT(U123,FIND("-",U123)-1),""))=(AW123))+2*((IFERROR(--MID(U123,FIND("-",U123)+1,99),""))=(AX123))),""))</f>
        <v>10</v>
      </c>
      <c r="W123" s="10" t="s">
        <v>37</v>
      </c>
      <c r="X123" s="11">
        <f>IF(OR($C123="",W123=""),"",IFERROR(IF(AND(IFERROR(--LEFT(W123,FIND("-",W123)-1),"")=AW123,IFERROR(--MID(W123,FIND("-",W123)+1,99),"")=AX123),10,5*(SIGN((IFERROR(--LEFT(W123,FIND("-",W123)-1),""))-(IFERROR(--MID(W123,FIND("-",W123)+1,99),"")))=SIGN((AW123)-(AX123)))+2*(((IFERROR(--LEFT(W123,FIND("-",W123)-1),""))-(IFERROR(--MID(W123,FIND("-",W123)+1,99),"")))=((AW123)-(AX123)))+2*((IFERROR(--LEFT(W123,FIND("-",W123)-1),""))=(AW123))+2*((IFERROR(--MID(W123,FIND("-",W123)+1,99),""))=(AX123))),""))</f>
        <v>10</v>
      </c>
      <c r="Y123" s="10" t="s">
        <v>37</v>
      </c>
      <c r="Z123" s="11">
        <f>IF(OR($C123="",Y123=""),"",IFERROR(IF(AND(IFERROR(--LEFT(Y123,FIND("-",Y123)-1),"")=AW123,IFERROR(--MID(Y123,FIND("-",Y123)+1,99),"")=AX123),10,5*(SIGN((IFERROR(--LEFT(Y123,FIND("-",Y123)-1),""))-(IFERROR(--MID(Y123,FIND("-",Y123)+1,99),"")))=SIGN((AW123)-(AX123)))+2*(((IFERROR(--LEFT(Y123,FIND("-",Y123)-1),""))-(IFERROR(--MID(Y123,FIND("-",Y123)+1,99),"")))=((AW123)-(AX123)))+2*((IFERROR(--LEFT(Y123,FIND("-",Y123)-1),""))=(AW123))+2*((IFERROR(--MID(Y123,FIND("-",Y123)+1,99),""))=(AX123))),""))</f>
        <v>10</v>
      </c>
      <c r="AA123" s="10" t="s">
        <v>37</v>
      </c>
      <c r="AB123" s="11">
        <f>IF(OR($C123="",AA123=""),"",IFERROR(IF(AND(IFERROR(--LEFT(AA123,FIND("-",AA123)-1),"")=AW123,IFERROR(--MID(AA123,FIND("-",AA123)+1,99),"")=AX123),10,5*(SIGN((IFERROR(--LEFT(AA123,FIND("-",AA123)-1),""))-(IFERROR(--MID(AA123,FIND("-",AA123)+1,99),"")))=SIGN((AW123)-(AX123)))+2*(((IFERROR(--LEFT(AA123,FIND("-",AA123)-1),""))-(IFERROR(--MID(AA123,FIND("-",AA123)+1,99),"")))=((AW123)-(AX123)))+2*((IFERROR(--LEFT(AA123,FIND("-",AA123)-1),""))=(AW123))+2*((IFERROR(--MID(AA123,FIND("-",AA123)+1,99),""))=(AX123))),""))</f>
        <v>10</v>
      </c>
      <c r="AC123" s="10" t="s">
        <v>37</v>
      </c>
      <c r="AD123" s="11">
        <f>IF(OR($C123="",AC123=""),"",IFERROR(IF(AND(IFERROR(--LEFT(AC123,FIND("-",AC123)-1),"")=AW123,IFERROR(--MID(AC123,FIND("-",AC123)+1,99),"")=AX123),10,5*(SIGN((IFERROR(--LEFT(AC123,FIND("-",AC123)-1),""))-(IFERROR(--MID(AC123,FIND("-",AC123)+1,99),"")))=SIGN((AW123)-(AX123)))+2*(((IFERROR(--LEFT(AC123,FIND("-",AC123)-1),""))-(IFERROR(--MID(AC123,FIND("-",AC123)+1,99),"")))=((AW123)-(AX123)))+2*((IFERROR(--LEFT(AC123,FIND("-",AC123)-1),""))=(AW123))+2*((IFERROR(--MID(AC123,FIND("-",AC123)+1,99),""))=(AX123))),""))</f>
        <v>10</v>
      </c>
      <c r="AE123" s="10" t="s">
        <v>37</v>
      </c>
      <c r="AF123" s="11">
        <f>IF(OR($C123="",AE123=""),"",IFERROR(IF(AND(IFERROR(--LEFT(AE123,FIND("-",AE123)-1),"")=AW123,IFERROR(--MID(AE123,FIND("-",AE123)+1,99),"")=AX123),10,5*(SIGN((IFERROR(--LEFT(AE123,FIND("-",AE123)-1),""))-(IFERROR(--MID(AE123,FIND("-",AE123)+1,99),"")))=SIGN((AW123)-(AX123)))+2*(((IFERROR(--LEFT(AE123,FIND("-",AE123)-1),""))-(IFERROR(--MID(AE123,FIND("-",AE123)+1,99),"")))=((AW123)-(AX123)))+2*((IFERROR(--LEFT(AE123,FIND("-",AE123)-1),""))=(AW123))+2*((IFERROR(--MID(AE123,FIND("-",AE123)+1,99),""))=(AX123))),""))</f>
        <v>10</v>
      </c>
      <c r="AG123" s="10" t="s">
        <v>35</v>
      </c>
      <c r="AH123" s="11">
        <f>IF(OR($C123="",AG123=""),"",IFERROR(IF(AND(IFERROR(--LEFT(AG123,FIND("-",AG123)-1),"")=AW123,IFERROR(--MID(AG123,FIND("-",AG123)+1,99),"")=AX123),10,5*(SIGN((IFERROR(--LEFT(AG123,FIND("-",AG123)-1),""))-(IFERROR(--MID(AG123,FIND("-",AG123)+1,99),"")))=SIGN((AW123)-(AX123)))+2*(((IFERROR(--LEFT(AG123,FIND("-",AG123)-1),""))-(IFERROR(--MID(AG123,FIND("-",AG123)+1,99),"")))=((AW123)-(AX123)))+2*((IFERROR(--LEFT(AG123,FIND("-",AG123)-1),""))=(AW123))+2*((IFERROR(--MID(AG123,FIND("-",AG123)+1,99),""))=(AX123))),""))</f>
        <v>2</v>
      </c>
      <c r="AI123" s="10" t="s">
        <v>35</v>
      </c>
      <c r="AJ123" s="11">
        <f>IF(OR($C123="",AI123=""),"",IFERROR(IF(AND(IFERROR(--LEFT(AI123,FIND("-",AI123)-1),"")=AW123,IFERROR(--MID(AI123,FIND("-",AI123)+1,99),"")=AX123),10,5*(SIGN((IFERROR(--LEFT(AI123,FIND("-",AI123)-1),""))-(IFERROR(--MID(AI123,FIND("-",AI123)+1,99),"")))=SIGN((AW123)-(AX123)))+2*(((IFERROR(--LEFT(AI123,FIND("-",AI123)-1),""))-(IFERROR(--MID(AI123,FIND("-",AI123)+1,99),"")))=((AW123)-(AX123)))+2*((IFERROR(--LEFT(AI123,FIND("-",AI123)-1),""))=(AW123))+2*((IFERROR(--MID(AI123,FIND("-",AI123)+1,99),""))=(AX123))),""))</f>
        <v>2</v>
      </c>
      <c r="AK123" s="10" t="s">
        <v>48</v>
      </c>
      <c r="AL123" s="11">
        <f>IF(OR($C123="",AK123=""),"",IFERROR(IF(AND(IFERROR(--LEFT(AK123,FIND("-",AK123)-1),"")=AW123,IFERROR(--MID(AK123,FIND("-",AK123)+1,99),"")=AX123),10,5*(SIGN((IFERROR(--LEFT(AK123,FIND("-",AK123)-1),""))-(IFERROR(--MID(AK123,FIND("-",AK123)+1,99),"")))=SIGN((AW123)-(AX123)))+2*(((IFERROR(--LEFT(AK123,FIND("-",AK123)-1),""))-(IFERROR(--MID(AK123,FIND("-",AK123)+1,99),"")))=((AW123)-(AX123)))+2*((IFERROR(--LEFT(AK123,FIND("-",AK123)-1),""))=(AW123))+2*((IFERROR(--MID(AK123,FIND("-",AK123)+1,99),""))=(AX123))),""))</f>
        <v>7</v>
      </c>
      <c r="AM123" s="10" t="s">
        <v>49</v>
      </c>
      <c r="AN123" s="11">
        <f>IF(OR($C123="",AM123=""),"",IFERROR(IF(AND(IFERROR(--LEFT(AM123,FIND("-",AM123)-1),"")=AW123,IFERROR(--MID(AM123,FIND("-",AM123)+1,99),"")=AX123),10,5*(SIGN((IFERROR(--LEFT(AM123,FIND("-",AM123)-1),""))-(IFERROR(--MID(AM123,FIND("-",AM123)+1,99),"")))=SIGN((AW123)-(AX123)))+2*(((IFERROR(--LEFT(AM123,FIND("-",AM123)-1),""))-(IFERROR(--MID(AM123,FIND("-",AM123)+1,99),"")))=((AW123)-(AX123)))+2*((IFERROR(--LEFT(AM123,FIND("-",AM123)-1),""))=(AW123))+2*((IFERROR(--MID(AM123,FIND("-",AM123)+1,99),""))=(AX123))),""))</f>
        <v>2</v>
      </c>
      <c r="AO123" s="10" t="s">
        <v>35</v>
      </c>
      <c r="AP123" s="11">
        <f>IF(OR($C123="",AO123=""),"",IFERROR(IF(AND(IFERROR(--LEFT(AO123,FIND("-",AO123)-1),"")=AW123,IFERROR(--MID(AO123,FIND("-",AO123)+1,99),"")=AX123),10,5*(SIGN((IFERROR(--LEFT(AO123,FIND("-",AO123)-1),""))-(IFERROR(--MID(AO123,FIND("-",AO123)+1,99),"")))=SIGN((AW123)-(AX123)))+2*(((IFERROR(--LEFT(AO123,FIND("-",AO123)-1),""))-(IFERROR(--MID(AO123,FIND("-",AO123)+1,99),"")))=((AW123)-(AX123)))+2*((IFERROR(--LEFT(AO123,FIND("-",AO123)-1),""))=(AW123))+2*((IFERROR(--MID(AO123,FIND("-",AO123)+1,99),""))=(AX123))),""))</f>
        <v>2</v>
      </c>
      <c r="AQ123" s="10" t="s">
        <v>37</v>
      </c>
      <c r="AR123" s="11">
        <f>IF(OR($C123="",AQ123=""),"",IFERROR(IF(AND(IFERROR(--LEFT(AQ123,FIND("-",AQ123)-1),"")=AW123,IFERROR(--MID(AQ123,FIND("-",AQ123)+1,99),"")=AX123),10,5*(SIGN((IFERROR(--LEFT(AQ123,FIND("-",AQ123)-1),""))-(IFERROR(--MID(AQ123,FIND("-",AQ123)+1,99),"")))=SIGN((AW123)-(AX123)))+2*(((IFERROR(--LEFT(AQ123,FIND("-",AQ123)-1),""))-(IFERROR(--MID(AQ123,FIND("-",AQ123)+1,99),"")))=((AW123)-(AX123)))+2*((IFERROR(--LEFT(AQ123,FIND("-",AQ123)-1),""))=(AW123))+2*((IFERROR(--MID(AQ123,FIND("-",AQ123)+1,99),""))=(AX123))),""))</f>
        <v>10</v>
      </c>
      <c r="AS123" s="10" t="s">
        <v>45</v>
      </c>
      <c r="AT123" s="11">
        <f>IF(OR($C123="",AS123=""),"",IFERROR(IF(AND(IFERROR(--LEFT(AS123,FIND("-",AS123)-1),"")=AW123,IFERROR(--MID(AS123,FIND("-",AS123)+1,99),"")=AX123),10,5*(SIGN((IFERROR(--LEFT(AS123,FIND("-",AS123)-1),""))-(IFERROR(--MID(AS123,FIND("-",AS123)+1,99),"")))=SIGN((AW123)-(AX123)))+2*(((IFERROR(--LEFT(AS123,FIND("-",AS123)-1),""))-(IFERROR(--MID(AS123,FIND("-",AS123)+1,99),"")))=((AW123)-(AX123)))+2*((IFERROR(--LEFT(AS123,FIND("-",AS123)-1),""))=(AW123))+2*((IFERROR(--MID(AS123,FIND("-",AS123)+1,99),""))=(AX123))),""))</f>
        <v>7</v>
      </c>
      <c r="AU123" s="10" t="s">
        <v>56</v>
      </c>
      <c r="AV123" s="11">
        <f>IF(OR($C123="",AU123=""),"",IFERROR(IF(AND(IFERROR(--LEFT(AU123,FIND("-",AU123)-1),"")=AW123,IFERROR(--MID(AU123,FIND("-",AU123)+1,99),"")=AX123),10,5*(SIGN((IFERROR(--LEFT(AU123,FIND("-",AU123)-1),""))-(IFERROR(--MID(AU123,FIND("-",AU123)+1,99),"")))=SIGN((AW123)-(AX123)))+2*(((IFERROR(--LEFT(AU123,FIND("-",AU123)-1),""))-(IFERROR(--MID(AU123,FIND("-",AU123)+1,99),"")))=((AW123)-(AX123)))+2*((IFERROR(--LEFT(AU123,FIND("-",AU123)-1),""))=(AW123))+2*((IFERROR(--MID(AU123,FIND("-",AU123)+1,99),""))=(AX123))),""))</f>
        <v>5</v>
      </c>
      <c r="AW123" s="11">
        <f>IF($C123="","",IFERROR(--LEFT($C123,FIND("-",$C123)-1),""))</f>
        <v>1</v>
      </c>
      <c r="AX123" s="11">
        <f>IF($C123="","",IFERROR(--MID($C123,FIND("-",$C123)+1,99),""))</f>
        <v>2</v>
      </c>
    </row>
    <row r="124" spans="1:50" ht="18" customHeight="1" x14ac:dyDescent="0.3">
      <c r="A124" s="9">
        <v>1.958333333333333</v>
      </c>
      <c r="B124" s="18" t="s">
        <v>89</v>
      </c>
      <c r="C124" s="10" t="s">
        <v>38</v>
      </c>
      <c r="D124" s="1" t="s">
        <v>78</v>
      </c>
      <c r="E124" s="10" t="s">
        <v>43</v>
      </c>
      <c r="F124" s="11">
        <f>IF(OR($C124="",E124=""),"",IFERROR(IF(AND(IFERROR(--LEFT(E124,FIND("-",E124)-1),"")=AW124,IFERROR(--MID(E124,FIND("-",E124)+1,99),"")=AX124),10,5*(SIGN((IFERROR(--LEFT(E124,FIND("-",E124)-1),""))-(IFERROR(--MID(E124,FIND("-",E124)+1,99),"")))=SIGN((AW124)-(AX124)))+2*(((IFERROR(--LEFT(E124,FIND("-",E124)-1),""))-(IFERROR(--MID(E124,FIND("-",E124)+1,99),"")))=((AW124)-(AX124)))+2*((IFERROR(--LEFT(E124,FIND("-",E124)-1),""))=(AW124))+2*((IFERROR(--MID(E124,FIND("-",E124)+1,99),""))=(AX124))),""))</f>
        <v>7</v>
      </c>
      <c r="G124" s="10" t="s">
        <v>39</v>
      </c>
      <c r="H124" s="11">
        <f>IF(OR($C124="",G124=""),"",IFERROR(IF(AND(IFERROR(--LEFT(G124,FIND("-",G124)-1),"")=AW124,IFERROR(--MID(G124,FIND("-",G124)+1,99),"")=AX124),10,5*(SIGN((IFERROR(--LEFT(G124,FIND("-",G124)-1),""))-(IFERROR(--MID(G124,FIND("-",G124)+1,99),"")))=SIGN((AW124)-(AX124)))+2*(((IFERROR(--LEFT(G124,FIND("-",G124)-1),""))-(IFERROR(--MID(G124,FIND("-",G124)+1,99),"")))=((AW124)-(AX124)))+2*((IFERROR(--LEFT(G124,FIND("-",G124)-1),""))=(AW124))+2*((IFERROR(--MID(G124,FIND("-",G124)+1,99),""))=(AX124))),""))</f>
        <v>7</v>
      </c>
      <c r="I124" s="10" t="s">
        <v>38</v>
      </c>
      <c r="J124" s="11">
        <f>IF(OR($C124="",I124=""),"",IFERROR(IF(AND(IFERROR(--LEFT(I124,FIND("-",I124)-1),"")=AW124,IFERROR(--MID(I124,FIND("-",I124)+1,99),"")=AX124),10,5*(SIGN((IFERROR(--LEFT(I124,FIND("-",I124)-1),""))-(IFERROR(--MID(I124,FIND("-",I124)+1,99),"")))=SIGN((AW124)-(AX124)))+2*(((IFERROR(--LEFT(I124,FIND("-",I124)-1),""))-(IFERROR(--MID(I124,FIND("-",I124)+1,99),"")))=((AW124)-(AX124)))+2*((IFERROR(--LEFT(I124,FIND("-",I124)-1),""))=(AW124))+2*((IFERROR(--MID(I124,FIND("-",I124)+1,99),""))=(AX124))),""))</f>
        <v>10</v>
      </c>
      <c r="K124" s="10" t="s">
        <v>113</v>
      </c>
      <c r="L124" s="11">
        <f>IF(OR($C124="",K124=""),"",IFERROR(IF(AND(IFERROR(--LEFT(K124,FIND("-",K124)-1),"")=AW124,IFERROR(--MID(K124,FIND("-",K124)+1,99),"")=AX124),10,5*(SIGN((IFERROR(--LEFT(K124,FIND("-",K124)-1),""))-(IFERROR(--MID(K124,FIND("-",K124)+1,99),"")))=SIGN((AW124)-(AX124)))+2*(((IFERROR(--LEFT(K124,FIND("-",K124)-1),""))-(IFERROR(--MID(K124,FIND("-",K124)+1,99),"")))=((AW124)-(AX124)))+2*((IFERROR(--LEFT(K124,FIND("-",K124)-1),""))=(AW124))+2*((IFERROR(--MID(K124,FIND("-",K124)+1,99),""))=(AX124))),""))</f>
        <v>5</v>
      </c>
      <c r="M124" s="10" t="s">
        <v>43</v>
      </c>
      <c r="N124" s="11">
        <f>IF(OR($C124="",M124=""),"",IFERROR(IF(AND(IFERROR(--LEFT(M124,FIND("-",M124)-1),"")=AW124,IFERROR(--MID(M124,FIND("-",M124)+1,99),"")=AX124),10,5*(SIGN((IFERROR(--LEFT(M124,FIND("-",M124)-1),""))-(IFERROR(--MID(M124,FIND("-",M124)+1,99),"")))=SIGN((AW124)-(AX124)))+2*(((IFERROR(--LEFT(M124,FIND("-",M124)-1),""))-(IFERROR(--MID(M124,FIND("-",M124)+1,99),"")))=((AW124)-(AX124)))+2*((IFERROR(--LEFT(M124,FIND("-",M124)-1),""))=(AW124))+2*((IFERROR(--MID(M124,FIND("-",M124)+1,99),""))=(AX124))),""))</f>
        <v>7</v>
      </c>
      <c r="O124" s="10" t="s">
        <v>34</v>
      </c>
      <c r="P124" s="11">
        <f>IF(OR($C124="",O124=""),"",IFERROR(IF(AND(IFERROR(--LEFT(O124,FIND("-",O124)-1),"")=AW124,IFERROR(--MID(O124,FIND("-",O124)+1,99),"")=AX124),10,5*(SIGN((IFERROR(--LEFT(O124,FIND("-",O124)-1),""))-(IFERROR(--MID(O124,FIND("-",O124)+1,99),"")))=SIGN((AW124)-(AX124)))+2*(((IFERROR(--LEFT(O124,FIND("-",O124)-1),""))-(IFERROR(--MID(O124,FIND("-",O124)+1,99),"")))=((AW124)-(AX124)))+2*((IFERROR(--LEFT(O124,FIND("-",O124)-1),""))=(AW124))+2*((IFERROR(--MID(O124,FIND("-",O124)+1,99),""))=(AX124))),""))</f>
        <v>7</v>
      </c>
      <c r="Q124" s="10" t="s">
        <v>62</v>
      </c>
      <c r="R124" s="11">
        <f>IF(OR($C124="",Q124=""),"",IFERROR(IF(AND(IFERROR(--LEFT(Q124,FIND("-",Q124)-1),"")=AW124,IFERROR(--MID(Q124,FIND("-",Q124)+1,99),"")=AX124),10,5*(SIGN((IFERROR(--LEFT(Q124,FIND("-",Q124)-1),""))-(IFERROR(--MID(Q124,FIND("-",Q124)+1,99),"")))=SIGN((AW124)-(AX124)))+2*(((IFERROR(--LEFT(Q124,FIND("-",Q124)-1),""))-(IFERROR(--MID(Q124,FIND("-",Q124)+1,99),"")))=((AW124)-(AX124)))+2*((IFERROR(--LEFT(Q124,FIND("-",Q124)-1),""))=(AW124))+2*((IFERROR(--MID(Q124,FIND("-",Q124)+1,99),""))=(AX124))),""))</f>
        <v>5</v>
      </c>
      <c r="S124" s="10" t="s">
        <v>38</v>
      </c>
      <c r="T124" s="11">
        <f>IF(OR($C124="",S124=""),"",IFERROR(IF(AND(IFERROR(--LEFT(S124,FIND("-",S124)-1),"")=AW124,IFERROR(--MID(S124,FIND("-",S124)+1,99),"")=AX124),10,5*(SIGN((IFERROR(--LEFT(S124,FIND("-",S124)-1),""))-(IFERROR(--MID(S124,FIND("-",S124)+1,99),"")))=SIGN((AW124)-(AX124)))+2*(((IFERROR(--LEFT(S124,FIND("-",S124)-1),""))-(IFERROR(--MID(S124,FIND("-",S124)+1,99),"")))=((AW124)-(AX124)))+2*((IFERROR(--LEFT(S124,FIND("-",S124)-1),""))=(AW124))+2*((IFERROR(--MID(S124,FIND("-",S124)+1,99),""))=(AX124))),""))</f>
        <v>10</v>
      </c>
      <c r="U124" s="10" t="s">
        <v>43</v>
      </c>
      <c r="V124" s="11">
        <f>IF(OR($C124="",U124=""),"",IFERROR(IF(AND(IFERROR(--LEFT(U124,FIND("-",U124)-1),"")=AW124,IFERROR(--MID(U124,FIND("-",U124)+1,99),"")=AX124),10,5*(SIGN((IFERROR(--LEFT(U124,FIND("-",U124)-1),""))-(IFERROR(--MID(U124,FIND("-",U124)+1,99),"")))=SIGN((AW124)-(AX124)))+2*(((IFERROR(--LEFT(U124,FIND("-",U124)-1),""))-(IFERROR(--MID(U124,FIND("-",U124)+1,99),"")))=((AW124)-(AX124)))+2*((IFERROR(--LEFT(U124,FIND("-",U124)-1),""))=(AW124))+2*((IFERROR(--MID(U124,FIND("-",U124)+1,99),""))=(AX124))),""))</f>
        <v>7</v>
      </c>
      <c r="W124" s="10" t="s">
        <v>34</v>
      </c>
      <c r="X124" s="11">
        <f>IF(OR($C124="",W124=""),"",IFERROR(IF(AND(IFERROR(--LEFT(W124,FIND("-",W124)-1),"")=AW124,IFERROR(--MID(W124,FIND("-",W124)+1,99),"")=AX124),10,5*(SIGN((IFERROR(--LEFT(W124,FIND("-",W124)-1),""))-(IFERROR(--MID(W124,FIND("-",W124)+1,99),"")))=SIGN((AW124)-(AX124)))+2*(((IFERROR(--LEFT(W124,FIND("-",W124)-1),""))-(IFERROR(--MID(W124,FIND("-",W124)+1,99),"")))=((AW124)-(AX124)))+2*((IFERROR(--LEFT(W124,FIND("-",W124)-1),""))=(AW124))+2*((IFERROR(--MID(W124,FIND("-",W124)+1,99),""))=(AX124))),""))</f>
        <v>7</v>
      </c>
      <c r="Y124" s="10" t="s">
        <v>43</v>
      </c>
      <c r="Z124" s="11">
        <f>IF(OR($C124="",Y124=""),"",IFERROR(IF(AND(IFERROR(--LEFT(Y124,FIND("-",Y124)-1),"")=AW124,IFERROR(--MID(Y124,FIND("-",Y124)+1,99),"")=AX124),10,5*(SIGN((IFERROR(--LEFT(Y124,FIND("-",Y124)-1),""))-(IFERROR(--MID(Y124,FIND("-",Y124)+1,99),"")))=SIGN((AW124)-(AX124)))+2*(((IFERROR(--LEFT(Y124,FIND("-",Y124)-1),""))-(IFERROR(--MID(Y124,FIND("-",Y124)+1,99),"")))=((AW124)-(AX124)))+2*((IFERROR(--LEFT(Y124,FIND("-",Y124)-1),""))=(AW124))+2*((IFERROR(--MID(Y124,FIND("-",Y124)+1,99),""))=(AX124))),""))</f>
        <v>7</v>
      </c>
      <c r="AA124" s="10" t="s">
        <v>62</v>
      </c>
      <c r="AB124" s="11">
        <f>IF(OR($C124="",AA124=""),"",IFERROR(IF(AND(IFERROR(--LEFT(AA124,FIND("-",AA124)-1),"")=AW124,IFERROR(--MID(AA124,FIND("-",AA124)+1,99),"")=AX124),10,5*(SIGN((IFERROR(--LEFT(AA124,FIND("-",AA124)-1),""))-(IFERROR(--MID(AA124,FIND("-",AA124)+1,99),"")))=SIGN((AW124)-(AX124)))+2*(((IFERROR(--LEFT(AA124,FIND("-",AA124)-1),""))-(IFERROR(--MID(AA124,FIND("-",AA124)+1,99),"")))=((AW124)-(AX124)))+2*((IFERROR(--LEFT(AA124,FIND("-",AA124)-1),""))=(AW124))+2*((IFERROR(--MID(AA124,FIND("-",AA124)+1,99),""))=(AX124))),""))</f>
        <v>5</v>
      </c>
      <c r="AC124" s="10" t="s">
        <v>63</v>
      </c>
      <c r="AD124" s="11">
        <f>IF(OR($C124="",AC124=""),"",IFERROR(IF(AND(IFERROR(--LEFT(AC124,FIND("-",AC124)-1),"")=AW124,IFERROR(--MID(AC124,FIND("-",AC124)+1,99),"")=AX124),10,5*(SIGN((IFERROR(--LEFT(AC124,FIND("-",AC124)-1),""))-(IFERROR(--MID(AC124,FIND("-",AC124)+1,99),"")))=SIGN((AW124)-(AX124)))+2*(((IFERROR(--LEFT(AC124,FIND("-",AC124)-1),""))-(IFERROR(--MID(AC124,FIND("-",AC124)+1,99),"")))=((AW124)-(AX124)))+2*((IFERROR(--LEFT(AC124,FIND("-",AC124)-1),""))=(AW124))+2*((IFERROR(--MID(AC124,FIND("-",AC124)+1,99),""))=(AX124))),""))</f>
        <v>7</v>
      </c>
      <c r="AE124" s="10" t="s">
        <v>34</v>
      </c>
      <c r="AF124" s="11">
        <f>IF(OR($C124="",AE124=""),"",IFERROR(IF(AND(IFERROR(--LEFT(AE124,FIND("-",AE124)-1),"")=AW124,IFERROR(--MID(AE124,FIND("-",AE124)+1,99),"")=AX124),10,5*(SIGN((IFERROR(--LEFT(AE124,FIND("-",AE124)-1),""))-(IFERROR(--MID(AE124,FIND("-",AE124)+1,99),"")))=SIGN((AW124)-(AX124)))+2*(((IFERROR(--LEFT(AE124,FIND("-",AE124)-1),""))-(IFERROR(--MID(AE124,FIND("-",AE124)+1,99),"")))=((AW124)-(AX124)))+2*((IFERROR(--LEFT(AE124,FIND("-",AE124)-1),""))=(AW124))+2*((IFERROR(--MID(AE124,FIND("-",AE124)+1,99),""))=(AX124))),""))</f>
        <v>7</v>
      </c>
      <c r="AG124" s="10" t="s">
        <v>36</v>
      </c>
      <c r="AH124" s="11">
        <f>IF(OR($C124="",AG124=""),"",IFERROR(IF(AND(IFERROR(--LEFT(AG124,FIND("-",AG124)-1),"")=AW124,IFERROR(--MID(AG124,FIND("-",AG124)+1,99),"")=AX124),10,5*(SIGN((IFERROR(--LEFT(AG124,FIND("-",AG124)-1),""))-(IFERROR(--MID(AG124,FIND("-",AG124)+1,99),"")))=SIGN((AW124)-(AX124)))+2*(((IFERROR(--LEFT(AG124,FIND("-",AG124)-1),""))-(IFERROR(--MID(AG124,FIND("-",AG124)+1,99),"")))=((AW124)-(AX124)))+2*((IFERROR(--LEFT(AG124,FIND("-",AG124)-1),""))=(AW124))+2*((IFERROR(--MID(AG124,FIND("-",AG124)+1,99),""))=(AX124))),""))</f>
        <v>7</v>
      </c>
      <c r="AI124" s="10" t="s">
        <v>36</v>
      </c>
      <c r="AJ124" s="11">
        <f>IF(OR($C124="",AI124=""),"",IFERROR(IF(AND(IFERROR(--LEFT(AI124,FIND("-",AI124)-1),"")=AW124,IFERROR(--MID(AI124,FIND("-",AI124)+1,99),"")=AX124),10,5*(SIGN((IFERROR(--LEFT(AI124,FIND("-",AI124)-1),""))-(IFERROR(--MID(AI124,FIND("-",AI124)+1,99),"")))=SIGN((AW124)-(AX124)))+2*(((IFERROR(--LEFT(AI124,FIND("-",AI124)-1),""))-(IFERROR(--MID(AI124,FIND("-",AI124)+1,99),"")))=((AW124)-(AX124)))+2*((IFERROR(--LEFT(AI124,FIND("-",AI124)-1),""))=(AW124))+2*((IFERROR(--MID(AI124,FIND("-",AI124)+1,99),""))=(AX124))),""))</f>
        <v>7</v>
      </c>
      <c r="AK124" s="10" t="s">
        <v>36</v>
      </c>
      <c r="AL124" s="11">
        <f>IF(OR($C124="",AK124=""),"",IFERROR(IF(AND(IFERROR(--LEFT(AK124,FIND("-",AK124)-1),"")=AW124,IFERROR(--MID(AK124,FIND("-",AK124)+1,99),"")=AX124),10,5*(SIGN((IFERROR(--LEFT(AK124,FIND("-",AK124)-1),""))-(IFERROR(--MID(AK124,FIND("-",AK124)+1,99),"")))=SIGN((AW124)-(AX124)))+2*(((IFERROR(--LEFT(AK124,FIND("-",AK124)-1),""))-(IFERROR(--MID(AK124,FIND("-",AK124)+1,99),"")))=((AW124)-(AX124)))+2*((IFERROR(--LEFT(AK124,FIND("-",AK124)-1),""))=(AW124))+2*((IFERROR(--MID(AK124,FIND("-",AK124)+1,99),""))=(AX124))),""))</f>
        <v>7</v>
      </c>
      <c r="AM124" s="10" t="s">
        <v>71</v>
      </c>
      <c r="AN124" s="11">
        <f>IF(OR($C124="",AM124=""),"",IFERROR(IF(AND(IFERROR(--LEFT(AM124,FIND("-",AM124)-1),"")=AW124,IFERROR(--MID(AM124,FIND("-",AM124)+1,99),"")=AX124),10,5*(SIGN((IFERROR(--LEFT(AM124,FIND("-",AM124)-1),""))-(IFERROR(--MID(AM124,FIND("-",AM124)+1,99),"")))=SIGN((AW124)-(AX124)))+2*(((IFERROR(--LEFT(AM124,FIND("-",AM124)-1),""))-(IFERROR(--MID(AM124,FIND("-",AM124)+1,99),"")))=((AW124)-(AX124)))+2*((IFERROR(--LEFT(AM124,FIND("-",AM124)-1),""))=(AW124))+2*((IFERROR(--MID(AM124,FIND("-",AM124)+1,99),""))=(AX124))),""))</f>
        <v>7</v>
      </c>
      <c r="AO124" s="10" t="s">
        <v>34</v>
      </c>
      <c r="AP124" s="11">
        <f>IF(OR($C124="",AO124=""),"",IFERROR(IF(AND(IFERROR(--LEFT(AO124,FIND("-",AO124)-1),"")=AW124,IFERROR(--MID(AO124,FIND("-",AO124)+1,99),"")=AX124),10,5*(SIGN((IFERROR(--LEFT(AO124,FIND("-",AO124)-1),""))-(IFERROR(--MID(AO124,FIND("-",AO124)+1,99),"")))=SIGN((AW124)-(AX124)))+2*(((IFERROR(--LEFT(AO124,FIND("-",AO124)-1),""))-(IFERROR(--MID(AO124,FIND("-",AO124)+1,99),"")))=((AW124)-(AX124)))+2*((IFERROR(--LEFT(AO124,FIND("-",AO124)-1),""))=(AW124))+2*((IFERROR(--MID(AO124,FIND("-",AO124)+1,99),""))=(AX124))),""))</f>
        <v>7</v>
      </c>
      <c r="AQ124" s="10" t="s">
        <v>61</v>
      </c>
      <c r="AR124" s="11">
        <f>IF(OR($C124="",AQ124=""),"",IFERROR(IF(AND(IFERROR(--LEFT(AQ124,FIND("-",AQ124)-1),"")=AW124,IFERROR(--MID(AQ124,FIND("-",AQ124)+1,99),"")=AX124),10,5*(SIGN((IFERROR(--LEFT(AQ124,FIND("-",AQ124)-1),""))-(IFERROR(--MID(AQ124,FIND("-",AQ124)+1,99),"")))=SIGN((AW124)-(AX124)))+2*(((IFERROR(--LEFT(AQ124,FIND("-",AQ124)-1),""))-(IFERROR(--MID(AQ124,FIND("-",AQ124)+1,99),"")))=((AW124)-(AX124)))+2*((IFERROR(--LEFT(AQ124,FIND("-",AQ124)-1),""))=(AW124))+2*((IFERROR(--MID(AQ124,FIND("-",AQ124)+1,99),""))=(AX124))),""))</f>
        <v>7</v>
      </c>
      <c r="AS124" s="10" t="s">
        <v>39</v>
      </c>
      <c r="AT124" s="11">
        <f>IF(OR($C124="",AS124=""),"",IFERROR(IF(AND(IFERROR(--LEFT(AS124,FIND("-",AS124)-1),"")=AW124,IFERROR(--MID(AS124,FIND("-",AS124)+1,99),"")=AX124),10,5*(SIGN((IFERROR(--LEFT(AS124,FIND("-",AS124)-1),""))-(IFERROR(--MID(AS124,FIND("-",AS124)+1,99),"")))=SIGN((AW124)-(AX124)))+2*(((IFERROR(--LEFT(AS124,FIND("-",AS124)-1),""))-(IFERROR(--MID(AS124,FIND("-",AS124)+1,99),"")))=((AW124)-(AX124)))+2*((IFERROR(--LEFT(AS124,FIND("-",AS124)-1),""))=(AW124))+2*((IFERROR(--MID(AS124,FIND("-",AS124)+1,99),""))=(AX124))),""))</f>
        <v>7</v>
      </c>
      <c r="AU124" s="10" t="s">
        <v>34</v>
      </c>
      <c r="AV124" s="11">
        <f>IF(OR($C124="",AU124=""),"",IFERROR(IF(AND(IFERROR(--LEFT(AU124,FIND("-",AU124)-1),"")=AW124,IFERROR(--MID(AU124,FIND("-",AU124)+1,99),"")=AX124),10,5*(SIGN((IFERROR(--LEFT(AU124,FIND("-",AU124)-1),""))-(IFERROR(--MID(AU124,FIND("-",AU124)+1,99),"")))=SIGN((AW124)-(AX124)))+2*(((IFERROR(--LEFT(AU124,FIND("-",AU124)-1),""))-(IFERROR(--MID(AU124,FIND("-",AU124)+1,99),"")))=((AW124)-(AX124)))+2*((IFERROR(--LEFT(AU124,FIND("-",AU124)-1),""))=(AW124))+2*((IFERROR(--MID(AU124,FIND("-",AU124)+1,99),""))=(AX124))),""))</f>
        <v>7</v>
      </c>
      <c r="AW124" s="11">
        <f>IF($C124="","",IFERROR(--LEFT($C124,FIND("-",$C124)-1),""))</f>
        <v>3</v>
      </c>
      <c r="AX124" s="11">
        <f>IF($C124="","",IFERROR(--MID($C124,FIND("-",$C124)+1,99),""))</f>
        <v>0</v>
      </c>
    </row>
    <row r="125" spans="1:50" ht="18" customHeight="1" x14ac:dyDescent="0.3">
      <c r="A125" s="12"/>
      <c r="B125" s="18"/>
      <c r="C125" s="13"/>
      <c r="D125" s="1"/>
      <c r="E125" s="22"/>
      <c r="F125" s="12"/>
      <c r="G125" s="22"/>
      <c r="H125" s="12"/>
      <c r="I125" s="22"/>
      <c r="J125" s="12"/>
      <c r="K125" s="22"/>
      <c r="L125" s="12"/>
      <c r="M125" s="22"/>
      <c r="N125" s="12"/>
      <c r="O125" s="22"/>
      <c r="P125" s="12"/>
      <c r="Q125" s="22"/>
      <c r="R125" s="12"/>
      <c r="S125" s="22"/>
      <c r="T125" s="12"/>
      <c r="U125" s="13"/>
      <c r="V125" s="12"/>
      <c r="W125" s="22"/>
      <c r="X125" s="12"/>
      <c r="Y125" s="22"/>
      <c r="Z125" s="12"/>
      <c r="AA125" s="22"/>
      <c r="AB125" s="12"/>
      <c r="AC125" s="22"/>
      <c r="AD125" s="12"/>
      <c r="AE125" s="22"/>
      <c r="AF125" s="12"/>
      <c r="AG125" s="22"/>
      <c r="AH125" s="12"/>
      <c r="AI125" s="22"/>
      <c r="AJ125" s="12"/>
      <c r="AK125" s="22"/>
      <c r="AL125" s="12"/>
      <c r="AM125" s="22"/>
      <c r="AN125" s="12"/>
      <c r="AO125" s="22"/>
      <c r="AP125" s="12"/>
      <c r="AQ125" s="22"/>
      <c r="AR125" s="12" t="str">
        <f>IF(OR($C125="",AQ125=""),"",IFERROR(IF(AND(IFERROR(--LEFT(AQ125,FIND("-",AQ125)-1),"")=AW125,IFERROR(--MID(AQ125,FIND("-",AQ125)+1,99),"")=AX125),10,5*(SIGN((IFERROR(--LEFT(AQ125,FIND("-",AQ125)-1),""))-(IFERROR(--MID(AQ125,FIND("-",AQ125)+1,99),"")))=SIGN((AW125)-(AX125)))+2*(((IFERROR(--LEFT(AQ125,FIND("-",AQ125)-1),""))-(IFERROR(--MID(AQ125,FIND("-",AQ125)+1,99),"")))=((AW125)-(AX125)))+2*((IFERROR(--LEFT(AQ125,FIND("-",AQ125)-1),""))=(AW125))+2*((IFERROR(--MID(AQ125,FIND("-",AQ125)+1,99),""))=(AX125))),""))</f>
        <v/>
      </c>
      <c r="AS125" s="22"/>
      <c r="AT125" s="12" t="str">
        <f>IF(OR($C125="",AS125=""),"",IFERROR(IF(AND(IFERROR(--LEFT(AS125,FIND("-",AS125)-1),"")=AW125,IFERROR(--MID(AS125,FIND("-",AS125)+1,99),"")=AX125),10,5*(SIGN((IFERROR(--LEFT(AS125,FIND("-",AS125)-1),""))-(IFERROR(--MID(AS125,FIND("-",AS125)+1,99),"")))=SIGN((AW125)-(AX125)))+2*(((IFERROR(--LEFT(AS125,FIND("-",AS125)-1),""))-(IFERROR(--MID(AS125,FIND("-",AS125)+1,99),"")))=((AW125)-(AX125)))+2*((IFERROR(--LEFT(AS125,FIND("-",AS125)-1),""))=(AW125))+2*((IFERROR(--MID(AS125,FIND("-",AS125)+1,99),""))=(AX125))),""))</f>
        <v/>
      </c>
      <c r="AU125" s="22"/>
      <c r="AV125" s="12"/>
      <c r="AW125" s="12"/>
      <c r="AX125" s="12"/>
    </row>
    <row r="126" spans="1:50" ht="20.100000000000001" customHeight="1" x14ac:dyDescent="0.3">
      <c r="A126" s="36" t="s">
        <v>131</v>
      </c>
      <c r="B126" s="37"/>
      <c r="C126" s="38"/>
      <c r="D126" s="37"/>
      <c r="E126" s="38"/>
      <c r="F126" s="37"/>
      <c r="G126" s="38"/>
      <c r="H126" s="37"/>
      <c r="I126" s="38"/>
      <c r="J126" s="37"/>
      <c r="K126" s="38"/>
      <c r="L126" s="37"/>
      <c r="M126" s="38"/>
      <c r="N126" s="37"/>
      <c r="O126" s="38"/>
      <c r="P126" s="37"/>
      <c r="Q126" s="38"/>
      <c r="R126" s="37"/>
      <c r="S126" s="38"/>
      <c r="T126" s="37"/>
      <c r="U126" s="38"/>
      <c r="V126" s="37"/>
      <c r="W126" s="38"/>
      <c r="X126" s="37"/>
      <c r="Y126" s="38"/>
      <c r="Z126" s="37"/>
      <c r="AA126" s="38"/>
      <c r="AB126" s="37"/>
      <c r="AC126" s="38"/>
      <c r="AD126" s="37"/>
      <c r="AE126" s="38"/>
      <c r="AF126" s="37"/>
      <c r="AG126" s="38"/>
      <c r="AH126" s="37"/>
      <c r="AI126" s="38"/>
      <c r="AJ126" s="37"/>
      <c r="AK126" s="38"/>
      <c r="AL126" s="37"/>
      <c r="AM126" s="38"/>
      <c r="AN126" s="37"/>
      <c r="AO126" s="38"/>
      <c r="AP126" s="37"/>
      <c r="AQ126" s="37"/>
      <c r="AR126" s="37"/>
      <c r="AS126" s="37"/>
      <c r="AT126" s="37"/>
      <c r="AU126" s="38"/>
      <c r="AV126" s="39"/>
      <c r="AW126" s="8"/>
      <c r="AX126" s="8"/>
    </row>
    <row r="127" spans="1:50" ht="18" customHeight="1" x14ac:dyDescent="0.3">
      <c r="A127" s="9">
        <v>1.125</v>
      </c>
      <c r="B127" s="18" t="s">
        <v>31</v>
      </c>
      <c r="C127" s="10" t="s">
        <v>36</v>
      </c>
      <c r="D127" s="1" t="s">
        <v>77</v>
      </c>
      <c r="E127" s="10" t="s">
        <v>36</v>
      </c>
      <c r="F127" s="11">
        <f>IF(OR($C127="",E127=""),"",IFERROR(IF(AND(IFERROR(--LEFT(E127,FIND("-",E127)-1),"")=AW127,IFERROR(--MID(E127,FIND("-",E127)+1,99),"")=AX127),10,5*(SIGN((IFERROR(--LEFT(E127,FIND("-",E127)-1),""))-(IFERROR(--MID(E127,FIND("-",E127)+1,99),"")))=SIGN((AW127)-(AX127)))+2*(((IFERROR(--LEFT(E127,FIND("-",E127)-1),""))-(IFERROR(--MID(E127,FIND("-",E127)+1,99),"")))=((AW127)-(AX127)))+2*((IFERROR(--LEFT(E127,FIND("-",E127)-1),""))=(AW127))+2*((IFERROR(--MID(E127,FIND("-",E127)+1,99),""))=(AX127))),""))</f>
        <v>10</v>
      </c>
      <c r="G127" s="10" t="s">
        <v>39</v>
      </c>
      <c r="H127" s="11">
        <f>IF(OR($C127="",G127=""),"",IFERROR(IF(AND(IFERROR(--LEFT(G127,FIND("-",G127)-1),"")=AW127,IFERROR(--MID(G127,FIND("-",G127)+1,99),"")=AX127),10,5*(SIGN((IFERROR(--LEFT(G127,FIND("-",G127)-1),""))-(IFERROR(--MID(G127,FIND("-",G127)+1,99),"")))=SIGN((AW127)-(AX127)))+2*(((IFERROR(--LEFT(G127,FIND("-",G127)-1),""))-(IFERROR(--MID(G127,FIND("-",G127)+1,99),"")))=((AW127)-(AX127)))+2*((IFERROR(--LEFT(G127,FIND("-",G127)-1),""))=(AW127))+2*((IFERROR(--MID(G127,FIND("-",G127)+1,99),""))=(AX127))),""))</f>
        <v>7</v>
      </c>
      <c r="I127" s="10" t="s">
        <v>39</v>
      </c>
      <c r="J127" s="11">
        <f>IF(OR($C127="",I127=""),"",IFERROR(IF(AND(IFERROR(--LEFT(I127,FIND("-",I127)-1),"")=AW127,IFERROR(--MID(I127,FIND("-",I127)+1,99),"")=AX127),10,5*(SIGN((IFERROR(--LEFT(I127,FIND("-",I127)-1),""))-(IFERROR(--MID(I127,FIND("-",I127)+1,99),"")))=SIGN((AW127)-(AX127)))+2*(((IFERROR(--LEFT(I127,FIND("-",I127)-1),""))-(IFERROR(--MID(I127,FIND("-",I127)+1,99),"")))=((AW127)-(AX127)))+2*((IFERROR(--LEFT(I127,FIND("-",I127)-1),""))=(AW127))+2*((IFERROR(--MID(I127,FIND("-",I127)+1,99),""))=(AX127))),""))</f>
        <v>7</v>
      </c>
      <c r="K127" s="10" t="s">
        <v>61</v>
      </c>
      <c r="L127" s="11">
        <f>IF(OR($C127="",K127=""),"",IFERROR(IF(AND(IFERROR(--LEFT(K127,FIND("-",K127)-1),"")=AW127,IFERROR(--MID(K127,FIND("-",K127)+1,99),"")=AX127),10,5*(SIGN((IFERROR(--LEFT(K127,FIND("-",K127)-1),""))-(IFERROR(--MID(K127,FIND("-",K127)+1,99),"")))=SIGN((AW127)-(AX127)))+2*(((IFERROR(--LEFT(K127,FIND("-",K127)-1),""))-(IFERROR(--MID(K127,FIND("-",K127)+1,99),"")))=((AW127)-(AX127)))+2*((IFERROR(--LEFT(K127,FIND("-",K127)-1),""))=(AW127))+2*((IFERROR(--MID(K127,FIND("-",K127)+1,99),""))=(AX127))),""))</f>
        <v>5</v>
      </c>
      <c r="M127" s="10" t="s">
        <v>33</v>
      </c>
      <c r="N127" s="11">
        <f>IF(OR($C127="",M127=""),"",IFERROR(IF(AND(IFERROR(--LEFT(M127,FIND("-",M127)-1),"")=AW127,IFERROR(--MID(M127,FIND("-",M127)+1,99),"")=AX127),10,5*(SIGN((IFERROR(--LEFT(M127,FIND("-",M127)-1),""))-(IFERROR(--MID(M127,FIND("-",M127)+1,99),"")))=SIGN((AW127)-(AX127)))+2*(((IFERROR(--LEFT(M127,FIND("-",M127)-1),""))-(IFERROR(--MID(M127,FIND("-",M127)+1,99),"")))=((AW127)-(AX127)))+2*((IFERROR(--LEFT(M127,FIND("-",M127)-1),""))=(AW127))+2*((IFERROR(--MID(M127,FIND("-",M127)+1,99),""))=(AX127))),""))</f>
        <v>7</v>
      </c>
      <c r="O127" s="10" t="s">
        <v>33</v>
      </c>
      <c r="P127" s="11">
        <f>IF(OR($C127="",O127=""),"",IFERROR(IF(AND(IFERROR(--LEFT(O127,FIND("-",O127)-1),"")=AW127,IFERROR(--MID(O127,FIND("-",O127)+1,99),"")=AX127),10,5*(SIGN((IFERROR(--LEFT(O127,FIND("-",O127)-1),""))-(IFERROR(--MID(O127,FIND("-",O127)+1,99),"")))=SIGN((AW127)-(AX127)))+2*(((IFERROR(--LEFT(O127,FIND("-",O127)-1),""))-(IFERROR(--MID(O127,FIND("-",O127)+1,99),"")))=((AW127)-(AX127)))+2*((IFERROR(--LEFT(O127,FIND("-",O127)-1),""))=(AW127))+2*((IFERROR(--MID(O127,FIND("-",O127)+1,99),""))=(AX127))),""))</f>
        <v>7</v>
      </c>
      <c r="Q127" s="10" t="s">
        <v>61</v>
      </c>
      <c r="R127" s="11">
        <f>IF(OR($C127="",Q127=""),"",IFERROR(IF(AND(IFERROR(--LEFT(Q127,FIND("-",Q127)-1),"")=AW127,IFERROR(--MID(Q127,FIND("-",Q127)+1,99),"")=AX127),10,5*(SIGN((IFERROR(--LEFT(Q127,FIND("-",Q127)-1),""))-(IFERROR(--MID(Q127,FIND("-",Q127)+1,99),"")))=SIGN((AW127)-(AX127)))+2*(((IFERROR(--LEFT(Q127,FIND("-",Q127)-1),""))-(IFERROR(--MID(Q127,FIND("-",Q127)+1,99),"")))=((AW127)-(AX127)))+2*((IFERROR(--LEFT(Q127,FIND("-",Q127)-1),""))=(AW127))+2*((IFERROR(--MID(Q127,FIND("-",Q127)+1,99),""))=(AX127))),""))</f>
        <v>5</v>
      </c>
      <c r="S127" s="10" t="s">
        <v>45</v>
      </c>
      <c r="T127" s="11">
        <f>IF(OR($C127="",S127=""),"",IFERROR(IF(AND(IFERROR(--LEFT(S127,FIND("-",S127)-1),"")=AW127,IFERROR(--MID(S127,FIND("-",S127)+1,99),"")=AX127),10,5*(SIGN((IFERROR(--LEFT(S127,FIND("-",S127)-1),""))-(IFERROR(--MID(S127,FIND("-",S127)+1,99),"")))=SIGN((AW127)-(AX127)))+2*(((IFERROR(--LEFT(S127,FIND("-",S127)-1),""))-(IFERROR(--MID(S127,FIND("-",S127)+1,99),"")))=((AW127)-(AX127)))+2*((IFERROR(--LEFT(S127,FIND("-",S127)-1),""))=(AW127))+2*((IFERROR(--MID(S127,FIND("-",S127)+1,99),""))=(AX127))),""))</f>
        <v>0</v>
      </c>
      <c r="U127" s="10" t="s">
        <v>39</v>
      </c>
      <c r="V127" s="11">
        <f>IF(OR($C127="",U127=""),"",IFERROR(IF(AND(IFERROR(--LEFT(U127,FIND("-",U127)-1),"")=AW127,IFERROR(--MID(U127,FIND("-",U127)+1,99),"")=AX127),10,5*(SIGN((IFERROR(--LEFT(U127,FIND("-",U127)-1),""))-(IFERROR(--MID(U127,FIND("-",U127)+1,99),"")))=SIGN((AW127)-(AX127)))+2*(((IFERROR(--LEFT(U127,FIND("-",U127)-1),""))-(IFERROR(--MID(U127,FIND("-",U127)+1,99),"")))=((AW127)-(AX127)))+2*((IFERROR(--LEFT(U127,FIND("-",U127)-1),""))=(AW127))+2*((IFERROR(--MID(U127,FIND("-",U127)+1,99),""))=(AX127))),""))</f>
        <v>7</v>
      </c>
      <c r="W127" s="10" t="s">
        <v>39</v>
      </c>
      <c r="X127" s="11">
        <f>IF(OR($C127="",W127=""),"",IFERROR(IF(AND(IFERROR(--LEFT(W127,FIND("-",W127)-1),"")=AW127,IFERROR(--MID(W127,FIND("-",W127)+1,99),"")=AX127),10,5*(SIGN((IFERROR(--LEFT(W127,FIND("-",W127)-1),""))-(IFERROR(--MID(W127,FIND("-",W127)+1,99),"")))=SIGN((AW127)-(AX127)))+2*(((IFERROR(--LEFT(W127,FIND("-",W127)-1),""))-(IFERROR(--MID(W127,FIND("-",W127)+1,99),"")))=((AW127)-(AX127)))+2*((IFERROR(--LEFT(W127,FIND("-",W127)-1),""))=(AW127))+2*((IFERROR(--MID(W127,FIND("-",W127)+1,99),""))=(AX127))),""))</f>
        <v>7</v>
      </c>
      <c r="Y127" s="10" t="s">
        <v>49</v>
      </c>
      <c r="Z127" s="11">
        <f>IF(OR($C127="",Y127=""),"",IFERROR(IF(AND(IFERROR(--LEFT(Y127,FIND("-",Y127)-1),"")=AW127,IFERROR(--MID(Y127,FIND("-",Y127)+1,99),"")=AX127),10,5*(SIGN((IFERROR(--LEFT(Y127,FIND("-",Y127)-1),""))-(IFERROR(--MID(Y127,FIND("-",Y127)+1,99),"")))=SIGN((AW127)-(AX127)))+2*(((IFERROR(--LEFT(Y127,FIND("-",Y127)-1),""))-(IFERROR(--MID(Y127,FIND("-",Y127)+1,99),"")))=((AW127)-(AX127)))+2*((IFERROR(--LEFT(Y127,FIND("-",Y127)-1),""))=(AW127))+2*((IFERROR(--MID(Y127,FIND("-",Y127)+1,99),""))=(AX127))),""))</f>
        <v>2</v>
      </c>
      <c r="AA127" s="10" t="s">
        <v>36</v>
      </c>
      <c r="AB127" s="11">
        <f>IF(OR($C127="",AA127=""),"",IFERROR(IF(AND(IFERROR(--LEFT(AA127,FIND("-",AA127)-1),"")=AW127,IFERROR(--MID(AA127,FIND("-",AA127)+1,99),"")=AX127),10,5*(SIGN((IFERROR(--LEFT(AA127,FIND("-",AA127)-1),""))-(IFERROR(--MID(AA127,FIND("-",AA127)+1,99),"")))=SIGN((AW127)-(AX127)))+2*(((IFERROR(--LEFT(AA127,FIND("-",AA127)-1),""))-(IFERROR(--MID(AA127,FIND("-",AA127)+1,99),"")))=((AW127)-(AX127)))+2*((IFERROR(--LEFT(AA127,FIND("-",AA127)-1),""))=(AW127))+2*((IFERROR(--MID(AA127,FIND("-",AA127)+1,99),""))=(AX127))),""))</f>
        <v>10</v>
      </c>
      <c r="AC127" s="10" t="s">
        <v>38</v>
      </c>
      <c r="AD127" s="11">
        <f>IF(OR($C127="",AC127=""),"",IFERROR(IF(AND(IFERROR(--LEFT(AC127,FIND("-",AC127)-1),"")=AW127,IFERROR(--MID(AC127,FIND("-",AC127)+1,99),"")=AX127),10,5*(SIGN((IFERROR(--LEFT(AC127,FIND("-",AC127)-1),""))-(IFERROR(--MID(AC127,FIND("-",AC127)+1,99),"")))=SIGN((AW127)-(AX127)))+2*(((IFERROR(--LEFT(AC127,FIND("-",AC127)-1),""))-(IFERROR(--MID(AC127,FIND("-",AC127)+1,99),"")))=((AW127)-(AX127)))+2*((IFERROR(--LEFT(AC127,FIND("-",AC127)-1),""))=(AW127))+2*((IFERROR(--MID(AC127,FIND("-",AC127)+1,99),""))=(AX127))),""))</f>
        <v>7</v>
      </c>
      <c r="AE127" s="10" t="s">
        <v>33</v>
      </c>
      <c r="AF127" s="11">
        <f>IF(OR($C127="",AE127=""),"",IFERROR(IF(AND(IFERROR(--LEFT(AE127,FIND("-",AE127)-1),"")=AW127,IFERROR(--MID(AE127,FIND("-",AE127)+1,99),"")=AX127),10,5*(SIGN((IFERROR(--LEFT(AE127,FIND("-",AE127)-1),""))-(IFERROR(--MID(AE127,FIND("-",AE127)+1,99),"")))=SIGN((AW127)-(AX127)))+2*(((IFERROR(--LEFT(AE127,FIND("-",AE127)-1),""))-(IFERROR(--MID(AE127,FIND("-",AE127)+1,99),"")))=((AW127)-(AX127)))+2*((IFERROR(--LEFT(AE127,FIND("-",AE127)-1),""))=(AW127))+2*((IFERROR(--MID(AE127,FIND("-",AE127)+1,99),""))=(AX127))),""))</f>
        <v>7</v>
      </c>
      <c r="AG127" s="10" t="s">
        <v>35</v>
      </c>
      <c r="AH127" s="11">
        <f>IF(OR($C127="",AG127=""),"",IFERROR(IF(AND(IFERROR(--LEFT(AG127,FIND("-",AG127)-1),"")=AW127,IFERROR(--MID(AG127,FIND("-",AG127)+1,99),"")=AX127),10,5*(SIGN((IFERROR(--LEFT(AG127,FIND("-",AG127)-1),""))-(IFERROR(--MID(AG127,FIND("-",AG127)+1,99),"")))=SIGN((AW127)-(AX127)))+2*(((IFERROR(--LEFT(AG127,FIND("-",AG127)-1),""))-(IFERROR(--MID(AG127,FIND("-",AG127)+1,99),"")))=((AW127)-(AX127)))+2*((IFERROR(--LEFT(AG127,FIND("-",AG127)-1),""))=(AW127))+2*((IFERROR(--MID(AG127,FIND("-",AG127)+1,99),""))=(AX127))),""))</f>
        <v>0</v>
      </c>
      <c r="AI127" s="10" t="s">
        <v>33</v>
      </c>
      <c r="AJ127" s="11">
        <f>IF(OR($C127="",AI127=""),"",IFERROR(IF(AND(IFERROR(--LEFT(AI127,FIND("-",AI127)-1),"")=AW127,IFERROR(--MID(AI127,FIND("-",AI127)+1,99),"")=AX127),10,5*(SIGN((IFERROR(--LEFT(AI127,FIND("-",AI127)-1),""))-(IFERROR(--MID(AI127,FIND("-",AI127)+1,99),"")))=SIGN((AW127)-(AX127)))+2*(((IFERROR(--LEFT(AI127,FIND("-",AI127)-1),""))-(IFERROR(--MID(AI127,FIND("-",AI127)+1,99),"")))=((AW127)-(AX127)))+2*((IFERROR(--LEFT(AI127,FIND("-",AI127)-1),""))=(AW127))+2*((IFERROR(--MID(AI127,FIND("-",AI127)+1,99),""))=(AX127))),""))</f>
        <v>7</v>
      </c>
      <c r="AK127" s="10" t="s">
        <v>35</v>
      </c>
      <c r="AL127" s="11">
        <f>IF(OR($C127="",AK127=""),"",IFERROR(IF(AND(IFERROR(--LEFT(AK127,FIND("-",AK127)-1),"")=AW127,IFERROR(--MID(AK127,FIND("-",AK127)+1,99),"")=AX127),10,5*(SIGN((IFERROR(--LEFT(AK127,FIND("-",AK127)-1),""))-(IFERROR(--MID(AK127,FIND("-",AK127)+1,99),"")))=SIGN((AW127)-(AX127)))+2*(((IFERROR(--LEFT(AK127,FIND("-",AK127)-1),""))-(IFERROR(--MID(AK127,FIND("-",AK127)+1,99),"")))=((AW127)-(AX127)))+2*((IFERROR(--LEFT(AK127,FIND("-",AK127)-1),""))=(AW127))+2*((IFERROR(--MID(AK127,FIND("-",AK127)+1,99),""))=(AX127))),""))</f>
        <v>0</v>
      </c>
      <c r="AM127" s="10" t="s">
        <v>33</v>
      </c>
      <c r="AN127" s="11">
        <f>IF(OR($C127="",AM127=""),"",IFERROR(IF(AND(IFERROR(--LEFT(AM127,FIND("-",AM127)-1),"")=AW127,IFERROR(--MID(AM127,FIND("-",AM127)+1,99),"")=AX127),10,5*(SIGN((IFERROR(--LEFT(AM127,FIND("-",AM127)-1),""))-(IFERROR(--MID(AM127,FIND("-",AM127)+1,99),"")))=SIGN((AW127)-(AX127)))+2*(((IFERROR(--LEFT(AM127,FIND("-",AM127)-1),""))-(IFERROR(--MID(AM127,FIND("-",AM127)+1,99),"")))=((AW127)-(AX127)))+2*((IFERROR(--LEFT(AM127,FIND("-",AM127)-1),""))=(AW127))+2*((IFERROR(--MID(AM127,FIND("-",AM127)+1,99),""))=(AX127))),""))</f>
        <v>7</v>
      </c>
      <c r="AO127" s="10" t="s">
        <v>33</v>
      </c>
      <c r="AP127" s="11">
        <f>IF(OR($C127="",AO127=""),"",IFERROR(IF(AND(IFERROR(--LEFT(AO127,FIND("-",AO127)-1),"")=AW127,IFERROR(--MID(AO127,FIND("-",AO127)+1,99),"")=AX127),10,5*(SIGN((IFERROR(--LEFT(AO127,FIND("-",AO127)-1),""))-(IFERROR(--MID(AO127,FIND("-",AO127)+1,99),"")))=SIGN((AW127)-(AX127)))+2*(((IFERROR(--LEFT(AO127,FIND("-",AO127)-1),""))-(IFERROR(--MID(AO127,FIND("-",AO127)+1,99),"")))=((AW127)-(AX127)))+2*((IFERROR(--LEFT(AO127,FIND("-",AO127)-1),""))=(AW127))+2*((IFERROR(--MID(AO127,FIND("-",AO127)+1,99),""))=(AX127))),""))</f>
        <v>7</v>
      </c>
      <c r="AQ127" s="10" t="s">
        <v>37</v>
      </c>
      <c r="AR127" s="11">
        <f>IF(OR($C127="",AQ127=""),"",IFERROR(IF(AND(IFERROR(--LEFT(AQ127,FIND("-",AQ127)-1),"")=AW127,IFERROR(--MID(AQ127,FIND("-",AQ127)+1,99),"")=AX127),10,5*(SIGN((IFERROR(--LEFT(AQ127,FIND("-",AQ127)-1),""))-(IFERROR(--MID(AQ127,FIND("-",AQ127)+1,99),"")))=SIGN((AW127)-(AX127)))+2*(((IFERROR(--LEFT(AQ127,FIND("-",AQ127)-1),""))-(IFERROR(--MID(AQ127,FIND("-",AQ127)+1,99),"")))=((AW127)-(AX127)))+2*((IFERROR(--LEFT(AQ127,FIND("-",AQ127)-1),""))=(AW127))+2*((IFERROR(--MID(AQ127,FIND("-",AQ127)+1,99),""))=(AX127))),""))</f>
        <v>0</v>
      </c>
      <c r="AS127" s="10" t="s">
        <v>50</v>
      </c>
      <c r="AT127" s="11">
        <f>IF(OR($C127="",AS127=""),"",IFERROR(IF(AND(IFERROR(--LEFT(AS127,FIND("-",AS127)-1),"")=AW127,IFERROR(--MID(AS127,FIND("-",AS127)+1,99),"")=AX127),10,5*(SIGN((IFERROR(--LEFT(AS127,FIND("-",AS127)-1),""))-(IFERROR(--MID(AS127,FIND("-",AS127)+1,99),"")))=SIGN((AW127)-(AX127)))+2*(((IFERROR(--LEFT(AS127,FIND("-",AS127)-1),""))-(IFERROR(--MID(AS127,FIND("-",AS127)+1,99),"")))=((AW127)-(AX127)))+2*((IFERROR(--LEFT(AS127,FIND("-",AS127)-1),""))=(AW127))+2*((IFERROR(--MID(AS127,FIND("-",AS127)+1,99),""))=(AX127))),""))</f>
        <v>2</v>
      </c>
      <c r="AU127" s="10" t="s">
        <v>39</v>
      </c>
      <c r="AV127" s="11">
        <f>IF(OR($C127="",AU127=""),"",IFERROR(IF(AND(IFERROR(--LEFT(AU127,FIND("-",AU127)-1),"")=AW127,IFERROR(--MID(AU127,FIND("-",AU127)+1,99),"")=AX127),10,5*(SIGN((IFERROR(--LEFT(AU127,FIND("-",AU127)-1),""))-(IFERROR(--MID(AU127,FIND("-",AU127)+1,99),"")))=SIGN((AW127)-(AX127)))+2*(((IFERROR(--LEFT(AU127,FIND("-",AU127)-1),""))-(IFERROR(--MID(AU127,FIND("-",AU127)+1,99),"")))=((AW127)-(AX127)))+2*((IFERROR(--LEFT(AU127,FIND("-",AU127)-1),""))=(AW127))+2*((IFERROR(--MID(AU127,FIND("-",AU127)+1,99),""))=(AX127))),""))</f>
        <v>7</v>
      </c>
      <c r="AW127" s="11">
        <f>IF($C127="","",IFERROR(--LEFT($C127,FIND("-",$C127)-1),""))</f>
        <v>2</v>
      </c>
      <c r="AX127" s="11">
        <f>IF($C127="","",IFERROR(--MID($C127,FIND("-",$C127)+1,99),""))</f>
        <v>0</v>
      </c>
    </row>
    <row r="128" spans="1:50" ht="18" customHeight="1" x14ac:dyDescent="0.3">
      <c r="A128" s="9">
        <v>1.75</v>
      </c>
      <c r="B128" s="18" t="s">
        <v>101</v>
      </c>
      <c r="C128" s="10" t="s">
        <v>33</v>
      </c>
      <c r="D128" s="1" t="s">
        <v>100</v>
      </c>
      <c r="E128" s="10" t="s">
        <v>36</v>
      </c>
      <c r="F128" s="11">
        <f>IF(OR($C128="",E128=""),"",IFERROR(IF(AND(IFERROR(--LEFT(E128,FIND("-",E128)-1),"")=AW128,IFERROR(--MID(E128,FIND("-",E128)+1,99),"")=AX128),10,5*(SIGN((IFERROR(--LEFT(E128,FIND("-",E128)-1),""))-(IFERROR(--MID(E128,FIND("-",E128)+1,99),"")))=SIGN((AW128)-(AX128)))+2*(((IFERROR(--LEFT(E128,FIND("-",E128)-1),""))-(IFERROR(--MID(E128,FIND("-",E128)+1,99),"")))=((AW128)-(AX128)))+2*((IFERROR(--LEFT(E128,FIND("-",E128)-1),""))=(AW128))+2*((IFERROR(--MID(E128,FIND("-",E128)+1,99),""))=(AX128))),""))</f>
        <v>7</v>
      </c>
      <c r="G128" s="10" t="s">
        <v>36</v>
      </c>
      <c r="H128" s="11">
        <f>IF(OR($C128="",G128=""),"",IFERROR(IF(AND(IFERROR(--LEFT(G128,FIND("-",G128)-1),"")=AW128,IFERROR(--MID(G128,FIND("-",G128)+1,99),"")=AX128),10,5*(SIGN((IFERROR(--LEFT(G128,FIND("-",G128)-1),""))-(IFERROR(--MID(G128,FIND("-",G128)+1,99),"")))=SIGN((AW128)-(AX128)))+2*(((IFERROR(--LEFT(G128,FIND("-",G128)-1),""))-(IFERROR(--MID(G128,FIND("-",G128)+1,99),"")))=((AW128)-(AX128)))+2*((IFERROR(--LEFT(G128,FIND("-",G128)-1),""))=(AW128))+2*((IFERROR(--MID(G128,FIND("-",G128)+1,99),""))=(AX128))),""))</f>
        <v>7</v>
      </c>
      <c r="I128" s="10" t="s">
        <v>36</v>
      </c>
      <c r="J128" s="11">
        <f>IF(OR($C128="",I128=""),"",IFERROR(IF(AND(IFERROR(--LEFT(I128,FIND("-",I128)-1),"")=AW128,IFERROR(--MID(I128,FIND("-",I128)+1,99),"")=AX128),10,5*(SIGN((IFERROR(--LEFT(I128,FIND("-",I128)-1),""))-(IFERROR(--MID(I128,FIND("-",I128)+1,99),"")))=SIGN((AW128)-(AX128)))+2*(((IFERROR(--LEFT(I128,FIND("-",I128)-1),""))-(IFERROR(--MID(I128,FIND("-",I128)+1,99),"")))=((AW128)-(AX128)))+2*((IFERROR(--LEFT(I128,FIND("-",I128)-1),""))=(AW128))+2*((IFERROR(--MID(I128,FIND("-",I128)+1,99),""))=(AX128))),""))</f>
        <v>7</v>
      </c>
      <c r="K128" s="10" t="s">
        <v>63</v>
      </c>
      <c r="L128" s="11">
        <f>IF(OR($C128="",K128=""),"",IFERROR(IF(AND(IFERROR(--LEFT(K128,FIND("-",K128)-1),"")=AW128,IFERROR(--MID(K128,FIND("-",K128)+1,99),"")=AX128),10,5*(SIGN((IFERROR(--LEFT(K128,FIND("-",K128)-1),""))-(IFERROR(--MID(K128,FIND("-",K128)+1,99),"")))=SIGN((AW128)-(AX128)))+2*(((IFERROR(--LEFT(K128,FIND("-",K128)-1),""))-(IFERROR(--MID(K128,FIND("-",K128)+1,99),"")))=((AW128)-(AX128)))+2*((IFERROR(--LEFT(K128,FIND("-",K128)-1),""))=(AW128))+2*((IFERROR(--MID(K128,FIND("-",K128)+1,99),""))=(AX128))),""))</f>
        <v>5</v>
      </c>
      <c r="M128" s="10" t="s">
        <v>71</v>
      </c>
      <c r="N128" s="11">
        <f>IF(OR($C128="",M128=""),"",IFERROR(IF(AND(IFERROR(--LEFT(M128,FIND("-",M128)-1),"")=AW128,IFERROR(--MID(M128,FIND("-",M128)+1,99),"")=AX128),10,5*(SIGN((IFERROR(--LEFT(M128,FIND("-",M128)-1),""))-(IFERROR(--MID(M128,FIND("-",M128)+1,99),"")))=SIGN((AW128)-(AX128)))+2*(((IFERROR(--LEFT(M128,FIND("-",M128)-1),""))-(IFERROR(--MID(M128,FIND("-",M128)+1,99),"")))=((AW128)-(AX128)))+2*((IFERROR(--LEFT(M128,FIND("-",M128)-1),""))=(AW128))+2*((IFERROR(--MID(M128,FIND("-",M128)+1,99),""))=(AX128))),""))</f>
        <v>5</v>
      </c>
      <c r="O128" s="10" t="s">
        <v>38</v>
      </c>
      <c r="P128" s="11">
        <f>IF(OR($C128="",O128=""),"",IFERROR(IF(AND(IFERROR(--LEFT(O128,FIND("-",O128)-1),"")=AW128,IFERROR(--MID(O128,FIND("-",O128)+1,99),"")=AX128),10,5*(SIGN((IFERROR(--LEFT(O128,FIND("-",O128)-1),""))-(IFERROR(--MID(O128,FIND("-",O128)+1,99),"")))=SIGN((AW128)-(AX128)))+2*(((IFERROR(--LEFT(O128,FIND("-",O128)-1),""))-(IFERROR(--MID(O128,FIND("-",O128)+1,99),"")))=((AW128)-(AX128)))+2*((IFERROR(--LEFT(O128,FIND("-",O128)-1),""))=(AW128))+2*((IFERROR(--MID(O128,FIND("-",O128)+1,99),""))=(AX128))),""))</f>
        <v>5</v>
      </c>
      <c r="Q128" s="10" t="s">
        <v>63</v>
      </c>
      <c r="R128" s="11">
        <f>IF(OR($C128="",Q128=""),"",IFERROR(IF(AND(IFERROR(--LEFT(Q128,FIND("-",Q128)-1),"")=AW128,IFERROR(--MID(Q128,FIND("-",Q128)+1,99),"")=AX128),10,5*(SIGN((IFERROR(--LEFT(Q128,FIND("-",Q128)-1),""))-(IFERROR(--MID(Q128,FIND("-",Q128)+1,99),"")))=SIGN((AW128)-(AX128)))+2*(((IFERROR(--LEFT(Q128,FIND("-",Q128)-1),""))-(IFERROR(--MID(Q128,FIND("-",Q128)+1,99),"")))=((AW128)-(AX128)))+2*((IFERROR(--LEFT(Q128,FIND("-",Q128)-1),""))=(AW128))+2*((IFERROR(--MID(Q128,FIND("-",Q128)+1,99),""))=(AX128))),""))</f>
        <v>5</v>
      </c>
      <c r="S128" s="10" t="s">
        <v>36</v>
      </c>
      <c r="T128" s="11">
        <f>IF(OR($C128="",S128=""),"",IFERROR(IF(AND(IFERROR(--LEFT(S128,FIND("-",S128)-1),"")=AW128,IFERROR(--MID(S128,FIND("-",S128)+1,99),"")=AX128),10,5*(SIGN((IFERROR(--LEFT(S128,FIND("-",S128)-1),""))-(IFERROR(--MID(S128,FIND("-",S128)+1,99),"")))=SIGN((AW128)-(AX128)))+2*(((IFERROR(--LEFT(S128,FIND("-",S128)-1),""))-(IFERROR(--MID(S128,FIND("-",S128)+1,99),"")))=((AW128)-(AX128)))+2*((IFERROR(--LEFT(S128,FIND("-",S128)-1),""))=(AW128))+2*((IFERROR(--MID(S128,FIND("-",S128)+1,99),""))=(AX128))),""))</f>
        <v>7</v>
      </c>
      <c r="U128" s="10" t="s">
        <v>36</v>
      </c>
      <c r="V128" s="11">
        <f>IF(OR($C128="",U128=""),"",IFERROR(IF(AND(IFERROR(--LEFT(U128,FIND("-",U128)-1),"")=AW128,IFERROR(--MID(U128,FIND("-",U128)+1,99),"")=AX128),10,5*(SIGN((IFERROR(--LEFT(U128,FIND("-",U128)-1),""))-(IFERROR(--MID(U128,FIND("-",U128)+1,99),"")))=SIGN((AW128)-(AX128)))+2*(((IFERROR(--LEFT(U128,FIND("-",U128)-1),""))-(IFERROR(--MID(U128,FIND("-",U128)+1,99),"")))=((AW128)-(AX128)))+2*((IFERROR(--LEFT(U128,FIND("-",U128)-1),""))=(AW128))+2*((IFERROR(--MID(U128,FIND("-",U128)+1,99),""))=(AX128))),""))</f>
        <v>7</v>
      </c>
      <c r="W128" s="10" t="s">
        <v>36</v>
      </c>
      <c r="X128" s="11">
        <f>IF(OR($C128="",W128=""),"",IFERROR(IF(AND(IFERROR(--LEFT(W128,FIND("-",W128)-1),"")=AW128,IFERROR(--MID(W128,FIND("-",W128)+1,99),"")=AX128),10,5*(SIGN((IFERROR(--LEFT(W128,FIND("-",W128)-1),""))-(IFERROR(--MID(W128,FIND("-",W128)+1,99),"")))=SIGN((AW128)-(AX128)))+2*(((IFERROR(--LEFT(W128,FIND("-",W128)-1),""))-(IFERROR(--MID(W128,FIND("-",W128)+1,99),"")))=((AW128)-(AX128)))+2*((IFERROR(--LEFT(W128,FIND("-",W128)-1),""))=(AW128))+2*((IFERROR(--MID(W128,FIND("-",W128)+1,99),""))=(AX128))),""))</f>
        <v>7</v>
      </c>
      <c r="Y128" s="10" t="s">
        <v>34</v>
      </c>
      <c r="Z128" s="11">
        <f>IF(OR($C128="",Y128=""),"",IFERROR(IF(AND(IFERROR(--LEFT(Y128,FIND("-",Y128)-1),"")=AW128,IFERROR(--MID(Y128,FIND("-",Y128)+1,99),"")=AX128),10,5*(SIGN((IFERROR(--LEFT(Y128,FIND("-",Y128)-1),""))-(IFERROR(--MID(Y128,FIND("-",Y128)+1,99),"")))=SIGN((AW128)-(AX128)))+2*(((IFERROR(--LEFT(Y128,FIND("-",Y128)-1),""))-(IFERROR(--MID(Y128,FIND("-",Y128)+1,99),"")))=((AW128)-(AX128)))+2*((IFERROR(--LEFT(Y128,FIND("-",Y128)-1),""))=(AW128))+2*((IFERROR(--MID(Y128,FIND("-",Y128)+1,99),""))=(AX128))),""))</f>
        <v>7</v>
      </c>
      <c r="AA128" s="10" t="s">
        <v>38</v>
      </c>
      <c r="AB128" s="11">
        <f>IF(OR($C128="",AA128=""),"",IFERROR(IF(AND(IFERROR(--LEFT(AA128,FIND("-",AA128)-1),"")=AW128,IFERROR(--MID(AA128,FIND("-",AA128)+1,99),"")=AX128),10,5*(SIGN((IFERROR(--LEFT(AA128,FIND("-",AA128)-1),""))-(IFERROR(--MID(AA128,FIND("-",AA128)+1,99),"")))=SIGN((AW128)-(AX128)))+2*(((IFERROR(--LEFT(AA128,FIND("-",AA128)-1),""))-(IFERROR(--MID(AA128,FIND("-",AA128)+1,99),"")))=((AW128)-(AX128)))+2*((IFERROR(--LEFT(AA128,FIND("-",AA128)-1),""))=(AW128))+2*((IFERROR(--MID(AA128,FIND("-",AA128)+1,99),""))=(AX128))),""))</f>
        <v>5</v>
      </c>
      <c r="AC128" s="10" t="s">
        <v>49</v>
      </c>
      <c r="AD128" s="11">
        <f>IF(OR($C128="",AC128=""),"",IFERROR(IF(AND(IFERROR(--LEFT(AC128,FIND("-",AC128)-1),"")=AW128,IFERROR(--MID(AC128,FIND("-",AC128)+1,99),"")=AX128),10,5*(SIGN((IFERROR(--LEFT(AC128,FIND("-",AC128)-1),""))-(IFERROR(--MID(AC128,FIND("-",AC128)+1,99),"")))=SIGN((AW128)-(AX128)))+2*(((IFERROR(--LEFT(AC128,FIND("-",AC128)-1),""))-(IFERROR(--MID(AC128,FIND("-",AC128)+1,99),"")))=((AW128)-(AX128)))+2*((IFERROR(--LEFT(AC128,FIND("-",AC128)-1),""))=(AW128))+2*((IFERROR(--MID(AC128,FIND("-",AC128)+1,99),""))=(AX128))),""))</f>
        <v>2</v>
      </c>
      <c r="AE128" s="10" t="s">
        <v>34</v>
      </c>
      <c r="AF128" s="11">
        <f>IF(OR($C128="",AE128=""),"",IFERROR(IF(AND(IFERROR(--LEFT(AE128,FIND("-",AE128)-1),"")=AW128,IFERROR(--MID(AE128,FIND("-",AE128)+1,99),"")=AX128),10,5*(SIGN((IFERROR(--LEFT(AE128,FIND("-",AE128)-1),""))-(IFERROR(--MID(AE128,FIND("-",AE128)+1,99),"")))=SIGN((AW128)-(AX128)))+2*(((IFERROR(--LEFT(AE128,FIND("-",AE128)-1),""))-(IFERROR(--MID(AE128,FIND("-",AE128)+1,99),"")))=((AW128)-(AX128)))+2*((IFERROR(--LEFT(AE128,FIND("-",AE128)-1),""))=(AW128))+2*((IFERROR(--MID(AE128,FIND("-",AE128)+1,99),""))=(AX128))),""))</f>
        <v>7</v>
      </c>
      <c r="AG128" s="10" t="s">
        <v>36</v>
      </c>
      <c r="AH128" s="11">
        <f>IF(OR($C128="",AG128=""),"",IFERROR(IF(AND(IFERROR(--LEFT(AG128,FIND("-",AG128)-1),"")=AW128,IFERROR(--MID(AG128,FIND("-",AG128)+1,99),"")=AX128),10,5*(SIGN((IFERROR(--LEFT(AG128,FIND("-",AG128)-1),""))-(IFERROR(--MID(AG128,FIND("-",AG128)+1,99),"")))=SIGN((AW128)-(AX128)))+2*(((IFERROR(--LEFT(AG128,FIND("-",AG128)-1),""))-(IFERROR(--MID(AG128,FIND("-",AG128)+1,99),"")))=((AW128)-(AX128)))+2*((IFERROR(--LEFT(AG128,FIND("-",AG128)-1),""))=(AW128))+2*((IFERROR(--MID(AG128,FIND("-",AG128)+1,99),""))=(AX128))),""))</f>
        <v>7</v>
      </c>
      <c r="AI128" s="10" t="s">
        <v>38</v>
      </c>
      <c r="AJ128" s="11">
        <f>IF(OR($C128="",AI128=""),"",IFERROR(IF(AND(IFERROR(--LEFT(AI128,FIND("-",AI128)-1),"")=AW128,IFERROR(--MID(AI128,FIND("-",AI128)+1,99),"")=AX128),10,5*(SIGN((IFERROR(--LEFT(AI128,FIND("-",AI128)-1),""))-(IFERROR(--MID(AI128,FIND("-",AI128)+1,99),"")))=SIGN((AW128)-(AX128)))+2*(((IFERROR(--LEFT(AI128,FIND("-",AI128)-1),""))-(IFERROR(--MID(AI128,FIND("-",AI128)+1,99),"")))=((AW128)-(AX128)))+2*((IFERROR(--LEFT(AI128,FIND("-",AI128)-1),""))=(AW128))+2*((IFERROR(--MID(AI128,FIND("-",AI128)+1,99),""))=(AX128))),""))</f>
        <v>5</v>
      </c>
      <c r="AK128" s="10" t="s">
        <v>36</v>
      </c>
      <c r="AL128" s="11">
        <f>IF(OR($C128="",AK128=""),"",IFERROR(IF(AND(IFERROR(--LEFT(AK128,FIND("-",AK128)-1),"")=AW128,IFERROR(--MID(AK128,FIND("-",AK128)+1,99),"")=AX128),10,5*(SIGN((IFERROR(--LEFT(AK128,FIND("-",AK128)-1),""))-(IFERROR(--MID(AK128,FIND("-",AK128)+1,99),"")))=SIGN((AW128)-(AX128)))+2*(((IFERROR(--LEFT(AK128,FIND("-",AK128)-1),""))-(IFERROR(--MID(AK128,FIND("-",AK128)+1,99),"")))=((AW128)-(AX128)))+2*((IFERROR(--LEFT(AK128,FIND("-",AK128)-1),""))=(AW128))+2*((IFERROR(--MID(AK128,FIND("-",AK128)+1,99),""))=(AX128))),""))</f>
        <v>7</v>
      </c>
      <c r="AM128" s="10" t="s">
        <v>36</v>
      </c>
      <c r="AN128" s="11">
        <f>IF(OR($C128="",AM128=""),"",IFERROR(IF(AND(IFERROR(--LEFT(AM128,FIND("-",AM128)-1),"")=AW128,IFERROR(--MID(AM128,FIND("-",AM128)+1,99),"")=AX128),10,5*(SIGN((IFERROR(--LEFT(AM128,FIND("-",AM128)-1),""))-(IFERROR(--MID(AM128,FIND("-",AM128)+1,99),"")))=SIGN((AW128)-(AX128)))+2*(((IFERROR(--LEFT(AM128,FIND("-",AM128)-1),""))-(IFERROR(--MID(AM128,FIND("-",AM128)+1,99),"")))=((AW128)-(AX128)))+2*((IFERROR(--LEFT(AM128,FIND("-",AM128)-1),""))=(AW128))+2*((IFERROR(--MID(AM128,FIND("-",AM128)+1,99),""))=(AX128))),""))</f>
        <v>7</v>
      </c>
      <c r="AO128" s="10" t="s">
        <v>38</v>
      </c>
      <c r="AP128" s="11">
        <f>IF(OR($C128="",AO128=""),"",IFERROR(IF(AND(IFERROR(--LEFT(AO128,FIND("-",AO128)-1),"")=AW128,IFERROR(--MID(AO128,FIND("-",AO128)+1,99),"")=AX128),10,5*(SIGN((IFERROR(--LEFT(AO128,FIND("-",AO128)-1),""))-(IFERROR(--MID(AO128,FIND("-",AO128)+1,99),"")))=SIGN((AW128)-(AX128)))+2*(((IFERROR(--LEFT(AO128,FIND("-",AO128)-1),""))-(IFERROR(--MID(AO128,FIND("-",AO128)+1,99),"")))=((AW128)-(AX128)))+2*((IFERROR(--LEFT(AO128,FIND("-",AO128)-1),""))=(AW128))+2*((IFERROR(--MID(AO128,FIND("-",AO128)+1,99),""))=(AX128))),""))</f>
        <v>5</v>
      </c>
      <c r="AQ128" s="10" t="s">
        <v>34</v>
      </c>
      <c r="AR128" s="11">
        <f>IF(OR($C128="",AQ128=""),"",IFERROR(IF(AND(IFERROR(--LEFT(AQ128,FIND("-",AQ128)-1),"")=AW128,IFERROR(--MID(AQ128,FIND("-",AQ128)+1,99),"")=AX128),10,5*(SIGN((IFERROR(--LEFT(AQ128,FIND("-",AQ128)-1),""))-(IFERROR(--MID(AQ128,FIND("-",AQ128)+1,99),"")))=SIGN((AW128)-(AX128)))+2*(((IFERROR(--LEFT(AQ128,FIND("-",AQ128)-1),""))-(IFERROR(--MID(AQ128,FIND("-",AQ128)+1,99),"")))=((AW128)-(AX128)))+2*((IFERROR(--LEFT(AQ128,FIND("-",AQ128)-1),""))=(AW128))+2*((IFERROR(--MID(AQ128,FIND("-",AQ128)+1,99),""))=(AX128))),""))</f>
        <v>7</v>
      </c>
      <c r="AS128" s="10" t="s">
        <v>39</v>
      </c>
      <c r="AT128" s="11">
        <f>IF(OR($C128="",AS128=""),"",IFERROR(IF(AND(IFERROR(--LEFT(AS128,FIND("-",AS128)-1),"")=AW128,IFERROR(--MID(AS128,FIND("-",AS128)+1,99),"")=AX128),10,5*(SIGN((IFERROR(--LEFT(AS128,FIND("-",AS128)-1),""))-(IFERROR(--MID(AS128,FIND("-",AS128)+1,99),"")))=SIGN((AW128)-(AX128)))+2*(((IFERROR(--LEFT(AS128,FIND("-",AS128)-1),""))-(IFERROR(--MID(AS128,FIND("-",AS128)+1,99),"")))=((AW128)-(AX128)))+2*((IFERROR(--LEFT(AS128,FIND("-",AS128)-1),""))=(AW128))+2*((IFERROR(--MID(AS128,FIND("-",AS128)+1,99),""))=(AX128))),""))</f>
        <v>7</v>
      </c>
      <c r="AU128" s="10" t="s">
        <v>38</v>
      </c>
      <c r="AV128" s="11">
        <f>IF(OR($C128="",AU128=""),"",IFERROR(IF(AND(IFERROR(--LEFT(AU128,FIND("-",AU128)-1),"")=AW128,IFERROR(--MID(AU128,FIND("-",AU128)+1,99),"")=AX128),10,5*(SIGN((IFERROR(--LEFT(AU128,FIND("-",AU128)-1),""))-(IFERROR(--MID(AU128,FIND("-",AU128)+1,99),"")))=SIGN((AW128)-(AX128)))+2*(((IFERROR(--LEFT(AU128,FIND("-",AU128)-1),""))-(IFERROR(--MID(AU128,FIND("-",AU128)+1,99),"")))=((AW128)-(AX128)))+2*((IFERROR(--LEFT(AU128,FIND("-",AU128)-1),""))=(AW128))+2*((IFERROR(--MID(AU128,FIND("-",AU128)+1,99),""))=(AX128))),""))</f>
        <v>5</v>
      </c>
      <c r="AW128" s="11">
        <f>IF($C128="","",IFERROR(--LEFT($C128,FIND("-",$C128)-1),""))</f>
        <v>2</v>
      </c>
      <c r="AX128" s="11">
        <f>IF($C128="","",IFERROR(--MID($C128,FIND("-",$C128)+1,99),""))</f>
        <v>1</v>
      </c>
    </row>
    <row r="129" spans="1:50" ht="18" customHeight="1" x14ac:dyDescent="0.3">
      <c r="A129" s="9">
        <v>1.916666666666667</v>
      </c>
      <c r="B129" s="18" t="s">
        <v>82</v>
      </c>
      <c r="C129" s="10" t="s">
        <v>49</v>
      </c>
      <c r="D129" s="1" t="s">
        <v>90</v>
      </c>
      <c r="E129" s="10" t="s">
        <v>33</v>
      </c>
      <c r="F129" s="11">
        <f>IF(OR($C129="",E129=""),"",IFERROR(IF(AND(IFERROR(--LEFT(E129,FIND("-",E129)-1),"")=AW129,IFERROR(--MID(E129,FIND("-",E129)+1,99),"")=AX129),10,5*(SIGN((IFERROR(--LEFT(E129,FIND("-",E129)-1),""))-(IFERROR(--MID(E129,FIND("-",E129)+1,99),"")))=SIGN((AW129)-(AX129)))+2*(((IFERROR(--LEFT(E129,FIND("-",E129)-1),""))-(IFERROR(--MID(E129,FIND("-",E129)+1,99),"")))=((AW129)-(AX129)))+2*((IFERROR(--LEFT(E129,FIND("-",E129)-1),""))=(AW129))+2*((IFERROR(--MID(E129,FIND("-",E129)+1,99),""))=(AX129))),""))</f>
        <v>2</v>
      </c>
      <c r="G129" s="10" t="s">
        <v>35</v>
      </c>
      <c r="H129" s="11">
        <f>IF(OR($C129="",G129=""),"",IFERROR(IF(AND(IFERROR(--LEFT(G129,FIND("-",G129)-1),"")=AW129,IFERROR(--MID(G129,FIND("-",G129)+1,99),"")=AX129),10,5*(SIGN((IFERROR(--LEFT(G129,FIND("-",G129)-1),""))-(IFERROR(--MID(G129,FIND("-",G129)+1,99),"")))=SIGN((AW129)-(AX129)))+2*(((IFERROR(--LEFT(G129,FIND("-",G129)-1),""))-(IFERROR(--MID(G129,FIND("-",G129)+1,99),"")))=((AW129)-(AX129)))+2*((IFERROR(--LEFT(G129,FIND("-",G129)-1),""))=(AW129))+2*((IFERROR(--MID(G129,FIND("-",G129)+1,99),""))=(AX129))),""))</f>
        <v>7</v>
      </c>
      <c r="I129" s="10" t="s">
        <v>39</v>
      </c>
      <c r="J129" s="11">
        <f>IF(OR($C129="",I129=""),"",IFERROR(IF(AND(IFERROR(--LEFT(I129,FIND("-",I129)-1),"")=AW129,IFERROR(--MID(I129,FIND("-",I129)+1,99),"")=AX129),10,5*(SIGN((IFERROR(--LEFT(I129,FIND("-",I129)-1),""))-(IFERROR(--MID(I129,FIND("-",I129)+1,99),"")))=SIGN((AW129)-(AX129)))+2*(((IFERROR(--LEFT(I129,FIND("-",I129)-1),""))-(IFERROR(--MID(I129,FIND("-",I129)+1,99),"")))=((AW129)-(AX129)))+2*((IFERROR(--LEFT(I129,FIND("-",I129)-1),""))=(AW129))+2*((IFERROR(--MID(I129,FIND("-",I129)+1,99),""))=(AX129))),""))</f>
        <v>0</v>
      </c>
      <c r="K129" s="10" t="s">
        <v>33</v>
      </c>
      <c r="L129" s="11">
        <f>IF(OR($C129="",K129=""),"",IFERROR(IF(AND(IFERROR(--LEFT(K129,FIND("-",K129)-1),"")=AW129,IFERROR(--MID(K129,FIND("-",K129)+1,99),"")=AX129),10,5*(SIGN((IFERROR(--LEFT(K129,FIND("-",K129)-1),""))-(IFERROR(--MID(K129,FIND("-",K129)+1,99),"")))=SIGN((AW129)-(AX129)))+2*(((IFERROR(--LEFT(K129,FIND("-",K129)-1),""))-(IFERROR(--MID(K129,FIND("-",K129)+1,99),"")))=((AW129)-(AX129)))+2*((IFERROR(--LEFT(K129,FIND("-",K129)-1),""))=(AW129))+2*((IFERROR(--MID(K129,FIND("-",K129)+1,99),""))=(AX129))),""))</f>
        <v>2</v>
      </c>
      <c r="M129" s="10" t="s">
        <v>33</v>
      </c>
      <c r="N129" s="11">
        <f>IF(OR($C129="",M129=""),"",IFERROR(IF(AND(IFERROR(--LEFT(M129,FIND("-",M129)-1),"")=AW129,IFERROR(--MID(M129,FIND("-",M129)+1,99),"")=AX129),10,5*(SIGN((IFERROR(--LEFT(M129,FIND("-",M129)-1),""))-(IFERROR(--MID(M129,FIND("-",M129)+1,99),"")))=SIGN((AW129)-(AX129)))+2*(((IFERROR(--LEFT(M129,FIND("-",M129)-1),""))-(IFERROR(--MID(M129,FIND("-",M129)+1,99),"")))=((AW129)-(AX129)))+2*((IFERROR(--LEFT(M129,FIND("-",M129)-1),""))=(AW129))+2*((IFERROR(--MID(M129,FIND("-",M129)+1,99),""))=(AX129))),""))</f>
        <v>2</v>
      </c>
      <c r="O129" s="10" t="s">
        <v>37</v>
      </c>
      <c r="P129" s="11">
        <f>IF(OR($C129="",O129=""),"",IFERROR(IF(AND(IFERROR(--LEFT(O129,FIND("-",O129)-1),"")=AW129,IFERROR(--MID(O129,FIND("-",O129)+1,99),"")=AX129),10,5*(SIGN((IFERROR(--LEFT(O129,FIND("-",O129)-1),""))-(IFERROR(--MID(O129,FIND("-",O129)+1,99),"")))=SIGN((AW129)-(AX129)))+2*(((IFERROR(--LEFT(O129,FIND("-",O129)-1),""))-(IFERROR(--MID(O129,FIND("-",O129)+1,99),"")))=((AW129)-(AX129)))+2*((IFERROR(--LEFT(O129,FIND("-",O129)-1),""))=(AW129))+2*((IFERROR(--MID(O129,FIND("-",O129)+1,99),""))=(AX129))),""))</f>
        <v>2</v>
      </c>
      <c r="Q129" s="10" t="s">
        <v>49</v>
      </c>
      <c r="R129" s="11">
        <f>IF(OR($C129="",Q129=""),"",IFERROR(IF(AND(IFERROR(--LEFT(Q129,FIND("-",Q129)-1),"")=AW129,IFERROR(--MID(Q129,FIND("-",Q129)+1,99),"")=AX129),10,5*(SIGN((IFERROR(--LEFT(Q129,FIND("-",Q129)-1),""))-(IFERROR(--MID(Q129,FIND("-",Q129)+1,99),"")))=SIGN((AW129)-(AX129)))+2*(((IFERROR(--LEFT(Q129,FIND("-",Q129)-1),""))-(IFERROR(--MID(Q129,FIND("-",Q129)+1,99),"")))=((AW129)-(AX129)))+2*((IFERROR(--LEFT(Q129,FIND("-",Q129)-1),""))=(AW129))+2*((IFERROR(--MID(Q129,FIND("-",Q129)+1,99),""))=(AX129))),""))</f>
        <v>10</v>
      </c>
      <c r="S129" s="10" t="s">
        <v>37</v>
      </c>
      <c r="T129" s="11">
        <f>IF(OR($C129="",S129=""),"",IFERROR(IF(AND(IFERROR(--LEFT(S129,FIND("-",S129)-1),"")=AW129,IFERROR(--MID(S129,FIND("-",S129)+1,99),"")=AX129),10,5*(SIGN((IFERROR(--LEFT(S129,FIND("-",S129)-1),""))-(IFERROR(--MID(S129,FIND("-",S129)+1,99),"")))=SIGN((AW129)-(AX129)))+2*(((IFERROR(--LEFT(S129,FIND("-",S129)-1),""))-(IFERROR(--MID(S129,FIND("-",S129)+1,99),"")))=((AW129)-(AX129)))+2*((IFERROR(--LEFT(S129,FIND("-",S129)-1),""))=(AW129))+2*((IFERROR(--MID(S129,FIND("-",S129)+1,99),""))=(AX129))),""))</f>
        <v>2</v>
      </c>
      <c r="U129" s="10" t="s">
        <v>37</v>
      </c>
      <c r="V129" s="11">
        <f>IF(OR($C129="",U129=""),"",IFERROR(IF(AND(IFERROR(--LEFT(U129,FIND("-",U129)-1),"")=AW129,IFERROR(--MID(U129,FIND("-",U129)+1,99),"")=AX129),10,5*(SIGN((IFERROR(--LEFT(U129,FIND("-",U129)-1),""))-(IFERROR(--MID(U129,FIND("-",U129)+1,99),"")))=SIGN((AW129)-(AX129)))+2*(((IFERROR(--LEFT(U129,FIND("-",U129)-1),""))-(IFERROR(--MID(U129,FIND("-",U129)+1,99),"")))=((AW129)-(AX129)))+2*((IFERROR(--LEFT(U129,FIND("-",U129)-1),""))=(AW129))+2*((IFERROR(--MID(U129,FIND("-",U129)+1,99),""))=(AX129))),""))</f>
        <v>2</v>
      </c>
      <c r="W129" s="10" t="s">
        <v>33</v>
      </c>
      <c r="X129" s="11">
        <f>IF(OR($C129="",W129=""),"",IFERROR(IF(AND(IFERROR(--LEFT(W129,FIND("-",W129)-1),"")=AW129,IFERROR(--MID(W129,FIND("-",W129)+1,99),"")=AX129),10,5*(SIGN((IFERROR(--LEFT(W129,FIND("-",W129)-1),""))-(IFERROR(--MID(W129,FIND("-",W129)+1,99),"")))=SIGN((AW129)-(AX129)))+2*(((IFERROR(--LEFT(W129,FIND("-",W129)-1),""))-(IFERROR(--MID(W129,FIND("-",W129)+1,99),"")))=((AW129)-(AX129)))+2*((IFERROR(--LEFT(W129,FIND("-",W129)-1),""))=(AW129))+2*((IFERROR(--MID(W129,FIND("-",W129)+1,99),""))=(AX129))),""))</f>
        <v>2</v>
      </c>
      <c r="Y129" s="10" t="s">
        <v>37</v>
      </c>
      <c r="Z129" s="11">
        <f>IF(OR($C129="",Y129=""),"",IFERROR(IF(AND(IFERROR(--LEFT(Y129,FIND("-",Y129)-1),"")=AW129,IFERROR(--MID(Y129,FIND("-",Y129)+1,99),"")=AX129),10,5*(SIGN((IFERROR(--LEFT(Y129,FIND("-",Y129)-1),""))-(IFERROR(--MID(Y129,FIND("-",Y129)+1,99),"")))=SIGN((AW129)-(AX129)))+2*(((IFERROR(--LEFT(Y129,FIND("-",Y129)-1),""))-(IFERROR(--MID(Y129,FIND("-",Y129)+1,99),"")))=((AW129)-(AX129)))+2*((IFERROR(--LEFT(Y129,FIND("-",Y129)-1),""))=(AW129))+2*((IFERROR(--MID(Y129,FIND("-",Y129)+1,99),""))=(AX129))),""))</f>
        <v>2</v>
      </c>
      <c r="AA129" s="10" t="s">
        <v>33</v>
      </c>
      <c r="AB129" s="11">
        <f>IF(OR($C129="",AA129=""),"",IFERROR(IF(AND(IFERROR(--LEFT(AA129,FIND("-",AA129)-1),"")=AW129,IFERROR(--MID(AA129,FIND("-",AA129)+1,99),"")=AX129),10,5*(SIGN((IFERROR(--LEFT(AA129,FIND("-",AA129)-1),""))-(IFERROR(--MID(AA129,FIND("-",AA129)+1,99),"")))=SIGN((AW129)-(AX129)))+2*(((IFERROR(--LEFT(AA129,FIND("-",AA129)-1),""))-(IFERROR(--MID(AA129,FIND("-",AA129)+1,99),"")))=((AW129)-(AX129)))+2*((IFERROR(--LEFT(AA129,FIND("-",AA129)-1),""))=(AW129))+2*((IFERROR(--MID(AA129,FIND("-",AA129)+1,99),""))=(AX129))),""))</f>
        <v>2</v>
      </c>
      <c r="AC129" s="10" t="s">
        <v>33</v>
      </c>
      <c r="AD129" s="11">
        <f>IF(OR($C129="",AC129=""),"",IFERROR(IF(AND(IFERROR(--LEFT(AC129,FIND("-",AC129)-1),"")=AW129,IFERROR(--MID(AC129,FIND("-",AC129)+1,99),"")=AX129),10,5*(SIGN((IFERROR(--LEFT(AC129,FIND("-",AC129)-1),""))-(IFERROR(--MID(AC129,FIND("-",AC129)+1,99),"")))=SIGN((AW129)-(AX129)))+2*(((IFERROR(--LEFT(AC129,FIND("-",AC129)-1),""))-(IFERROR(--MID(AC129,FIND("-",AC129)+1,99),"")))=((AW129)-(AX129)))+2*((IFERROR(--LEFT(AC129,FIND("-",AC129)-1),""))=(AW129))+2*((IFERROR(--MID(AC129,FIND("-",AC129)+1,99),""))=(AX129))),""))</f>
        <v>2</v>
      </c>
      <c r="AE129" s="10" t="s">
        <v>33</v>
      </c>
      <c r="AF129" s="11">
        <f>IF(OR($C129="",AE129=""),"",IFERROR(IF(AND(IFERROR(--LEFT(AE129,FIND("-",AE129)-1),"")=AW129,IFERROR(--MID(AE129,FIND("-",AE129)+1,99),"")=AX129),10,5*(SIGN((IFERROR(--LEFT(AE129,FIND("-",AE129)-1),""))-(IFERROR(--MID(AE129,FIND("-",AE129)+1,99),"")))=SIGN((AW129)-(AX129)))+2*(((IFERROR(--LEFT(AE129,FIND("-",AE129)-1),""))-(IFERROR(--MID(AE129,FIND("-",AE129)+1,99),"")))=((AW129)-(AX129)))+2*((IFERROR(--LEFT(AE129,FIND("-",AE129)-1),""))=(AW129))+2*((IFERROR(--MID(AE129,FIND("-",AE129)+1,99),""))=(AX129))),""))</f>
        <v>2</v>
      </c>
      <c r="AG129" s="10" t="s">
        <v>35</v>
      </c>
      <c r="AH129" s="11">
        <f>IF(OR($C129="",AG129=""),"",IFERROR(IF(AND(IFERROR(--LEFT(AG129,FIND("-",AG129)-1),"")=AW129,IFERROR(--MID(AG129,FIND("-",AG129)+1,99),"")=AX129),10,5*(SIGN((IFERROR(--LEFT(AG129,FIND("-",AG129)-1),""))-(IFERROR(--MID(AG129,FIND("-",AG129)+1,99),"")))=SIGN((AW129)-(AX129)))+2*(((IFERROR(--LEFT(AG129,FIND("-",AG129)-1),""))-(IFERROR(--MID(AG129,FIND("-",AG129)+1,99),"")))=((AW129)-(AX129)))+2*((IFERROR(--LEFT(AG129,FIND("-",AG129)-1),""))=(AW129))+2*((IFERROR(--MID(AG129,FIND("-",AG129)+1,99),""))=(AX129))),""))</f>
        <v>7</v>
      </c>
      <c r="AI129" s="10" t="s">
        <v>35</v>
      </c>
      <c r="AJ129" s="11">
        <f>IF(OR($C129="",AI129=""),"",IFERROR(IF(AND(IFERROR(--LEFT(AI129,FIND("-",AI129)-1),"")=AW129,IFERROR(--MID(AI129,FIND("-",AI129)+1,99),"")=AX129),10,5*(SIGN((IFERROR(--LEFT(AI129,FIND("-",AI129)-1),""))-(IFERROR(--MID(AI129,FIND("-",AI129)+1,99),"")))=SIGN((AW129)-(AX129)))+2*(((IFERROR(--LEFT(AI129,FIND("-",AI129)-1),""))-(IFERROR(--MID(AI129,FIND("-",AI129)+1,99),"")))=((AW129)-(AX129)))+2*((IFERROR(--LEFT(AI129,FIND("-",AI129)-1),""))=(AW129))+2*((IFERROR(--MID(AI129,FIND("-",AI129)+1,99),""))=(AX129))),""))</f>
        <v>7</v>
      </c>
      <c r="AK129" s="10" t="s">
        <v>33</v>
      </c>
      <c r="AL129" s="11">
        <f>IF(OR($C129="",AK129=""),"",IFERROR(IF(AND(IFERROR(--LEFT(AK129,FIND("-",AK129)-1),"")=AW129,IFERROR(--MID(AK129,FIND("-",AK129)+1,99),"")=AX129),10,5*(SIGN((IFERROR(--LEFT(AK129,FIND("-",AK129)-1),""))-(IFERROR(--MID(AK129,FIND("-",AK129)+1,99),"")))=SIGN((AW129)-(AX129)))+2*(((IFERROR(--LEFT(AK129,FIND("-",AK129)-1),""))-(IFERROR(--MID(AK129,FIND("-",AK129)+1,99),"")))=((AW129)-(AX129)))+2*((IFERROR(--LEFT(AK129,FIND("-",AK129)-1),""))=(AW129))+2*((IFERROR(--MID(AK129,FIND("-",AK129)+1,99),""))=(AX129))),""))</f>
        <v>2</v>
      </c>
      <c r="AM129" s="10" t="s">
        <v>35</v>
      </c>
      <c r="AN129" s="11">
        <f>IF(OR($C129="",AM129=""),"",IFERROR(IF(AND(IFERROR(--LEFT(AM129,FIND("-",AM129)-1),"")=AW129,IFERROR(--MID(AM129,FIND("-",AM129)+1,99),"")=AX129),10,5*(SIGN((IFERROR(--LEFT(AM129,FIND("-",AM129)-1),""))-(IFERROR(--MID(AM129,FIND("-",AM129)+1,99),"")))=SIGN((AW129)-(AX129)))+2*(((IFERROR(--LEFT(AM129,FIND("-",AM129)-1),""))-(IFERROR(--MID(AM129,FIND("-",AM129)+1,99),"")))=((AW129)-(AX129)))+2*((IFERROR(--LEFT(AM129,FIND("-",AM129)-1),""))=(AW129))+2*((IFERROR(--MID(AM129,FIND("-",AM129)+1,99),""))=(AX129))),""))</f>
        <v>7</v>
      </c>
      <c r="AO129" s="10" t="s">
        <v>37</v>
      </c>
      <c r="AP129" s="11">
        <f>IF(OR($C129="",AO129=""),"",IFERROR(IF(AND(IFERROR(--LEFT(AO129,FIND("-",AO129)-1),"")=AW129,IFERROR(--MID(AO129,FIND("-",AO129)+1,99),"")=AX129),10,5*(SIGN((IFERROR(--LEFT(AO129,FIND("-",AO129)-1),""))-(IFERROR(--MID(AO129,FIND("-",AO129)+1,99),"")))=SIGN((AW129)-(AX129)))+2*(((IFERROR(--LEFT(AO129,FIND("-",AO129)-1),""))-(IFERROR(--MID(AO129,FIND("-",AO129)+1,99),"")))=((AW129)-(AX129)))+2*((IFERROR(--LEFT(AO129,FIND("-",AO129)-1),""))=(AW129))+2*((IFERROR(--MID(AO129,FIND("-",AO129)+1,99),""))=(AX129))),""))</f>
        <v>2</v>
      </c>
      <c r="AQ129" s="10" t="s">
        <v>37</v>
      </c>
      <c r="AR129" s="11">
        <f>IF(OR($C129="",AQ129=""),"",IFERROR(IF(AND(IFERROR(--LEFT(AQ129,FIND("-",AQ129)-1),"")=AW129,IFERROR(--MID(AQ129,FIND("-",AQ129)+1,99),"")=AX129),10,5*(SIGN((IFERROR(--LEFT(AQ129,FIND("-",AQ129)-1),""))-(IFERROR(--MID(AQ129,FIND("-",AQ129)+1,99),"")))=SIGN((AW129)-(AX129)))+2*(((IFERROR(--LEFT(AQ129,FIND("-",AQ129)-1),""))-(IFERROR(--MID(AQ129,FIND("-",AQ129)+1,99),"")))=((AW129)-(AX129)))+2*((IFERROR(--LEFT(AQ129,FIND("-",AQ129)-1),""))=(AW129))+2*((IFERROR(--MID(AQ129,FIND("-",AQ129)+1,99),""))=(AX129))),""))</f>
        <v>2</v>
      </c>
      <c r="AS129" s="10" t="s">
        <v>45</v>
      </c>
      <c r="AT129" s="11">
        <f>IF(OR($C129="",AS129=""),"",IFERROR(IF(AND(IFERROR(--LEFT(AS129,FIND("-",AS129)-1),"")=AW129,IFERROR(--MID(AS129,FIND("-",AS129)+1,99),"")=AX129),10,5*(SIGN((IFERROR(--LEFT(AS129,FIND("-",AS129)-1),""))-(IFERROR(--MID(AS129,FIND("-",AS129)+1,99),"")))=SIGN((AW129)-(AX129)))+2*(((IFERROR(--LEFT(AS129,FIND("-",AS129)-1),""))-(IFERROR(--MID(AS129,FIND("-",AS129)+1,99),"")))=((AW129)-(AX129)))+2*((IFERROR(--LEFT(AS129,FIND("-",AS129)-1),""))=(AW129))+2*((IFERROR(--MID(AS129,FIND("-",AS129)+1,99),""))=(AX129))),""))</f>
        <v>0</v>
      </c>
      <c r="AU129" s="10" t="s">
        <v>37</v>
      </c>
      <c r="AV129" s="11">
        <f>IF(OR($C129="",AU129=""),"",IFERROR(IF(AND(IFERROR(--LEFT(AU129,FIND("-",AU129)-1),"")=AW129,IFERROR(--MID(AU129,FIND("-",AU129)+1,99),"")=AX129),10,5*(SIGN((IFERROR(--LEFT(AU129,FIND("-",AU129)-1),""))-(IFERROR(--MID(AU129,FIND("-",AU129)+1,99),"")))=SIGN((AW129)-(AX129)))+2*(((IFERROR(--LEFT(AU129,FIND("-",AU129)-1),""))-(IFERROR(--MID(AU129,FIND("-",AU129)+1,99),"")))=((AW129)-(AX129)))+2*((IFERROR(--LEFT(AU129,FIND("-",AU129)-1),""))=(AW129))+2*((IFERROR(--MID(AU129,FIND("-",AU129)+1,99),""))=(AX129))),""))</f>
        <v>2</v>
      </c>
      <c r="AW129" s="11">
        <f>IF($C129="","",IFERROR(--LEFT($C129,FIND("-",$C129)-1),""))</f>
        <v>2</v>
      </c>
      <c r="AX129" s="11">
        <f>IF($C129="","",IFERROR(--MID($C129,FIND("-",$C129)+1,99),""))</f>
        <v>2</v>
      </c>
    </row>
    <row r="130" spans="1:50" ht="18" customHeight="1" x14ac:dyDescent="0.3">
      <c r="A130" s="12"/>
      <c r="B130" s="18"/>
      <c r="C130" s="13"/>
      <c r="D130" s="1"/>
      <c r="E130" s="22"/>
      <c r="F130" s="12"/>
      <c r="G130" s="22"/>
      <c r="H130" s="12"/>
      <c r="I130" s="22"/>
      <c r="J130" s="12"/>
      <c r="K130" s="22"/>
      <c r="L130" s="12"/>
      <c r="M130" s="22"/>
      <c r="N130" s="12"/>
      <c r="O130" s="22"/>
      <c r="P130" s="12"/>
      <c r="Q130" s="22"/>
      <c r="R130" s="12"/>
      <c r="S130" s="22"/>
      <c r="T130" s="12"/>
      <c r="U130" s="13"/>
      <c r="V130" s="12"/>
      <c r="W130" s="22"/>
      <c r="X130" s="12"/>
      <c r="Y130" s="22"/>
      <c r="Z130" s="12"/>
      <c r="AA130" s="22"/>
      <c r="AB130" s="12"/>
      <c r="AC130" s="22"/>
      <c r="AD130" s="12"/>
      <c r="AE130" s="22"/>
      <c r="AF130" s="12"/>
      <c r="AG130" s="22"/>
      <c r="AH130" s="12"/>
      <c r="AI130" s="22"/>
      <c r="AJ130" s="12"/>
      <c r="AK130" s="22"/>
      <c r="AL130" s="12"/>
      <c r="AM130" s="22"/>
      <c r="AN130" s="12"/>
      <c r="AO130" s="22"/>
      <c r="AP130" s="12"/>
      <c r="AQ130" s="22"/>
      <c r="AR130" s="12" t="str">
        <f>IF(OR($C130="",AQ130=""),"",IFERROR(IF(AND(IFERROR(--LEFT(AQ130,FIND("-",AQ130)-1),"")=AW130,IFERROR(--MID(AQ130,FIND("-",AQ130)+1,99),"")=AX130),10,5*(SIGN((IFERROR(--LEFT(AQ130,FIND("-",AQ130)-1),""))-(IFERROR(--MID(AQ130,FIND("-",AQ130)+1,99),"")))=SIGN((AW130)-(AX130)))+2*(((IFERROR(--LEFT(AQ130,FIND("-",AQ130)-1),""))-(IFERROR(--MID(AQ130,FIND("-",AQ130)+1,99),"")))=((AW130)-(AX130)))+2*((IFERROR(--LEFT(AQ130,FIND("-",AQ130)-1),""))=(AW130))+2*((IFERROR(--MID(AQ130,FIND("-",AQ130)+1,99),""))=(AX130))),""))</f>
        <v/>
      </c>
      <c r="AS130" s="22"/>
      <c r="AT130" s="12" t="str">
        <f>IF(OR($C130="",AS130=""),"",IFERROR(IF(AND(IFERROR(--LEFT(AS130,FIND("-",AS130)-1),"")=AW130,IFERROR(--MID(AS130,FIND("-",AS130)+1,99),"")=AX130),10,5*(SIGN((IFERROR(--LEFT(AS130,FIND("-",AS130)-1),""))-(IFERROR(--MID(AS130,FIND("-",AS130)+1,99),"")))=SIGN((AW130)-(AX130)))+2*(((IFERROR(--LEFT(AS130,FIND("-",AS130)-1),""))-(IFERROR(--MID(AS130,FIND("-",AS130)+1,99),"")))=((AW130)-(AX130)))+2*((IFERROR(--LEFT(AS130,FIND("-",AS130)-1),""))=(AW130))+2*((IFERROR(--MID(AS130,FIND("-",AS130)+1,99),""))=(AX130))),""))</f>
        <v/>
      </c>
      <c r="AU130" s="22"/>
      <c r="AV130" s="12"/>
      <c r="AW130" s="12"/>
      <c r="AX130" s="12"/>
    </row>
    <row r="131" spans="1:50" ht="20.100000000000001" customHeight="1" x14ac:dyDescent="0.3">
      <c r="A131" s="36" t="s">
        <v>132</v>
      </c>
      <c r="B131" s="37"/>
      <c r="C131" s="38"/>
      <c r="D131" s="37"/>
      <c r="E131" s="38"/>
      <c r="F131" s="37"/>
      <c r="G131" s="38"/>
      <c r="H131" s="37"/>
      <c r="I131" s="38"/>
      <c r="J131" s="37"/>
      <c r="K131" s="38"/>
      <c r="L131" s="37"/>
      <c r="M131" s="38"/>
      <c r="N131" s="37"/>
      <c r="O131" s="38"/>
      <c r="P131" s="37"/>
      <c r="Q131" s="38"/>
      <c r="R131" s="37"/>
      <c r="S131" s="38"/>
      <c r="T131" s="37"/>
      <c r="U131" s="38"/>
      <c r="V131" s="37"/>
      <c r="W131" s="38"/>
      <c r="X131" s="37"/>
      <c r="Y131" s="38"/>
      <c r="Z131" s="37"/>
      <c r="AA131" s="38"/>
      <c r="AB131" s="37"/>
      <c r="AC131" s="38"/>
      <c r="AD131" s="37"/>
      <c r="AE131" s="38"/>
      <c r="AF131" s="37"/>
      <c r="AG131" s="38"/>
      <c r="AH131" s="37"/>
      <c r="AI131" s="38"/>
      <c r="AJ131" s="37"/>
      <c r="AK131" s="38"/>
      <c r="AL131" s="37"/>
      <c r="AM131" s="38"/>
      <c r="AN131" s="37"/>
      <c r="AO131" s="38"/>
      <c r="AP131" s="37"/>
      <c r="AQ131" s="37"/>
      <c r="AR131" s="37"/>
      <c r="AS131" s="37"/>
      <c r="AT131" s="37"/>
      <c r="AU131" s="38"/>
      <c r="AV131" s="39"/>
      <c r="AW131" s="8"/>
      <c r="AX131" s="8"/>
    </row>
    <row r="132" spans="1:50" ht="18" customHeight="1" x14ac:dyDescent="0.3">
      <c r="A132" s="9">
        <v>1.083333333333333</v>
      </c>
      <c r="B132" s="18" t="s">
        <v>52</v>
      </c>
      <c r="C132" s="10" t="s">
        <v>36</v>
      </c>
      <c r="D132" s="1" t="s">
        <v>47</v>
      </c>
      <c r="E132" s="10" t="s">
        <v>33</v>
      </c>
      <c r="F132" s="11">
        <f>IF(OR($C132="",E132=""),"",IFERROR(IF(AND(IFERROR(--LEFT(E132,FIND("-",E132)-1),"")=AW132,IFERROR(--MID(E132,FIND("-",E132)+1,99),"")=AX132),10,5*(SIGN((IFERROR(--LEFT(E132,FIND("-",E132)-1),""))-(IFERROR(--MID(E132,FIND("-",E132)+1,99),"")))=SIGN((AW132)-(AX132)))+2*(((IFERROR(--LEFT(E132,FIND("-",E132)-1),""))-(IFERROR(--MID(E132,FIND("-",E132)+1,99),"")))=((AW132)-(AX132)))+2*((IFERROR(--LEFT(E132,FIND("-",E132)-1),""))=(AW132))+2*((IFERROR(--MID(E132,FIND("-",E132)+1,99),""))=(AX132))),""))</f>
        <v>7</v>
      </c>
      <c r="G132" s="10" t="s">
        <v>36</v>
      </c>
      <c r="H132" s="11">
        <f>IF(OR($C132="",G132=""),"",IFERROR(IF(AND(IFERROR(--LEFT(G132,FIND("-",G132)-1),"")=AW132,IFERROR(--MID(G132,FIND("-",G132)+1,99),"")=AX132),10,5*(SIGN((IFERROR(--LEFT(G132,FIND("-",G132)-1),""))-(IFERROR(--MID(G132,FIND("-",G132)+1,99),"")))=SIGN((AW132)-(AX132)))+2*(((IFERROR(--LEFT(G132,FIND("-",G132)-1),""))-(IFERROR(--MID(G132,FIND("-",G132)+1,99),"")))=((AW132)-(AX132)))+2*((IFERROR(--LEFT(G132,FIND("-",G132)-1),""))=(AW132))+2*((IFERROR(--MID(G132,FIND("-",G132)+1,99),""))=(AX132))),""))</f>
        <v>10</v>
      </c>
      <c r="I132" s="10" t="s">
        <v>39</v>
      </c>
      <c r="J132" s="11">
        <f>IF(OR($C132="",I132=""),"",IFERROR(IF(AND(IFERROR(--LEFT(I132,FIND("-",I132)-1),"")=AW132,IFERROR(--MID(I132,FIND("-",I132)+1,99),"")=AX132),10,5*(SIGN((IFERROR(--LEFT(I132,FIND("-",I132)-1),""))-(IFERROR(--MID(I132,FIND("-",I132)+1,99),"")))=SIGN((AW132)-(AX132)))+2*(((IFERROR(--LEFT(I132,FIND("-",I132)-1),""))-(IFERROR(--MID(I132,FIND("-",I132)+1,99),"")))=((AW132)-(AX132)))+2*((IFERROR(--LEFT(I132,FIND("-",I132)-1),""))=(AW132))+2*((IFERROR(--MID(I132,FIND("-",I132)+1,99),""))=(AX132))),""))</f>
        <v>7</v>
      </c>
      <c r="K132" s="10" t="s">
        <v>39</v>
      </c>
      <c r="L132" s="11">
        <f>IF(OR($C132="",K132=""),"",IFERROR(IF(AND(IFERROR(--LEFT(K132,FIND("-",K132)-1),"")=AW132,IFERROR(--MID(K132,FIND("-",K132)+1,99),"")=AX132),10,5*(SIGN((IFERROR(--LEFT(K132,FIND("-",K132)-1),""))-(IFERROR(--MID(K132,FIND("-",K132)+1,99),"")))=SIGN((AW132)-(AX132)))+2*(((IFERROR(--LEFT(K132,FIND("-",K132)-1),""))-(IFERROR(--MID(K132,FIND("-",K132)+1,99),"")))=((AW132)-(AX132)))+2*((IFERROR(--LEFT(K132,FIND("-",K132)-1),""))=(AW132))+2*((IFERROR(--MID(K132,FIND("-",K132)+1,99),""))=(AX132))),""))</f>
        <v>7</v>
      </c>
      <c r="M132" s="10" t="s">
        <v>37</v>
      </c>
      <c r="N132" s="11">
        <f>IF(OR($C132="",M132=""),"",IFERROR(IF(AND(IFERROR(--LEFT(M132,FIND("-",M132)-1),"")=AW132,IFERROR(--MID(M132,FIND("-",M132)+1,99),"")=AX132),10,5*(SIGN((IFERROR(--LEFT(M132,FIND("-",M132)-1),""))-(IFERROR(--MID(M132,FIND("-",M132)+1,99),"")))=SIGN((AW132)-(AX132)))+2*(((IFERROR(--LEFT(M132,FIND("-",M132)-1),""))-(IFERROR(--MID(M132,FIND("-",M132)+1,99),"")))=((AW132)-(AX132)))+2*((IFERROR(--LEFT(M132,FIND("-",M132)-1),""))=(AW132))+2*((IFERROR(--MID(M132,FIND("-",M132)+1,99),""))=(AX132))),""))</f>
        <v>0</v>
      </c>
      <c r="O132" s="10" t="s">
        <v>36</v>
      </c>
      <c r="P132" s="11">
        <f>IF(OR($C132="",O132=""),"",IFERROR(IF(AND(IFERROR(--LEFT(O132,FIND("-",O132)-1),"")=AW132,IFERROR(--MID(O132,FIND("-",O132)+1,99),"")=AX132),10,5*(SIGN((IFERROR(--LEFT(O132,FIND("-",O132)-1),""))-(IFERROR(--MID(O132,FIND("-",O132)+1,99),"")))=SIGN((AW132)-(AX132)))+2*(((IFERROR(--LEFT(O132,FIND("-",O132)-1),""))-(IFERROR(--MID(O132,FIND("-",O132)+1,99),"")))=((AW132)-(AX132)))+2*((IFERROR(--LEFT(O132,FIND("-",O132)-1),""))=(AW132))+2*((IFERROR(--MID(O132,FIND("-",O132)+1,99),""))=(AX132))),""))</f>
        <v>10</v>
      </c>
      <c r="Q132" s="10" t="s">
        <v>37</v>
      </c>
      <c r="R132" s="11">
        <f>IF(OR($C132="",Q132=""),"",IFERROR(IF(AND(IFERROR(--LEFT(Q132,FIND("-",Q132)-1),"")=AW132,IFERROR(--MID(Q132,FIND("-",Q132)+1,99),"")=AX132),10,5*(SIGN((IFERROR(--LEFT(Q132,FIND("-",Q132)-1),""))-(IFERROR(--MID(Q132,FIND("-",Q132)+1,99),"")))=SIGN((AW132)-(AX132)))+2*(((IFERROR(--LEFT(Q132,FIND("-",Q132)-1),""))-(IFERROR(--MID(Q132,FIND("-",Q132)+1,99),"")))=((AW132)-(AX132)))+2*((IFERROR(--LEFT(Q132,FIND("-",Q132)-1),""))=(AW132))+2*((IFERROR(--MID(Q132,FIND("-",Q132)+1,99),""))=(AX132))),""))</f>
        <v>0</v>
      </c>
      <c r="S132" s="10" t="s">
        <v>36</v>
      </c>
      <c r="T132" s="11">
        <f>IF(OR($C132="",S132=""),"",IFERROR(IF(AND(IFERROR(--LEFT(S132,FIND("-",S132)-1),"")=AW132,IFERROR(--MID(S132,FIND("-",S132)+1,99),"")=AX132),10,5*(SIGN((IFERROR(--LEFT(S132,FIND("-",S132)-1),""))-(IFERROR(--MID(S132,FIND("-",S132)+1,99),"")))=SIGN((AW132)-(AX132)))+2*(((IFERROR(--LEFT(S132,FIND("-",S132)-1),""))-(IFERROR(--MID(S132,FIND("-",S132)+1,99),"")))=((AW132)-(AX132)))+2*((IFERROR(--LEFT(S132,FIND("-",S132)-1),""))=(AW132))+2*((IFERROR(--MID(S132,FIND("-",S132)+1,99),""))=(AX132))),""))</f>
        <v>10</v>
      </c>
      <c r="U132" s="10" t="s">
        <v>36</v>
      </c>
      <c r="V132" s="11">
        <f>IF(OR($C132="",U132=""),"",IFERROR(IF(AND(IFERROR(--LEFT(U132,FIND("-",U132)-1),"")=AW132,IFERROR(--MID(U132,FIND("-",U132)+1,99),"")=AX132),10,5*(SIGN((IFERROR(--LEFT(U132,FIND("-",U132)-1),""))-(IFERROR(--MID(U132,FIND("-",U132)+1,99),"")))=SIGN((AW132)-(AX132)))+2*(((IFERROR(--LEFT(U132,FIND("-",U132)-1),""))-(IFERROR(--MID(U132,FIND("-",U132)+1,99),"")))=((AW132)-(AX132)))+2*((IFERROR(--LEFT(U132,FIND("-",U132)-1),""))=(AW132))+2*((IFERROR(--MID(U132,FIND("-",U132)+1,99),""))=(AX132))),""))</f>
        <v>10</v>
      </c>
      <c r="W132" s="10" t="s">
        <v>36</v>
      </c>
      <c r="X132" s="11">
        <f>IF(OR($C132="",W132=""),"",IFERROR(IF(AND(IFERROR(--LEFT(W132,FIND("-",W132)-1),"")=AW132,IFERROR(--MID(W132,FIND("-",W132)+1,99),"")=AX132),10,5*(SIGN((IFERROR(--LEFT(W132,FIND("-",W132)-1),""))-(IFERROR(--MID(W132,FIND("-",W132)+1,99),"")))=SIGN((AW132)-(AX132)))+2*(((IFERROR(--LEFT(W132,FIND("-",W132)-1),""))-(IFERROR(--MID(W132,FIND("-",W132)+1,99),"")))=((AW132)-(AX132)))+2*((IFERROR(--LEFT(W132,FIND("-",W132)-1),""))=(AW132))+2*((IFERROR(--MID(W132,FIND("-",W132)+1,99),""))=(AX132))),""))</f>
        <v>10</v>
      </c>
      <c r="Y132" s="10" t="s">
        <v>43</v>
      </c>
      <c r="Z132" s="11">
        <f>IF(OR($C132="",Y132=""),"",IFERROR(IF(AND(IFERROR(--LEFT(Y132,FIND("-",Y132)-1),"")=AW132,IFERROR(--MID(Y132,FIND("-",Y132)+1,99),"")=AX132),10,5*(SIGN((IFERROR(--LEFT(Y132,FIND("-",Y132)-1),""))-(IFERROR(--MID(Y132,FIND("-",Y132)+1,99),"")))=SIGN((AW132)-(AX132)))+2*(((IFERROR(--LEFT(Y132,FIND("-",Y132)-1),""))-(IFERROR(--MID(Y132,FIND("-",Y132)+1,99),"")))=((AW132)-(AX132)))+2*((IFERROR(--LEFT(Y132,FIND("-",Y132)-1),""))=(AW132))+2*((IFERROR(--MID(Y132,FIND("-",Y132)+1,99),""))=(AX132))),""))</f>
        <v>5</v>
      </c>
      <c r="AA132" s="10" t="s">
        <v>33</v>
      </c>
      <c r="AB132" s="11">
        <f>IF(OR($C132="",AA132=""),"",IFERROR(IF(AND(IFERROR(--LEFT(AA132,FIND("-",AA132)-1),"")=AW132,IFERROR(--MID(AA132,FIND("-",AA132)+1,99),"")=AX132),10,5*(SIGN((IFERROR(--LEFT(AA132,FIND("-",AA132)-1),""))-(IFERROR(--MID(AA132,FIND("-",AA132)+1,99),"")))=SIGN((AW132)-(AX132)))+2*(((IFERROR(--LEFT(AA132,FIND("-",AA132)-1),""))-(IFERROR(--MID(AA132,FIND("-",AA132)+1,99),"")))=((AW132)-(AX132)))+2*((IFERROR(--LEFT(AA132,FIND("-",AA132)-1),""))=(AW132))+2*((IFERROR(--MID(AA132,FIND("-",AA132)+1,99),""))=(AX132))),""))</f>
        <v>7</v>
      </c>
      <c r="AC132" s="10" t="s">
        <v>36</v>
      </c>
      <c r="AD132" s="11">
        <f>IF(OR($C132="",AC132=""),"",IFERROR(IF(AND(IFERROR(--LEFT(AC132,FIND("-",AC132)-1),"")=AW132,IFERROR(--MID(AC132,FIND("-",AC132)+1,99),"")=AX132),10,5*(SIGN((IFERROR(--LEFT(AC132,FIND("-",AC132)-1),""))-(IFERROR(--MID(AC132,FIND("-",AC132)+1,99),"")))=SIGN((AW132)-(AX132)))+2*(((IFERROR(--LEFT(AC132,FIND("-",AC132)-1),""))-(IFERROR(--MID(AC132,FIND("-",AC132)+1,99),"")))=((AW132)-(AX132)))+2*((IFERROR(--LEFT(AC132,FIND("-",AC132)-1),""))=(AW132))+2*((IFERROR(--MID(AC132,FIND("-",AC132)+1,99),""))=(AX132))),""))</f>
        <v>10</v>
      </c>
      <c r="AE132" s="10" t="s">
        <v>33</v>
      </c>
      <c r="AF132" s="11">
        <f>IF(OR($C132="",AE132=""),"",IFERROR(IF(AND(IFERROR(--LEFT(AE132,FIND("-",AE132)-1),"")=AW132,IFERROR(--MID(AE132,FIND("-",AE132)+1,99),"")=AX132),10,5*(SIGN((IFERROR(--LEFT(AE132,FIND("-",AE132)-1),""))-(IFERROR(--MID(AE132,FIND("-",AE132)+1,99),"")))=SIGN((AW132)-(AX132)))+2*(((IFERROR(--LEFT(AE132,FIND("-",AE132)-1),""))-(IFERROR(--MID(AE132,FIND("-",AE132)+1,99),"")))=((AW132)-(AX132)))+2*((IFERROR(--LEFT(AE132,FIND("-",AE132)-1),""))=(AW132))+2*((IFERROR(--MID(AE132,FIND("-",AE132)+1,99),""))=(AX132))),""))</f>
        <v>7</v>
      </c>
      <c r="AG132" s="10" t="s">
        <v>33</v>
      </c>
      <c r="AH132" s="11">
        <f>IF(OR($C132="",AG132=""),"",IFERROR(IF(AND(IFERROR(--LEFT(AG132,FIND("-",AG132)-1),"")=AW132,IFERROR(--MID(AG132,FIND("-",AG132)+1,99),"")=AX132),10,5*(SIGN((IFERROR(--LEFT(AG132,FIND("-",AG132)-1),""))-(IFERROR(--MID(AG132,FIND("-",AG132)+1,99),"")))=SIGN((AW132)-(AX132)))+2*(((IFERROR(--LEFT(AG132,FIND("-",AG132)-1),""))-(IFERROR(--MID(AG132,FIND("-",AG132)+1,99),"")))=((AW132)-(AX132)))+2*((IFERROR(--LEFT(AG132,FIND("-",AG132)-1),""))=(AW132))+2*((IFERROR(--MID(AG132,FIND("-",AG132)+1,99),""))=(AX132))),""))</f>
        <v>7</v>
      </c>
      <c r="AI132" s="10" t="s">
        <v>36</v>
      </c>
      <c r="AJ132" s="11">
        <f>IF(OR($C132="",AI132=""),"",IFERROR(IF(AND(IFERROR(--LEFT(AI132,FIND("-",AI132)-1),"")=AW132,IFERROR(--MID(AI132,FIND("-",AI132)+1,99),"")=AX132),10,5*(SIGN((IFERROR(--LEFT(AI132,FIND("-",AI132)-1),""))-(IFERROR(--MID(AI132,FIND("-",AI132)+1,99),"")))=SIGN((AW132)-(AX132)))+2*(((IFERROR(--LEFT(AI132,FIND("-",AI132)-1),""))-(IFERROR(--MID(AI132,FIND("-",AI132)+1,99),"")))=((AW132)-(AX132)))+2*((IFERROR(--LEFT(AI132,FIND("-",AI132)-1),""))=(AW132))+2*((IFERROR(--MID(AI132,FIND("-",AI132)+1,99),""))=(AX132))),""))</f>
        <v>10</v>
      </c>
      <c r="AK132" s="10" t="s">
        <v>36</v>
      </c>
      <c r="AL132" s="11">
        <f>IF(OR($C132="",AK132=""),"",IFERROR(IF(AND(IFERROR(--LEFT(AK132,FIND("-",AK132)-1),"")=AW132,IFERROR(--MID(AK132,FIND("-",AK132)+1,99),"")=AX132),10,5*(SIGN((IFERROR(--LEFT(AK132,FIND("-",AK132)-1),""))-(IFERROR(--MID(AK132,FIND("-",AK132)+1,99),"")))=SIGN((AW132)-(AX132)))+2*(((IFERROR(--LEFT(AK132,FIND("-",AK132)-1),""))-(IFERROR(--MID(AK132,FIND("-",AK132)+1,99),"")))=((AW132)-(AX132)))+2*((IFERROR(--LEFT(AK132,FIND("-",AK132)-1),""))=(AW132))+2*((IFERROR(--MID(AK132,FIND("-",AK132)+1,99),""))=(AX132))),""))</f>
        <v>10</v>
      </c>
      <c r="AM132" s="10" t="s">
        <v>33</v>
      </c>
      <c r="AN132" s="11">
        <f>IF(OR($C132="",AM132=""),"",IFERROR(IF(AND(IFERROR(--LEFT(AM132,FIND("-",AM132)-1),"")=AW132,IFERROR(--MID(AM132,FIND("-",AM132)+1,99),"")=AX132),10,5*(SIGN((IFERROR(--LEFT(AM132,FIND("-",AM132)-1),""))-(IFERROR(--MID(AM132,FIND("-",AM132)+1,99),"")))=SIGN((AW132)-(AX132)))+2*(((IFERROR(--LEFT(AM132,FIND("-",AM132)-1),""))-(IFERROR(--MID(AM132,FIND("-",AM132)+1,99),"")))=((AW132)-(AX132)))+2*((IFERROR(--LEFT(AM132,FIND("-",AM132)-1),""))=(AW132))+2*((IFERROR(--MID(AM132,FIND("-",AM132)+1,99),""))=(AX132))),""))</f>
        <v>7</v>
      </c>
      <c r="AO132" s="10" t="s">
        <v>36</v>
      </c>
      <c r="AP132" s="11">
        <f>IF(OR($C132="",AO132=""),"",IFERROR(IF(AND(IFERROR(--LEFT(AO132,FIND("-",AO132)-1),"")=AW132,IFERROR(--MID(AO132,FIND("-",AO132)+1,99),"")=AX132),10,5*(SIGN((IFERROR(--LEFT(AO132,FIND("-",AO132)-1),""))-(IFERROR(--MID(AO132,FIND("-",AO132)+1,99),"")))=SIGN((AW132)-(AX132)))+2*(((IFERROR(--LEFT(AO132,FIND("-",AO132)-1),""))-(IFERROR(--MID(AO132,FIND("-",AO132)+1,99),"")))=((AW132)-(AX132)))+2*((IFERROR(--LEFT(AO132,FIND("-",AO132)-1),""))=(AW132))+2*((IFERROR(--MID(AO132,FIND("-",AO132)+1,99),""))=(AX132))),""))</f>
        <v>10</v>
      </c>
      <c r="AQ132" s="10" t="s">
        <v>57</v>
      </c>
      <c r="AR132" s="11">
        <f>IF(OR($C132="",AQ132=""),"",IFERROR(IF(AND(IFERROR(--LEFT(AQ132,FIND("-",AQ132)-1),"")=AW132,IFERROR(--MID(AQ132,FIND("-",AQ132)+1,99),"")=AX132),10,5*(SIGN((IFERROR(--LEFT(AQ132,FIND("-",AQ132)-1),""))-(IFERROR(--MID(AQ132,FIND("-",AQ132)+1,99),"")))=SIGN((AW132)-(AX132)))+2*(((IFERROR(--LEFT(AQ132,FIND("-",AQ132)-1),""))-(IFERROR(--MID(AQ132,FIND("-",AQ132)+1,99),"")))=((AW132)-(AX132)))+2*((IFERROR(--LEFT(AQ132,FIND("-",AQ132)-1),""))=(AW132))+2*((IFERROR(--MID(AQ132,FIND("-",AQ132)+1,99),""))=(AX132))),""))</f>
        <v>0</v>
      </c>
      <c r="AS132" s="10" t="s">
        <v>35</v>
      </c>
      <c r="AT132" s="11">
        <f>IF(OR($C132="",AS132=""),"",IFERROR(IF(AND(IFERROR(--LEFT(AS132,FIND("-",AS132)-1),"")=AW132,IFERROR(--MID(AS132,FIND("-",AS132)+1,99),"")=AX132),10,5*(SIGN((IFERROR(--LEFT(AS132,FIND("-",AS132)-1),""))-(IFERROR(--MID(AS132,FIND("-",AS132)+1,99),"")))=SIGN((AW132)-(AX132)))+2*(((IFERROR(--LEFT(AS132,FIND("-",AS132)-1),""))-(IFERROR(--MID(AS132,FIND("-",AS132)+1,99),"")))=((AW132)-(AX132)))+2*((IFERROR(--LEFT(AS132,FIND("-",AS132)-1),""))=(AW132))+2*((IFERROR(--MID(AS132,FIND("-",AS132)+1,99),""))=(AX132))),""))</f>
        <v>0</v>
      </c>
      <c r="AU132" s="10" t="s">
        <v>36</v>
      </c>
      <c r="AV132" s="11">
        <f>IF(OR($C132="",AU132=""),"",IFERROR(IF(AND(IFERROR(--LEFT(AU132,FIND("-",AU132)-1),"")=AW132,IFERROR(--MID(AU132,FIND("-",AU132)+1,99),"")=AX132),10,5*(SIGN((IFERROR(--LEFT(AU132,FIND("-",AU132)-1),""))-(IFERROR(--MID(AU132,FIND("-",AU132)+1,99),"")))=SIGN((AW132)-(AX132)))+2*(((IFERROR(--LEFT(AU132,FIND("-",AU132)-1),""))-(IFERROR(--MID(AU132,FIND("-",AU132)+1,99),"")))=((AW132)-(AX132)))+2*((IFERROR(--LEFT(AU132,FIND("-",AU132)-1),""))=(AW132))+2*((IFERROR(--MID(AU132,FIND("-",AU132)+1,99),""))=(AX132))),""))</f>
        <v>10</v>
      </c>
      <c r="AW132" s="11">
        <f>IF($C132="","",IFERROR(--LEFT($C132,FIND("-",$C132)-1),""))</f>
        <v>2</v>
      </c>
      <c r="AX132" s="11">
        <f>IF($C132="","",IFERROR(--MID($C132,FIND("-",$C132)+1,99),""))</f>
        <v>0</v>
      </c>
    </row>
    <row r="133" spans="1:50" ht="18" customHeight="1" x14ac:dyDescent="0.3">
      <c r="A133" s="9">
        <v>1.875</v>
      </c>
      <c r="B133" s="18" t="s">
        <v>80</v>
      </c>
      <c r="C133" s="10" t="s">
        <v>38</v>
      </c>
      <c r="D133" s="1" t="s">
        <v>97</v>
      </c>
      <c r="E133" s="10" t="s">
        <v>36</v>
      </c>
      <c r="F133" s="11">
        <f>IF(OR($C133="",E133=""),"",IFERROR(IF(AND(IFERROR(--LEFT(E133,FIND("-",E133)-1),"")=AW133,IFERROR(--MID(E133,FIND("-",E133)+1,99),"")=AX133),10,5*(SIGN((IFERROR(--LEFT(E133,FIND("-",E133)-1),""))-(IFERROR(--MID(E133,FIND("-",E133)+1,99),"")))=SIGN((AW133)-(AX133)))+2*(((IFERROR(--LEFT(E133,FIND("-",E133)-1),""))-(IFERROR(--MID(E133,FIND("-",E133)+1,99),"")))=((AW133)-(AX133)))+2*((IFERROR(--LEFT(E133,FIND("-",E133)-1),""))=(AW133))+2*((IFERROR(--MID(E133,FIND("-",E133)+1,99),""))=(AX133))),""))</f>
        <v>7</v>
      </c>
      <c r="G133" s="10" t="s">
        <v>36</v>
      </c>
      <c r="H133" s="11">
        <f>IF(OR($C133="",G133=""),"",IFERROR(IF(AND(IFERROR(--LEFT(G133,FIND("-",G133)-1),"")=AW133,IFERROR(--MID(G133,FIND("-",G133)+1,99),"")=AX133),10,5*(SIGN((IFERROR(--LEFT(G133,FIND("-",G133)-1),""))-(IFERROR(--MID(G133,FIND("-",G133)+1,99),"")))=SIGN((AW133)-(AX133)))+2*(((IFERROR(--LEFT(G133,FIND("-",G133)-1),""))-(IFERROR(--MID(G133,FIND("-",G133)+1,99),"")))=((AW133)-(AX133)))+2*((IFERROR(--LEFT(G133,FIND("-",G133)-1),""))=(AW133))+2*((IFERROR(--MID(G133,FIND("-",G133)+1,99),""))=(AX133))),""))</f>
        <v>7</v>
      </c>
      <c r="I133" s="10" t="s">
        <v>38</v>
      </c>
      <c r="J133" s="11">
        <f>IF(OR($C133="",I133=""),"",IFERROR(IF(AND(IFERROR(--LEFT(I133,FIND("-",I133)-1),"")=AW133,IFERROR(--MID(I133,FIND("-",I133)+1,99),"")=AX133),10,5*(SIGN((IFERROR(--LEFT(I133,FIND("-",I133)-1),""))-(IFERROR(--MID(I133,FIND("-",I133)+1,99),"")))=SIGN((AW133)-(AX133)))+2*(((IFERROR(--LEFT(I133,FIND("-",I133)-1),""))-(IFERROR(--MID(I133,FIND("-",I133)+1,99),"")))=((AW133)-(AX133)))+2*((IFERROR(--LEFT(I133,FIND("-",I133)-1),""))=(AW133))+2*((IFERROR(--MID(I133,FIND("-",I133)+1,99),""))=(AX133))),""))</f>
        <v>10</v>
      </c>
      <c r="K133" s="10" t="s">
        <v>34</v>
      </c>
      <c r="L133" s="11">
        <f>IF(OR($C133="",K133=""),"",IFERROR(IF(AND(IFERROR(--LEFT(K133,FIND("-",K133)-1),"")=AW133,IFERROR(--MID(K133,FIND("-",K133)+1,99),"")=AX133),10,5*(SIGN((IFERROR(--LEFT(K133,FIND("-",K133)-1),""))-(IFERROR(--MID(K133,FIND("-",K133)+1,99),"")))=SIGN((AW133)-(AX133)))+2*(((IFERROR(--LEFT(K133,FIND("-",K133)-1),""))-(IFERROR(--MID(K133,FIND("-",K133)+1,99),"")))=((AW133)-(AX133)))+2*((IFERROR(--LEFT(K133,FIND("-",K133)-1),""))=(AW133))+2*((IFERROR(--MID(K133,FIND("-",K133)+1,99),""))=(AX133))),""))</f>
        <v>7</v>
      </c>
      <c r="M133" s="10" t="s">
        <v>34</v>
      </c>
      <c r="N133" s="11">
        <f>IF(OR($C133="",M133=""),"",IFERROR(IF(AND(IFERROR(--LEFT(M133,FIND("-",M133)-1),"")=AW133,IFERROR(--MID(M133,FIND("-",M133)+1,99),"")=AX133),10,5*(SIGN((IFERROR(--LEFT(M133,FIND("-",M133)-1),""))-(IFERROR(--MID(M133,FIND("-",M133)+1,99),"")))=SIGN((AW133)-(AX133)))+2*(((IFERROR(--LEFT(M133,FIND("-",M133)-1),""))-(IFERROR(--MID(M133,FIND("-",M133)+1,99),"")))=((AW133)-(AX133)))+2*((IFERROR(--LEFT(M133,FIND("-",M133)-1),""))=(AW133))+2*((IFERROR(--MID(M133,FIND("-",M133)+1,99),""))=(AX133))),""))</f>
        <v>7</v>
      </c>
      <c r="O133" s="10" t="s">
        <v>34</v>
      </c>
      <c r="P133" s="11">
        <f>IF(OR($C133="",O133=""),"",IFERROR(IF(AND(IFERROR(--LEFT(O133,FIND("-",O133)-1),"")=AW133,IFERROR(--MID(O133,FIND("-",O133)+1,99),"")=AX133),10,5*(SIGN((IFERROR(--LEFT(O133,FIND("-",O133)-1),""))-(IFERROR(--MID(O133,FIND("-",O133)+1,99),"")))=SIGN((AW133)-(AX133)))+2*(((IFERROR(--LEFT(O133,FIND("-",O133)-1),""))-(IFERROR(--MID(O133,FIND("-",O133)+1,99),"")))=((AW133)-(AX133)))+2*((IFERROR(--LEFT(O133,FIND("-",O133)-1),""))=(AW133))+2*((IFERROR(--MID(O133,FIND("-",O133)+1,99),""))=(AX133))),""))</f>
        <v>7</v>
      </c>
      <c r="Q133" s="10" t="s">
        <v>62</v>
      </c>
      <c r="R133" s="11">
        <f>IF(OR($C133="",Q133=""),"",IFERROR(IF(AND(IFERROR(--LEFT(Q133,FIND("-",Q133)-1),"")=AW133,IFERROR(--MID(Q133,FIND("-",Q133)+1,99),"")=AX133),10,5*(SIGN((IFERROR(--LEFT(Q133,FIND("-",Q133)-1),""))-(IFERROR(--MID(Q133,FIND("-",Q133)+1,99),"")))=SIGN((AW133)-(AX133)))+2*(((IFERROR(--LEFT(Q133,FIND("-",Q133)-1),""))-(IFERROR(--MID(Q133,FIND("-",Q133)+1,99),"")))=((AW133)-(AX133)))+2*((IFERROR(--LEFT(Q133,FIND("-",Q133)-1),""))=(AW133))+2*((IFERROR(--MID(Q133,FIND("-",Q133)+1,99),""))=(AX133))),""))</f>
        <v>5</v>
      </c>
      <c r="S133" s="10" t="s">
        <v>36</v>
      </c>
      <c r="T133" s="11">
        <f>IF(OR($C133="",S133=""),"",IFERROR(IF(AND(IFERROR(--LEFT(S133,FIND("-",S133)-1),"")=AW133,IFERROR(--MID(S133,FIND("-",S133)+1,99),"")=AX133),10,5*(SIGN((IFERROR(--LEFT(S133,FIND("-",S133)-1),""))-(IFERROR(--MID(S133,FIND("-",S133)+1,99),"")))=SIGN((AW133)-(AX133)))+2*(((IFERROR(--LEFT(S133,FIND("-",S133)-1),""))-(IFERROR(--MID(S133,FIND("-",S133)+1,99),"")))=((AW133)-(AX133)))+2*((IFERROR(--LEFT(S133,FIND("-",S133)-1),""))=(AW133))+2*((IFERROR(--MID(S133,FIND("-",S133)+1,99),""))=(AX133))),""))</f>
        <v>7</v>
      </c>
      <c r="U133" s="10" t="s">
        <v>33</v>
      </c>
      <c r="V133" s="11">
        <f>IF(OR($C133="",U133=""),"",IFERROR(IF(AND(IFERROR(--LEFT(U133,FIND("-",U133)-1),"")=AW133,IFERROR(--MID(U133,FIND("-",U133)+1,99),"")=AX133),10,5*(SIGN((IFERROR(--LEFT(U133,FIND("-",U133)-1),""))-(IFERROR(--MID(U133,FIND("-",U133)+1,99),"")))=SIGN((AW133)-(AX133)))+2*(((IFERROR(--LEFT(U133,FIND("-",U133)-1),""))-(IFERROR(--MID(U133,FIND("-",U133)+1,99),"")))=((AW133)-(AX133)))+2*((IFERROR(--LEFT(U133,FIND("-",U133)-1),""))=(AW133))+2*((IFERROR(--MID(U133,FIND("-",U133)+1,99),""))=(AX133))),""))</f>
        <v>5</v>
      </c>
      <c r="W133" s="10" t="s">
        <v>36</v>
      </c>
      <c r="X133" s="11">
        <f>IF(OR($C133="",W133=""),"",IFERROR(IF(AND(IFERROR(--LEFT(W133,FIND("-",W133)-1),"")=AW133,IFERROR(--MID(W133,FIND("-",W133)+1,99),"")=AX133),10,5*(SIGN((IFERROR(--LEFT(W133,FIND("-",W133)-1),""))-(IFERROR(--MID(W133,FIND("-",W133)+1,99),"")))=SIGN((AW133)-(AX133)))+2*(((IFERROR(--LEFT(W133,FIND("-",W133)-1),""))-(IFERROR(--MID(W133,FIND("-",W133)+1,99),"")))=((AW133)-(AX133)))+2*((IFERROR(--LEFT(W133,FIND("-",W133)-1),""))=(AW133))+2*((IFERROR(--MID(W133,FIND("-",W133)+1,99),""))=(AX133))),""))</f>
        <v>7</v>
      </c>
      <c r="Y133" s="10" t="s">
        <v>37</v>
      </c>
      <c r="Z133" s="11">
        <f>IF(OR($C133="",Y133=""),"",IFERROR(IF(AND(IFERROR(--LEFT(Y133,FIND("-",Y133)-1),"")=AW133,IFERROR(--MID(Y133,FIND("-",Y133)+1,99),"")=AX133),10,5*(SIGN((IFERROR(--LEFT(Y133,FIND("-",Y133)-1),""))-(IFERROR(--MID(Y133,FIND("-",Y133)+1,99),"")))=SIGN((AW133)-(AX133)))+2*(((IFERROR(--LEFT(Y133,FIND("-",Y133)-1),""))-(IFERROR(--MID(Y133,FIND("-",Y133)+1,99),"")))=((AW133)-(AX133)))+2*((IFERROR(--LEFT(Y133,FIND("-",Y133)-1),""))=(AW133))+2*((IFERROR(--MID(Y133,FIND("-",Y133)+1,99),""))=(AX133))),""))</f>
        <v>0</v>
      </c>
      <c r="AA133" s="10" t="s">
        <v>36</v>
      </c>
      <c r="AB133" s="11">
        <f>IF(OR($C133="",AA133=""),"",IFERROR(IF(AND(IFERROR(--LEFT(AA133,FIND("-",AA133)-1),"")=AW133,IFERROR(--MID(AA133,FIND("-",AA133)+1,99),"")=AX133),10,5*(SIGN((IFERROR(--LEFT(AA133,FIND("-",AA133)-1),""))-(IFERROR(--MID(AA133,FIND("-",AA133)+1,99),"")))=SIGN((AW133)-(AX133)))+2*(((IFERROR(--LEFT(AA133,FIND("-",AA133)-1),""))-(IFERROR(--MID(AA133,FIND("-",AA133)+1,99),"")))=((AW133)-(AX133)))+2*((IFERROR(--LEFT(AA133,FIND("-",AA133)-1),""))=(AW133))+2*((IFERROR(--MID(AA133,FIND("-",AA133)+1,99),""))=(AX133))),""))</f>
        <v>7</v>
      </c>
      <c r="AC133" s="10" t="s">
        <v>38</v>
      </c>
      <c r="AD133" s="11">
        <f>IF(OR($C133="",AC133=""),"",IFERROR(IF(AND(IFERROR(--LEFT(AC133,FIND("-",AC133)-1),"")=AW133,IFERROR(--MID(AC133,FIND("-",AC133)+1,99),"")=AX133),10,5*(SIGN((IFERROR(--LEFT(AC133,FIND("-",AC133)-1),""))-(IFERROR(--MID(AC133,FIND("-",AC133)+1,99),"")))=SIGN((AW133)-(AX133)))+2*(((IFERROR(--LEFT(AC133,FIND("-",AC133)-1),""))-(IFERROR(--MID(AC133,FIND("-",AC133)+1,99),"")))=((AW133)-(AX133)))+2*((IFERROR(--LEFT(AC133,FIND("-",AC133)-1),""))=(AW133))+2*((IFERROR(--MID(AC133,FIND("-",AC133)+1,99),""))=(AX133))),""))</f>
        <v>10</v>
      </c>
      <c r="AE133" s="10" t="s">
        <v>63</v>
      </c>
      <c r="AF133" s="11">
        <f>IF(OR($C133="",AE133=""),"",IFERROR(IF(AND(IFERROR(--LEFT(AE133,FIND("-",AE133)-1),"")=AW133,IFERROR(--MID(AE133,FIND("-",AE133)+1,99),"")=AX133),10,5*(SIGN((IFERROR(--LEFT(AE133,FIND("-",AE133)-1),""))-(IFERROR(--MID(AE133,FIND("-",AE133)+1,99),"")))=SIGN((AW133)-(AX133)))+2*(((IFERROR(--LEFT(AE133,FIND("-",AE133)-1),""))-(IFERROR(--MID(AE133,FIND("-",AE133)+1,99),"")))=((AW133)-(AX133)))+2*((IFERROR(--LEFT(AE133,FIND("-",AE133)-1),""))=(AW133))+2*((IFERROR(--MID(AE133,FIND("-",AE133)+1,99),""))=(AX133))),""))</f>
        <v>7</v>
      </c>
      <c r="AG133" s="10" t="s">
        <v>36</v>
      </c>
      <c r="AH133" s="11">
        <f>IF(OR($C133="",AG133=""),"",IFERROR(IF(AND(IFERROR(--LEFT(AG133,FIND("-",AG133)-1),"")=AW133,IFERROR(--MID(AG133,FIND("-",AG133)+1,99),"")=AX133),10,5*(SIGN((IFERROR(--LEFT(AG133,FIND("-",AG133)-1),""))-(IFERROR(--MID(AG133,FIND("-",AG133)+1,99),"")))=SIGN((AW133)-(AX133)))+2*(((IFERROR(--LEFT(AG133,FIND("-",AG133)-1),""))-(IFERROR(--MID(AG133,FIND("-",AG133)+1,99),"")))=((AW133)-(AX133)))+2*((IFERROR(--LEFT(AG133,FIND("-",AG133)-1),""))=(AW133))+2*((IFERROR(--MID(AG133,FIND("-",AG133)+1,99),""))=(AX133))),""))</f>
        <v>7</v>
      </c>
      <c r="AI133" s="10" t="s">
        <v>33</v>
      </c>
      <c r="AJ133" s="11">
        <f>IF(OR($C133="",AI133=""),"",IFERROR(IF(AND(IFERROR(--LEFT(AI133,FIND("-",AI133)-1),"")=AW133,IFERROR(--MID(AI133,FIND("-",AI133)+1,99),"")=AX133),10,5*(SIGN((IFERROR(--LEFT(AI133,FIND("-",AI133)-1),""))-(IFERROR(--MID(AI133,FIND("-",AI133)+1,99),"")))=SIGN((AW133)-(AX133)))+2*(((IFERROR(--LEFT(AI133,FIND("-",AI133)-1),""))-(IFERROR(--MID(AI133,FIND("-",AI133)+1,99),"")))=((AW133)-(AX133)))+2*((IFERROR(--LEFT(AI133,FIND("-",AI133)-1),""))=(AW133))+2*((IFERROR(--MID(AI133,FIND("-",AI133)+1,99),""))=(AX133))),""))</f>
        <v>5</v>
      </c>
      <c r="AK133" s="10" t="s">
        <v>36</v>
      </c>
      <c r="AL133" s="11">
        <f>IF(OR($C133="",AK133=""),"",IFERROR(IF(AND(IFERROR(--LEFT(AK133,FIND("-",AK133)-1),"")=AW133,IFERROR(--MID(AK133,FIND("-",AK133)+1,99),"")=AX133),10,5*(SIGN((IFERROR(--LEFT(AK133,FIND("-",AK133)-1),""))-(IFERROR(--MID(AK133,FIND("-",AK133)+1,99),"")))=SIGN((AW133)-(AX133)))+2*(((IFERROR(--LEFT(AK133,FIND("-",AK133)-1),""))-(IFERROR(--MID(AK133,FIND("-",AK133)+1,99),"")))=((AW133)-(AX133)))+2*((IFERROR(--LEFT(AK133,FIND("-",AK133)-1),""))=(AW133))+2*((IFERROR(--MID(AK133,FIND("-",AK133)+1,99),""))=(AX133))),""))</f>
        <v>7</v>
      </c>
      <c r="AM133" s="10" t="s">
        <v>34</v>
      </c>
      <c r="AN133" s="11">
        <f>IF(OR($C133="",AM133=""),"",IFERROR(IF(AND(IFERROR(--LEFT(AM133,FIND("-",AM133)-1),"")=AW133,IFERROR(--MID(AM133,FIND("-",AM133)+1,99),"")=AX133),10,5*(SIGN((IFERROR(--LEFT(AM133,FIND("-",AM133)-1),""))-(IFERROR(--MID(AM133,FIND("-",AM133)+1,99),"")))=SIGN((AW133)-(AX133)))+2*(((IFERROR(--LEFT(AM133,FIND("-",AM133)-1),""))-(IFERROR(--MID(AM133,FIND("-",AM133)+1,99),"")))=((AW133)-(AX133)))+2*((IFERROR(--LEFT(AM133,FIND("-",AM133)-1),""))=(AW133))+2*((IFERROR(--MID(AM133,FIND("-",AM133)+1,99),""))=(AX133))),""))</f>
        <v>7</v>
      </c>
      <c r="AO133" s="10" t="s">
        <v>36</v>
      </c>
      <c r="AP133" s="11">
        <f>IF(OR($C133="",AO133=""),"",IFERROR(IF(AND(IFERROR(--LEFT(AO133,FIND("-",AO133)-1),"")=AW133,IFERROR(--MID(AO133,FIND("-",AO133)+1,99),"")=AX133),10,5*(SIGN((IFERROR(--LEFT(AO133,FIND("-",AO133)-1),""))-(IFERROR(--MID(AO133,FIND("-",AO133)+1,99),"")))=SIGN((AW133)-(AX133)))+2*(((IFERROR(--LEFT(AO133,FIND("-",AO133)-1),""))-(IFERROR(--MID(AO133,FIND("-",AO133)+1,99),"")))=((AW133)-(AX133)))+2*((IFERROR(--LEFT(AO133,FIND("-",AO133)-1),""))=(AW133))+2*((IFERROR(--MID(AO133,FIND("-",AO133)+1,99),""))=(AX133))),""))</f>
        <v>7</v>
      </c>
      <c r="AQ133" s="10" t="s">
        <v>34</v>
      </c>
      <c r="AR133" s="11">
        <f>IF(OR($C133="",AQ133=""),"",IFERROR(IF(AND(IFERROR(--LEFT(AQ133,FIND("-",AQ133)-1),"")=AW133,IFERROR(--MID(AQ133,FIND("-",AQ133)+1,99),"")=AX133),10,5*(SIGN((IFERROR(--LEFT(AQ133,FIND("-",AQ133)-1),""))-(IFERROR(--MID(AQ133,FIND("-",AQ133)+1,99),"")))=SIGN((AW133)-(AX133)))+2*(((IFERROR(--LEFT(AQ133,FIND("-",AQ133)-1),""))-(IFERROR(--MID(AQ133,FIND("-",AQ133)+1,99),"")))=((AW133)-(AX133)))+2*((IFERROR(--LEFT(AQ133,FIND("-",AQ133)-1),""))=(AW133))+2*((IFERROR(--MID(AQ133,FIND("-",AQ133)+1,99),""))=(AX133))),""))</f>
        <v>7</v>
      </c>
      <c r="AS133" s="10" t="s">
        <v>36</v>
      </c>
      <c r="AT133" s="11">
        <f>IF(OR($C133="",AS133=""),"",IFERROR(IF(AND(IFERROR(--LEFT(AS133,FIND("-",AS133)-1),"")=AW133,IFERROR(--MID(AS133,FIND("-",AS133)+1,99),"")=AX133),10,5*(SIGN((IFERROR(--LEFT(AS133,FIND("-",AS133)-1),""))-(IFERROR(--MID(AS133,FIND("-",AS133)+1,99),"")))=SIGN((AW133)-(AX133)))+2*(((IFERROR(--LEFT(AS133,FIND("-",AS133)-1),""))-(IFERROR(--MID(AS133,FIND("-",AS133)+1,99),"")))=((AW133)-(AX133)))+2*((IFERROR(--LEFT(AS133,FIND("-",AS133)-1),""))=(AW133))+2*((IFERROR(--MID(AS133,FIND("-",AS133)+1,99),""))=(AX133))),""))</f>
        <v>7</v>
      </c>
      <c r="AU133" s="10" t="s">
        <v>38</v>
      </c>
      <c r="AV133" s="11">
        <f>IF(OR($C133="",AU133=""),"",IFERROR(IF(AND(IFERROR(--LEFT(AU133,FIND("-",AU133)-1),"")=AW133,IFERROR(--MID(AU133,FIND("-",AU133)+1,99),"")=AX133),10,5*(SIGN((IFERROR(--LEFT(AU133,FIND("-",AU133)-1),""))-(IFERROR(--MID(AU133,FIND("-",AU133)+1,99),"")))=SIGN((AW133)-(AX133)))+2*(((IFERROR(--LEFT(AU133,FIND("-",AU133)-1),""))-(IFERROR(--MID(AU133,FIND("-",AU133)+1,99),"")))=((AW133)-(AX133)))+2*((IFERROR(--LEFT(AU133,FIND("-",AU133)-1),""))=(AW133))+2*((IFERROR(--MID(AU133,FIND("-",AU133)+1,99),""))=(AX133))),""))</f>
        <v>10</v>
      </c>
      <c r="AW133" s="11">
        <f>IF($C133="","",IFERROR(--LEFT($C133,FIND("-",$C133)-1),""))</f>
        <v>3</v>
      </c>
      <c r="AX133" s="11">
        <f>IF($C133="","",IFERROR(--MID($C133,FIND("-",$C133)+1,99),""))</f>
        <v>0</v>
      </c>
    </row>
    <row r="134" spans="1:50" ht="18" customHeight="1" x14ac:dyDescent="0.3">
      <c r="A134" s="12"/>
      <c r="B134" s="18"/>
      <c r="C134" s="13"/>
      <c r="D134" s="1"/>
      <c r="E134" s="22"/>
      <c r="F134" s="12"/>
      <c r="G134" s="22"/>
      <c r="H134" s="12"/>
      <c r="I134" s="22"/>
      <c r="J134" s="12"/>
      <c r="K134" s="22"/>
      <c r="L134" s="12"/>
      <c r="M134" s="22"/>
      <c r="N134" s="12"/>
      <c r="O134" s="22"/>
      <c r="P134" s="12"/>
      <c r="Q134" s="22"/>
      <c r="R134" s="12"/>
      <c r="S134" s="22"/>
      <c r="T134" s="12"/>
      <c r="U134" s="13"/>
      <c r="V134" s="12"/>
      <c r="W134" s="22"/>
      <c r="X134" s="12"/>
      <c r="Y134" s="22"/>
      <c r="Z134" s="12"/>
      <c r="AA134" s="22"/>
      <c r="AB134" s="12"/>
      <c r="AC134" s="22"/>
      <c r="AD134" s="12"/>
      <c r="AE134" s="22"/>
      <c r="AF134" s="12"/>
      <c r="AG134" s="22"/>
      <c r="AH134" s="12"/>
      <c r="AI134" s="22"/>
      <c r="AJ134" s="12"/>
      <c r="AK134" s="22"/>
      <c r="AL134" s="12"/>
      <c r="AM134" s="22"/>
      <c r="AN134" s="12"/>
      <c r="AO134" s="22"/>
      <c r="AP134" s="12"/>
      <c r="AQ134" s="22"/>
      <c r="AR134" s="12" t="str">
        <f>IF(OR($C134="",AQ134=""),"",IFERROR(IF(AND(IFERROR(--LEFT(AQ134,FIND("-",AQ134)-1),"")=AW134,IFERROR(--MID(AQ134,FIND("-",AQ134)+1,99),"")=AX134),10,5*(SIGN((IFERROR(--LEFT(AQ134,FIND("-",AQ134)-1),""))-(IFERROR(--MID(AQ134,FIND("-",AQ134)+1,99),"")))=SIGN((AW134)-(AX134)))+2*(((IFERROR(--LEFT(AQ134,FIND("-",AQ134)-1),""))-(IFERROR(--MID(AQ134,FIND("-",AQ134)+1,99),"")))=((AW134)-(AX134)))+2*((IFERROR(--LEFT(AQ134,FIND("-",AQ134)-1),""))=(AW134))+2*((IFERROR(--MID(AQ134,FIND("-",AQ134)+1,99),""))=(AX134))),""))</f>
        <v/>
      </c>
      <c r="AS134" s="22"/>
      <c r="AT134" s="12" t="str">
        <f>IF(OR($C134="",AS134=""),"",IFERROR(IF(AND(IFERROR(--LEFT(AS134,FIND("-",AS134)-1),"")=AW134,IFERROR(--MID(AS134,FIND("-",AS134)+1,99),"")=AX134),10,5*(SIGN((IFERROR(--LEFT(AS134,FIND("-",AS134)-1),""))-(IFERROR(--MID(AS134,FIND("-",AS134)+1,99),"")))=SIGN((AW134)-(AX134)))+2*(((IFERROR(--LEFT(AS134,FIND("-",AS134)-1),""))-(IFERROR(--MID(AS134,FIND("-",AS134)+1,99),"")))=((AW134)-(AX134)))+2*((IFERROR(--LEFT(AS134,FIND("-",AS134)-1),""))=(AW134))+2*((IFERROR(--MID(AS134,FIND("-",AS134)+1,99),""))=(AX134))),""))</f>
        <v/>
      </c>
      <c r="AU134" s="22"/>
      <c r="AV134" s="12"/>
      <c r="AW134" s="12"/>
      <c r="AX134" s="12"/>
    </row>
    <row r="135" spans="1:50" ht="20.100000000000001" customHeight="1" x14ac:dyDescent="0.3">
      <c r="A135" s="36" t="s">
        <v>133</v>
      </c>
      <c r="B135" s="37"/>
      <c r="C135" s="38"/>
      <c r="D135" s="37"/>
      <c r="E135" s="38"/>
      <c r="F135" s="37"/>
      <c r="G135" s="38"/>
      <c r="H135" s="37"/>
      <c r="I135" s="38"/>
      <c r="J135" s="37"/>
      <c r="K135" s="38"/>
      <c r="L135" s="37"/>
      <c r="M135" s="38"/>
      <c r="N135" s="37"/>
      <c r="O135" s="38"/>
      <c r="P135" s="37"/>
      <c r="Q135" s="38"/>
      <c r="R135" s="37"/>
      <c r="S135" s="38"/>
      <c r="T135" s="37"/>
      <c r="U135" s="38"/>
      <c r="V135" s="37"/>
      <c r="W135" s="38"/>
      <c r="X135" s="37"/>
      <c r="Y135" s="38"/>
      <c r="Z135" s="37"/>
      <c r="AA135" s="38"/>
      <c r="AB135" s="37"/>
      <c r="AC135" s="38"/>
      <c r="AD135" s="37"/>
      <c r="AE135" s="38"/>
      <c r="AF135" s="37"/>
      <c r="AG135" s="38"/>
      <c r="AH135" s="37"/>
      <c r="AI135" s="38"/>
      <c r="AJ135" s="37"/>
      <c r="AK135" s="38"/>
      <c r="AL135" s="37"/>
      <c r="AM135" s="38"/>
      <c r="AN135" s="37"/>
      <c r="AO135" s="38"/>
      <c r="AP135" s="37"/>
      <c r="AQ135" s="37"/>
      <c r="AR135" s="37"/>
      <c r="AS135" s="37"/>
      <c r="AT135" s="37"/>
      <c r="AU135" s="38"/>
      <c r="AV135" s="39"/>
      <c r="AW135" s="8"/>
      <c r="AX135" s="8"/>
    </row>
    <row r="136" spans="1:50" ht="18" customHeight="1" x14ac:dyDescent="0.3">
      <c r="A136" s="9">
        <v>1.041666666666667</v>
      </c>
      <c r="B136" s="18" t="s">
        <v>99</v>
      </c>
      <c r="C136" s="10" t="s">
        <v>33</v>
      </c>
      <c r="D136" s="1" t="s">
        <v>102</v>
      </c>
      <c r="E136" s="10" t="s">
        <v>33</v>
      </c>
      <c r="F136" s="11">
        <f>IF(OR($C136="",E136=""),"",IFERROR(IF(AND(IFERROR(--LEFT(E136,FIND("-",E136)-1),"")=AW136,IFERROR(--MID(E136,FIND("-",E136)+1,99),"")=AX136),10,5*(SIGN((IFERROR(--LEFT(E136,FIND("-",E136)-1),""))-(IFERROR(--MID(E136,FIND("-",E136)+1,99),"")))=SIGN((AW136)-(AX136)))+2*(((IFERROR(--LEFT(E136,FIND("-",E136)-1),""))-(IFERROR(--MID(E136,FIND("-",E136)+1,99),"")))=((AW136)-(AX136)))+2*((IFERROR(--LEFT(E136,FIND("-",E136)-1),""))=(AW136))+2*((IFERROR(--MID(E136,FIND("-",E136)+1,99),""))=(AX136))),""))</f>
        <v>10</v>
      </c>
      <c r="G136" s="10" t="s">
        <v>33</v>
      </c>
      <c r="H136" s="11">
        <f>IF(OR($C136="",G136=""),"",IFERROR(IF(AND(IFERROR(--LEFT(G136,FIND("-",G136)-1),"")=AW136,IFERROR(--MID(G136,FIND("-",G136)+1,99),"")=AX136),10,5*(SIGN((IFERROR(--LEFT(G136,FIND("-",G136)-1),""))-(IFERROR(--MID(G136,FIND("-",G136)+1,99),"")))=SIGN((AW136)-(AX136)))+2*(((IFERROR(--LEFT(G136,FIND("-",G136)-1),""))-(IFERROR(--MID(G136,FIND("-",G136)+1,99),"")))=((AW136)-(AX136)))+2*((IFERROR(--LEFT(G136,FIND("-",G136)-1),""))=(AW136))+2*((IFERROR(--MID(G136,FIND("-",G136)+1,99),""))=(AX136))),""))</f>
        <v>10</v>
      </c>
      <c r="I136" s="10" t="s">
        <v>36</v>
      </c>
      <c r="J136" s="11">
        <f>IF(OR($C136="",I136=""),"",IFERROR(IF(AND(IFERROR(--LEFT(I136,FIND("-",I136)-1),"")=AW136,IFERROR(--MID(I136,FIND("-",I136)+1,99),"")=AX136),10,5*(SIGN((IFERROR(--LEFT(I136,FIND("-",I136)-1),""))-(IFERROR(--MID(I136,FIND("-",I136)+1,99),"")))=SIGN((AW136)-(AX136)))+2*(((IFERROR(--LEFT(I136,FIND("-",I136)-1),""))-(IFERROR(--MID(I136,FIND("-",I136)+1,99),"")))=((AW136)-(AX136)))+2*((IFERROR(--LEFT(I136,FIND("-",I136)-1),""))=(AW136))+2*((IFERROR(--MID(I136,FIND("-",I136)+1,99),""))=(AX136))),""))</f>
        <v>7</v>
      </c>
      <c r="K136" s="10" t="s">
        <v>48</v>
      </c>
      <c r="L136" s="11">
        <f>IF(OR($C136="",K136=""),"",IFERROR(IF(AND(IFERROR(--LEFT(K136,FIND("-",K136)-1),"")=AW136,IFERROR(--MID(K136,FIND("-",K136)+1,99),"")=AX136),10,5*(SIGN((IFERROR(--LEFT(K136,FIND("-",K136)-1),""))-(IFERROR(--MID(K136,FIND("-",K136)+1,99),"")))=SIGN((AW136)-(AX136)))+2*(((IFERROR(--LEFT(K136,FIND("-",K136)-1),""))-(IFERROR(--MID(K136,FIND("-",K136)+1,99),"")))=((AW136)-(AX136)))+2*((IFERROR(--LEFT(K136,FIND("-",K136)-1),""))=(AW136))+2*((IFERROR(--MID(K136,FIND("-",K136)+1,99),""))=(AX136))),""))</f>
        <v>0</v>
      </c>
      <c r="M136" s="10" t="s">
        <v>33</v>
      </c>
      <c r="N136" s="11">
        <f>IF(OR($C136="",M136=""),"",IFERROR(IF(AND(IFERROR(--LEFT(M136,FIND("-",M136)-1),"")=AW136,IFERROR(--MID(M136,FIND("-",M136)+1,99),"")=AX136),10,5*(SIGN((IFERROR(--LEFT(M136,FIND("-",M136)-1),""))-(IFERROR(--MID(M136,FIND("-",M136)+1,99),"")))=SIGN((AW136)-(AX136)))+2*(((IFERROR(--LEFT(M136,FIND("-",M136)-1),""))-(IFERROR(--MID(M136,FIND("-",M136)+1,99),"")))=((AW136)-(AX136)))+2*((IFERROR(--LEFT(M136,FIND("-",M136)-1),""))=(AW136))+2*((IFERROR(--MID(M136,FIND("-",M136)+1,99),""))=(AX136))),""))</f>
        <v>10</v>
      </c>
      <c r="O136" s="10" t="s">
        <v>35</v>
      </c>
      <c r="P136" s="11">
        <f>IF(OR($C136="",O136=""),"",IFERROR(IF(AND(IFERROR(--LEFT(O136,FIND("-",O136)-1),"")=AW136,IFERROR(--MID(O136,FIND("-",O136)+1,99),"")=AX136),10,5*(SIGN((IFERROR(--LEFT(O136,FIND("-",O136)-1),""))-(IFERROR(--MID(O136,FIND("-",O136)+1,99),"")))=SIGN((AW136)-(AX136)))+2*(((IFERROR(--LEFT(O136,FIND("-",O136)-1),""))-(IFERROR(--MID(O136,FIND("-",O136)+1,99),"")))=((AW136)-(AX136)))+2*((IFERROR(--LEFT(O136,FIND("-",O136)-1),""))=(AW136))+2*((IFERROR(--MID(O136,FIND("-",O136)+1,99),""))=(AX136))),""))</f>
        <v>2</v>
      </c>
      <c r="Q136" s="10" t="s">
        <v>33</v>
      </c>
      <c r="R136" s="11">
        <f>IF(OR($C136="",Q136=""),"",IFERROR(IF(AND(IFERROR(--LEFT(Q136,FIND("-",Q136)-1),"")=AW136,IFERROR(--MID(Q136,FIND("-",Q136)+1,99),"")=AX136),10,5*(SIGN((IFERROR(--LEFT(Q136,FIND("-",Q136)-1),""))-(IFERROR(--MID(Q136,FIND("-",Q136)+1,99),"")))=SIGN((AW136)-(AX136)))+2*(((IFERROR(--LEFT(Q136,FIND("-",Q136)-1),""))-(IFERROR(--MID(Q136,FIND("-",Q136)+1,99),"")))=((AW136)-(AX136)))+2*((IFERROR(--LEFT(Q136,FIND("-",Q136)-1),""))=(AW136))+2*((IFERROR(--MID(Q136,FIND("-",Q136)+1,99),""))=(AX136))),""))</f>
        <v>10</v>
      </c>
      <c r="S136" s="10" t="s">
        <v>33</v>
      </c>
      <c r="T136" s="11">
        <f>IF(OR($C136="",S136=""),"",IFERROR(IF(AND(IFERROR(--LEFT(S136,FIND("-",S136)-1),"")=AW136,IFERROR(--MID(S136,FIND("-",S136)+1,99),"")=AX136),10,5*(SIGN((IFERROR(--LEFT(S136,FIND("-",S136)-1),""))-(IFERROR(--MID(S136,FIND("-",S136)+1,99),"")))=SIGN((AW136)-(AX136)))+2*(((IFERROR(--LEFT(S136,FIND("-",S136)-1),""))-(IFERROR(--MID(S136,FIND("-",S136)+1,99),"")))=((AW136)-(AX136)))+2*((IFERROR(--LEFT(S136,FIND("-",S136)-1),""))=(AW136))+2*((IFERROR(--MID(S136,FIND("-",S136)+1,99),""))=(AX136))),""))</f>
        <v>10</v>
      </c>
      <c r="U136" s="10" t="s">
        <v>35</v>
      </c>
      <c r="V136" s="11">
        <f>IF(OR($C136="",U136=""),"",IFERROR(IF(AND(IFERROR(--LEFT(U136,FIND("-",U136)-1),"")=AW136,IFERROR(--MID(U136,FIND("-",U136)+1,99),"")=AX136),10,5*(SIGN((IFERROR(--LEFT(U136,FIND("-",U136)-1),""))-(IFERROR(--MID(U136,FIND("-",U136)+1,99),"")))=SIGN((AW136)-(AX136)))+2*(((IFERROR(--LEFT(U136,FIND("-",U136)-1),""))-(IFERROR(--MID(U136,FIND("-",U136)+1,99),"")))=((AW136)-(AX136)))+2*((IFERROR(--LEFT(U136,FIND("-",U136)-1),""))=(AW136))+2*((IFERROR(--MID(U136,FIND("-",U136)+1,99),""))=(AX136))),""))</f>
        <v>2</v>
      </c>
      <c r="W136" s="10" t="s">
        <v>33</v>
      </c>
      <c r="X136" s="11">
        <f>IF(OR($C136="",W136=""),"",IFERROR(IF(AND(IFERROR(--LEFT(W136,FIND("-",W136)-1),"")=AW136,IFERROR(--MID(W136,FIND("-",W136)+1,99),"")=AX136),10,5*(SIGN((IFERROR(--LEFT(W136,FIND("-",W136)-1),""))-(IFERROR(--MID(W136,FIND("-",W136)+1,99),"")))=SIGN((AW136)-(AX136)))+2*(((IFERROR(--LEFT(W136,FIND("-",W136)-1),""))-(IFERROR(--MID(W136,FIND("-",W136)+1,99),"")))=((AW136)-(AX136)))+2*((IFERROR(--LEFT(W136,FIND("-",W136)-1),""))=(AW136))+2*((IFERROR(--MID(W136,FIND("-",W136)+1,99),""))=(AX136))),""))</f>
        <v>10</v>
      </c>
      <c r="Y136" s="10" t="s">
        <v>36</v>
      </c>
      <c r="Z136" s="11">
        <f>IF(OR($C136="",Y136=""),"",IFERROR(IF(AND(IFERROR(--LEFT(Y136,FIND("-",Y136)-1),"")=AW136,IFERROR(--MID(Y136,FIND("-",Y136)+1,99),"")=AX136),10,5*(SIGN((IFERROR(--LEFT(Y136,FIND("-",Y136)-1),""))-(IFERROR(--MID(Y136,FIND("-",Y136)+1,99),"")))=SIGN((AW136)-(AX136)))+2*(((IFERROR(--LEFT(Y136,FIND("-",Y136)-1),""))-(IFERROR(--MID(Y136,FIND("-",Y136)+1,99),"")))=((AW136)-(AX136)))+2*((IFERROR(--LEFT(Y136,FIND("-",Y136)-1),""))=(AW136))+2*((IFERROR(--MID(Y136,FIND("-",Y136)+1,99),""))=(AX136))),""))</f>
        <v>7</v>
      </c>
      <c r="AA136" s="10" t="s">
        <v>33</v>
      </c>
      <c r="AB136" s="11">
        <f>IF(OR($C136="",AA136=""),"",IFERROR(IF(AND(IFERROR(--LEFT(AA136,FIND("-",AA136)-1),"")=AW136,IFERROR(--MID(AA136,FIND("-",AA136)+1,99),"")=AX136),10,5*(SIGN((IFERROR(--LEFT(AA136,FIND("-",AA136)-1),""))-(IFERROR(--MID(AA136,FIND("-",AA136)+1,99),"")))=SIGN((AW136)-(AX136)))+2*(((IFERROR(--LEFT(AA136,FIND("-",AA136)-1),""))-(IFERROR(--MID(AA136,FIND("-",AA136)+1,99),"")))=((AW136)-(AX136)))+2*((IFERROR(--LEFT(AA136,FIND("-",AA136)-1),""))=(AW136))+2*((IFERROR(--MID(AA136,FIND("-",AA136)+1,99),""))=(AX136))),""))</f>
        <v>10</v>
      </c>
      <c r="AC136" s="10" t="s">
        <v>35</v>
      </c>
      <c r="AD136" s="11">
        <f>IF(OR($C136="",AC136=""),"",IFERROR(IF(AND(IFERROR(--LEFT(AC136,FIND("-",AC136)-1),"")=AW136,IFERROR(--MID(AC136,FIND("-",AC136)+1,99),"")=AX136),10,5*(SIGN((IFERROR(--LEFT(AC136,FIND("-",AC136)-1),""))-(IFERROR(--MID(AC136,FIND("-",AC136)+1,99),"")))=SIGN((AW136)-(AX136)))+2*(((IFERROR(--LEFT(AC136,FIND("-",AC136)-1),""))-(IFERROR(--MID(AC136,FIND("-",AC136)+1,99),"")))=((AW136)-(AX136)))+2*((IFERROR(--LEFT(AC136,FIND("-",AC136)-1),""))=(AW136))+2*((IFERROR(--MID(AC136,FIND("-",AC136)+1,99),""))=(AX136))),""))</f>
        <v>2</v>
      </c>
      <c r="AE136" s="10" t="s">
        <v>35</v>
      </c>
      <c r="AF136" s="11">
        <f>IF(OR($C136="",AE136=""),"",IFERROR(IF(AND(IFERROR(--LEFT(AE136,FIND("-",AE136)-1),"")=AW136,IFERROR(--MID(AE136,FIND("-",AE136)+1,99),"")=AX136),10,5*(SIGN((IFERROR(--LEFT(AE136,FIND("-",AE136)-1),""))-(IFERROR(--MID(AE136,FIND("-",AE136)+1,99),"")))=SIGN((AW136)-(AX136)))+2*(((IFERROR(--LEFT(AE136,FIND("-",AE136)-1),""))-(IFERROR(--MID(AE136,FIND("-",AE136)+1,99),"")))=((AW136)-(AX136)))+2*((IFERROR(--LEFT(AE136,FIND("-",AE136)-1),""))=(AW136))+2*((IFERROR(--MID(AE136,FIND("-",AE136)+1,99),""))=(AX136))),""))</f>
        <v>2</v>
      </c>
      <c r="AG136" s="10" t="s">
        <v>33</v>
      </c>
      <c r="AH136" s="11">
        <f>IF(OR($C136="",AG136=""),"",IFERROR(IF(AND(IFERROR(--LEFT(AG136,FIND("-",AG136)-1),"")=AW136,IFERROR(--MID(AG136,FIND("-",AG136)+1,99),"")=AX136),10,5*(SIGN((IFERROR(--LEFT(AG136,FIND("-",AG136)-1),""))-(IFERROR(--MID(AG136,FIND("-",AG136)+1,99),"")))=SIGN((AW136)-(AX136)))+2*(((IFERROR(--LEFT(AG136,FIND("-",AG136)-1),""))-(IFERROR(--MID(AG136,FIND("-",AG136)+1,99),"")))=((AW136)-(AX136)))+2*((IFERROR(--LEFT(AG136,FIND("-",AG136)-1),""))=(AW136))+2*((IFERROR(--MID(AG136,FIND("-",AG136)+1,99),""))=(AX136))),""))</f>
        <v>10</v>
      </c>
      <c r="AI136" s="10" t="s">
        <v>35</v>
      </c>
      <c r="AJ136" s="11">
        <f>IF(OR($C136="",AI136=""),"",IFERROR(IF(AND(IFERROR(--LEFT(AI136,FIND("-",AI136)-1),"")=AW136,IFERROR(--MID(AI136,FIND("-",AI136)+1,99),"")=AX136),10,5*(SIGN((IFERROR(--LEFT(AI136,FIND("-",AI136)-1),""))-(IFERROR(--MID(AI136,FIND("-",AI136)+1,99),"")))=SIGN((AW136)-(AX136)))+2*(((IFERROR(--LEFT(AI136,FIND("-",AI136)-1),""))-(IFERROR(--MID(AI136,FIND("-",AI136)+1,99),"")))=((AW136)-(AX136)))+2*((IFERROR(--LEFT(AI136,FIND("-",AI136)-1),""))=(AW136))+2*((IFERROR(--MID(AI136,FIND("-",AI136)+1,99),""))=(AX136))),""))</f>
        <v>2</v>
      </c>
      <c r="AK136" s="10" t="s">
        <v>33</v>
      </c>
      <c r="AL136" s="11">
        <f>IF(OR($C136="",AK136=""),"",IFERROR(IF(AND(IFERROR(--LEFT(AK136,FIND("-",AK136)-1),"")=AW136,IFERROR(--MID(AK136,FIND("-",AK136)+1,99),"")=AX136),10,5*(SIGN((IFERROR(--LEFT(AK136,FIND("-",AK136)-1),""))-(IFERROR(--MID(AK136,FIND("-",AK136)+1,99),"")))=SIGN((AW136)-(AX136)))+2*(((IFERROR(--LEFT(AK136,FIND("-",AK136)-1),""))-(IFERROR(--MID(AK136,FIND("-",AK136)+1,99),"")))=((AW136)-(AX136)))+2*((IFERROR(--LEFT(AK136,FIND("-",AK136)-1),""))=(AW136))+2*((IFERROR(--MID(AK136,FIND("-",AK136)+1,99),""))=(AX136))),""))</f>
        <v>10</v>
      </c>
      <c r="AM136" s="10" t="s">
        <v>35</v>
      </c>
      <c r="AN136" s="11">
        <f>IF(OR($C136="",AM136=""),"",IFERROR(IF(AND(IFERROR(--LEFT(AM136,FIND("-",AM136)-1),"")=AW136,IFERROR(--MID(AM136,FIND("-",AM136)+1,99),"")=AX136),10,5*(SIGN((IFERROR(--LEFT(AM136,FIND("-",AM136)-1),""))-(IFERROR(--MID(AM136,FIND("-",AM136)+1,99),"")))=SIGN((AW136)-(AX136)))+2*(((IFERROR(--LEFT(AM136,FIND("-",AM136)-1),""))-(IFERROR(--MID(AM136,FIND("-",AM136)+1,99),"")))=((AW136)-(AX136)))+2*((IFERROR(--LEFT(AM136,FIND("-",AM136)-1),""))=(AW136))+2*((IFERROR(--MID(AM136,FIND("-",AM136)+1,99),""))=(AX136))),""))</f>
        <v>2</v>
      </c>
      <c r="AO136" s="10" t="s">
        <v>35</v>
      </c>
      <c r="AP136" s="11">
        <f>IF(OR($C136="",AO136=""),"",IFERROR(IF(AND(IFERROR(--LEFT(AO136,FIND("-",AO136)-1),"")=AW136,IFERROR(--MID(AO136,FIND("-",AO136)+1,99),"")=AX136),10,5*(SIGN((IFERROR(--LEFT(AO136,FIND("-",AO136)-1),""))-(IFERROR(--MID(AO136,FIND("-",AO136)+1,99),"")))=SIGN((AW136)-(AX136)))+2*(((IFERROR(--LEFT(AO136,FIND("-",AO136)-1),""))-(IFERROR(--MID(AO136,FIND("-",AO136)+1,99),"")))=((AW136)-(AX136)))+2*((IFERROR(--LEFT(AO136,FIND("-",AO136)-1),""))=(AW136))+2*((IFERROR(--MID(AO136,FIND("-",AO136)+1,99),""))=(AX136))),""))</f>
        <v>2</v>
      </c>
      <c r="AQ136" s="10" t="s">
        <v>33</v>
      </c>
      <c r="AR136" s="11">
        <f>IF(OR($C136="",AQ136=""),"",IFERROR(IF(AND(IFERROR(--LEFT(AQ136,FIND("-",AQ136)-1),"")=AW136,IFERROR(--MID(AQ136,FIND("-",AQ136)+1,99),"")=AX136),10,5*(SIGN((IFERROR(--LEFT(AQ136,FIND("-",AQ136)-1),""))-(IFERROR(--MID(AQ136,FIND("-",AQ136)+1,99),"")))=SIGN((AW136)-(AX136)))+2*(((IFERROR(--LEFT(AQ136,FIND("-",AQ136)-1),""))-(IFERROR(--MID(AQ136,FIND("-",AQ136)+1,99),"")))=((AW136)-(AX136)))+2*((IFERROR(--LEFT(AQ136,FIND("-",AQ136)-1),""))=(AW136))+2*((IFERROR(--MID(AQ136,FIND("-",AQ136)+1,99),""))=(AX136))),""))</f>
        <v>10</v>
      </c>
      <c r="AS136" s="10" t="s">
        <v>39</v>
      </c>
      <c r="AT136" s="11">
        <f>IF(OR($C136="",AS136=""),"",IFERROR(IF(AND(IFERROR(--LEFT(AS136,FIND("-",AS136)-1),"")=AW136,IFERROR(--MID(AS136,FIND("-",AS136)+1,99),"")=AX136),10,5*(SIGN((IFERROR(--LEFT(AS136,FIND("-",AS136)-1),""))-(IFERROR(--MID(AS136,FIND("-",AS136)+1,99),"")))=SIGN((AW136)-(AX136)))+2*(((IFERROR(--LEFT(AS136,FIND("-",AS136)-1),""))-(IFERROR(--MID(AS136,FIND("-",AS136)+1,99),"")))=((AW136)-(AX136)))+2*((IFERROR(--LEFT(AS136,FIND("-",AS136)-1),""))=(AW136))+2*((IFERROR(--MID(AS136,FIND("-",AS136)+1,99),""))=(AX136))),""))</f>
        <v>7</v>
      </c>
      <c r="AU136" s="10" t="s">
        <v>37</v>
      </c>
      <c r="AV136" s="11">
        <f>IF(OR($C136="",AU136=""),"",IFERROR(IF(AND(IFERROR(--LEFT(AU136,FIND("-",AU136)-1),"")=AW136,IFERROR(--MID(AU136,FIND("-",AU136)+1,99),"")=AX136),10,5*(SIGN((IFERROR(--LEFT(AU136,FIND("-",AU136)-1),""))-(IFERROR(--MID(AU136,FIND("-",AU136)+1,99),"")))=SIGN((AW136)-(AX136)))+2*(((IFERROR(--LEFT(AU136,FIND("-",AU136)-1),""))-(IFERROR(--MID(AU136,FIND("-",AU136)+1,99),"")))=((AW136)-(AX136)))+2*((IFERROR(--LEFT(AU136,FIND("-",AU136)-1),""))=(AW136))+2*((IFERROR(--MID(AU136,FIND("-",AU136)+1,99),""))=(AX136))),""))</f>
        <v>0</v>
      </c>
      <c r="AW136" s="11">
        <f>IF($C136="","",IFERROR(--LEFT($C136,FIND("-",$C136)-1),""))</f>
        <v>2</v>
      </c>
      <c r="AX136" s="11">
        <f>IF($C136="","",IFERROR(--MID($C136,FIND("-",$C136)+1,99),""))</f>
        <v>1</v>
      </c>
    </row>
    <row r="137" spans="1:50" ht="18" customHeight="1" x14ac:dyDescent="0.3">
      <c r="A137" s="9">
        <v>1.208333333333333</v>
      </c>
      <c r="B137" s="18" t="s">
        <v>55</v>
      </c>
      <c r="C137" s="10" t="s">
        <v>36</v>
      </c>
      <c r="D137" s="1" t="s">
        <v>96</v>
      </c>
      <c r="E137" s="10" t="s">
        <v>33</v>
      </c>
      <c r="F137" s="11">
        <f>IF(OR($C137="",E137=""),"",IFERROR(IF(AND(IFERROR(--LEFT(E137,FIND("-",E137)-1),"")=AW137,IFERROR(--MID(E137,FIND("-",E137)+1,99),"")=AX137),10,5*(SIGN((IFERROR(--LEFT(E137,FIND("-",E137)-1),""))-(IFERROR(--MID(E137,FIND("-",E137)+1,99),"")))=SIGN((AW137)-(AX137)))+2*(((IFERROR(--LEFT(E137,FIND("-",E137)-1),""))-(IFERROR(--MID(E137,FIND("-",E137)+1,99),"")))=((AW137)-(AX137)))+2*((IFERROR(--LEFT(E137,FIND("-",E137)-1),""))=(AW137))+2*((IFERROR(--MID(E137,FIND("-",E137)+1,99),""))=(AX137))),""))</f>
        <v>7</v>
      </c>
      <c r="G137" s="10" t="s">
        <v>36</v>
      </c>
      <c r="H137" s="11">
        <f>IF(OR($C137="",G137=""),"",IFERROR(IF(AND(IFERROR(--LEFT(G137,FIND("-",G137)-1),"")=AW137,IFERROR(--MID(G137,FIND("-",G137)+1,99),"")=AX137),10,5*(SIGN((IFERROR(--LEFT(G137,FIND("-",G137)-1),""))-(IFERROR(--MID(G137,FIND("-",G137)+1,99),"")))=SIGN((AW137)-(AX137)))+2*(((IFERROR(--LEFT(G137,FIND("-",G137)-1),""))-(IFERROR(--MID(G137,FIND("-",G137)+1,99),"")))=((AW137)-(AX137)))+2*((IFERROR(--LEFT(G137,FIND("-",G137)-1),""))=(AW137))+2*((IFERROR(--MID(G137,FIND("-",G137)+1,99),""))=(AX137))),""))</f>
        <v>10</v>
      </c>
      <c r="I137" s="10" t="s">
        <v>39</v>
      </c>
      <c r="J137" s="11">
        <f>IF(OR($C137="",I137=""),"",IFERROR(IF(AND(IFERROR(--LEFT(I137,FIND("-",I137)-1),"")=AW137,IFERROR(--MID(I137,FIND("-",I137)+1,99),"")=AX137),10,5*(SIGN((IFERROR(--LEFT(I137,FIND("-",I137)-1),""))-(IFERROR(--MID(I137,FIND("-",I137)+1,99),"")))=SIGN((AW137)-(AX137)))+2*(((IFERROR(--LEFT(I137,FIND("-",I137)-1),""))-(IFERROR(--MID(I137,FIND("-",I137)+1,99),"")))=((AW137)-(AX137)))+2*((IFERROR(--LEFT(I137,FIND("-",I137)-1),""))=(AW137))+2*((IFERROR(--MID(I137,FIND("-",I137)+1,99),""))=(AX137))),""))</f>
        <v>7</v>
      </c>
      <c r="K137" s="10" t="s">
        <v>45</v>
      </c>
      <c r="L137" s="11">
        <f>IF(OR($C137="",K137=""),"",IFERROR(IF(AND(IFERROR(--LEFT(K137,FIND("-",K137)-1),"")=AW137,IFERROR(--MID(K137,FIND("-",K137)+1,99),"")=AX137),10,5*(SIGN((IFERROR(--LEFT(K137,FIND("-",K137)-1),""))-(IFERROR(--MID(K137,FIND("-",K137)+1,99),"")))=SIGN((AW137)-(AX137)))+2*(((IFERROR(--LEFT(K137,FIND("-",K137)-1),""))-(IFERROR(--MID(K137,FIND("-",K137)+1,99),"")))=((AW137)-(AX137)))+2*((IFERROR(--LEFT(K137,FIND("-",K137)-1),""))=(AW137))+2*((IFERROR(--MID(K137,FIND("-",K137)+1,99),""))=(AX137))),""))</f>
        <v>0</v>
      </c>
      <c r="M137" s="10" t="s">
        <v>33</v>
      </c>
      <c r="N137" s="11">
        <f>IF(OR($C137="",M137=""),"",IFERROR(IF(AND(IFERROR(--LEFT(M137,FIND("-",M137)-1),"")=AW137,IFERROR(--MID(M137,FIND("-",M137)+1,99),"")=AX137),10,5*(SIGN((IFERROR(--LEFT(M137,FIND("-",M137)-1),""))-(IFERROR(--MID(M137,FIND("-",M137)+1,99),"")))=SIGN((AW137)-(AX137)))+2*(((IFERROR(--LEFT(M137,FIND("-",M137)-1),""))-(IFERROR(--MID(M137,FIND("-",M137)+1,99),"")))=((AW137)-(AX137)))+2*((IFERROR(--LEFT(M137,FIND("-",M137)-1),""))=(AW137))+2*((IFERROR(--MID(M137,FIND("-",M137)+1,99),""))=(AX137))),""))</f>
        <v>7</v>
      </c>
      <c r="O137" s="10" t="s">
        <v>49</v>
      </c>
      <c r="P137" s="11">
        <f>IF(OR($C137="",O137=""),"",IFERROR(IF(AND(IFERROR(--LEFT(O137,FIND("-",O137)-1),"")=AW137,IFERROR(--MID(O137,FIND("-",O137)+1,99),"")=AX137),10,5*(SIGN((IFERROR(--LEFT(O137,FIND("-",O137)-1),""))-(IFERROR(--MID(O137,FIND("-",O137)+1,99),"")))=SIGN((AW137)-(AX137)))+2*(((IFERROR(--LEFT(O137,FIND("-",O137)-1),""))-(IFERROR(--MID(O137,FIND("-",O137)+1,99),"")))=((AW137)-(AX137)))+2*((IFERROR(--LEFT(O137,FIND("-",O137)-1),""))=(AW137))+2*((IFERROR(--MID(O137,FIND("-",O137)+1,99),""))=(AX137))),""))</f>
        <v>2</v>
      </c>
      <c r="Q137" s="10" t="s">
        <v>49</v>
      </c>
      <c r="R137" s="11">
        <f>IF(OR($C137="",Q137=""),"",IFERROR(IF(AND(IFERROR(--LEFT(Q137,FIND("-",Q137)-1),"")=AW137,IFERROR(--MID(Q137,FIND("-",Q137)+1,99),"")=AX137),10,5*(SIGN((IFERROR(--LEFT(Q137,FIND("-",Q137)-1),""))-(IFERROR(--MID(Q137,FIND("-",Q137)+1,99),"")))=SIGN((AW137)-(AX137)))+2*(((IFERROR(--LEFT(Q137,FIND("-",Q137)-1),""))-(IFERROR(--MID(Q137,FIND("-",Q137)+1,99),"")))=((AW137)-(AX137)))+2*((IFERROR(--LEFT(Q137,FIND("-",Q137)-1),""))=(AW137))+2*((IFERROR(--MID(Q137,FIND("-",Q137)+1,99),""))=(AX137))),""))</f>
        <v>2</v>
      </c>
      <c r="S137" s="10" t="s">
        <v>45</v>
      </c>
      <c r="T137" s="11">
        <f>IF(OR($C137="",S137=""),"",IFERROR(IF(AND(IFERROR(--LEFT(S137,FIND("-",S137)-1),"")=AW137,IFERROR(--MID(S137,FIND("-",S137)+1,99),"")=AX137),10,5*(SIGN((IFERROR(--LEFT(S137,FIND("-",S137)-1),""))-(IFERROR(--MID(S137,FIND("-",S137)+1,99),"")))=SIGN((AW137)-(AX137)))+2*(((IFERROR(--LEFT(S137,FIND("-",S137)-1),""))-(IFERROR(--MID(S137,FIND("-",S137)+1,99),"")))=((AW137)-(AX137)))+2*((IFERROR(--LEFT(S137,FIND("-",S137)-1),""))=(AW137))+2*((IFERROR(--MID(S137,FIND("-",S137)+1,99),""))=(AX137))),""))</f>
        <v>0</v>
      </c>
      <c r="U137" s="10" t="s">
        <v>35</v>
      </c>
      <c r="V137" s="11">
        <f>IF(OR($C137="",U137=""),"",IFERROR(IF(AND(IFERROR(--LEFT(U137,FIND("-",U137)-1),"")=AW137,IFERROR(--MID(U137,FIND("-",U137)+1,99),"")=AX137),10,5*(SIGN((IFERROR(--LEFT(U137,FIND("-",U137)-1),""))-(IFERROR(--MID(U137,FIND("-",U137)+1,99),"")))=SIGN((AW137)-(AX137)))+2*(((IFERROR(--LEFT(U137,FIND("-",U137)-1),""))-(IFERROR(--MID(U137,FIND("-",U137)+1,99),"")))=((AW137)-(AX137)))+2*((IFERROR(--LEFT(U137,FIND("-",U137)-1),""))=(AW137))+2*((IFERROR(--MID(U137,FIND("-",U137)+1,99),""))=(AX137))),""))</f>
        <v>0</v>
      </c>
      <c r="W137" s="10" t="s">
        <v>33</v>
      </c>
      <c r="X137" s="11">
        <f>IF(OR($C137="",W137=""),"",IFERROR(IF(AND(IFERROR(--LEFT(W137,FIND("-",W137)-1),"")=AW137,IFERROR(--MID(W137,FIND("-",W137)+1,99),"")=AX137),10,5*(SIGN((IFERROR(--LEFT(W137,FIND("-",W137)-1),""))-(IFERROR(--MID(W137,FIND("-",W137)+1,99),"")))=SIGN((AW137)-(AX137)))+2*(((IFERROR(--LEFT(W137,FIND("-",W137)-1),""))-(IFERROR(--MID(W137,FIND("-",W137)+1,99),"")))=((AW137)-(AX137)))+2*((IFERROR(--LEFT(W137,FIND("-",W137)-1),""))=(AW137))+2*((IFERROR(--MID(W137,FIND("-",W137)+1,99),""))=(AX137))),""))</f>
        <v>7</v>
      </c>
      <c r="Y137" s="10" t="s">
        <v>33</v>
      </c>
      <c r="Z137" s="11">
        <f>IF(OR($C137="",Y137=""),"",IFERROR(IF(AND(IFERROR(--LEFT(Y137,FIND("-",Y137)-1),"")=AW137,IFERROR(--MID(Y137,FIND("-",Y137)+1,99),"")=AX137),10,5*(SIGN((IFERROR(--LEFT(Y137,FIND("-",Y137)-1),""))-(IFERROR(--MID(Y137,FIND("-",Y137)+1,99),"")))=SIGN((AW137)-(AX137)))+2*(((IFERROR(--LEFT(Y137,FIND("-",Y137)-1),""))-(IFERROR(--MID(Y137,FIND("-",Y137)+1,99),"")))=((AW137)-(AX137)))+2*((IFERROR(--LEFT(Y137,FIND("-",Y137)-1),""))=(AW137))+2*((IFERROR(--MID(Y137,FIND("-",Y137)+1,99),""))=(AX137))),""))</f>
        <v>7</v>
      </c>
      <c r="AA137" s="10" t="s">
        <v>37</v>
      </c>
      <c r="AB137" s="11">
        <f>IF(OR($C137="",AA137=""),"",IFERROR(IF(AND(IFERROR(--LEFT(AA137,FIND("-",AA137)-1),"")=AW137,IFERROR(--MID(AA137,FIND("-",AA137)+1,99),"")=AX137),10,5*(SIGN((IFERROR(--LEFT(AA137,FIND("-",AA137)-1),""))-(IFERROR(--MID(AA137,FIND("-",AA137)+1,99),"")))=SIGN((AW137)-(AX137)))+2*(((IFERROR(--LEFT(AA137,FIND("-",AA137)-1),""))-(IFERROR(--MID(AA137,FIND("-",AA137)+1,99),"")))=((AW137)-(AX137)))+2*((IFERROR(--LEFT(AA137,FIND("-",AA137)-1),""))=(AW137))+2*((IFERROR(--MID(AA137,FIND("-",AA137)+1,99),""))=(AX137))),""))</f>
        <v>0</v>
      </c>
      <c r="AC137" s="10" t="s">
        <v>36</v>
      </c>
      <c r="AD137" s="11">
        <f>IF(OR($C137="",AC137=""),"",IFERROR(IF(AND(IFERROR(--LEFT(AC137,FIND("-",AC137)-1),"")=AW137,IFERROR(--MID(AC137,FIND("-",AC137)+1,99),"")=AX137),10,5*(SIGN((IFERROR(--LEFT(AC137,FIND("-",AC137)-1),""))-(IFERROR(--MID(AC137,FIND("-",AC137)+1,99),"")))=SIGN((AW137)-(AX137)))+2*(((IFERROR(--LEFT(AC137,FIND("-",AC137)-1),""))-(IFERROR(--MID(AC137,FIND("-",AC137)+1,99),"")))=((AW137)-(AX137)))+2*((IFERROR(--LEFT(AC137,FIND("-",AC137)-1),""))=(AW137))+2*((IFERROR(--MID(AC137,FIND("-",AC137)+1,99),""))=(AX137))),""))</f>
        <v>10</v>
      </c>
      <c r="AE137" s="10" t="s">
        <v>33</v>
      </c>
      <c r="AF137" s="11">
        <f>IF(OR($C137="",AE137=""),"",IFERROR(IF(AND(IFERROR(--LEFT(AE137,FIND("-",AE137)-1),"")=AW137,IFERROR(--MID(AE137,FIND("-",AE137)+1,99),"")=AX137),10,5*(SIGN((IFERROR(--LEFT(AE137,FIND("-",AE137)-1),""))-(IFERROR(--MID(AE137,FIND("-",AE137)+1,99),"")))=SIGN((AW137)-(AX137)))+2*(((IFERROR(--LEFT(AE137,FIND("-",AE137)-1),""))-(IFERROR(--MID(AE137,FIND("-",AE137)+1,99),"")))=((AW137)-(AX137)))+2*((IFERROR(--LEFT(AE137,FIND("-",AE137)-1),""))=(AW137))+2*((IFERROR(--MID(AE137,FIND("-",AE137)+1,99),""))=(AX137))),""))</f>
        <v>7</v>
      </c>
      <c r="AG137" s="10" t="s">
        <v>39</v>
      </c>
      <c r="AH137" s="11">
        <f>IF(OR($C137="",AG137=""),"",IFERROR(IF(AND(IFERROR(--LEFT(AG137,FIND("-",AG137)-1),"")=AW137,IFERROR(--MID(AG137,FIND("-",AG137)+1,99),"")=AX137),10,5*(SIGN((IFERROR(--LEFT(AG137,FIND("-",AG137)-1),""))-(IFERROR(--MID(AG137,FIND("-",AG137)+1,99),"")))=SIGN((AW137)-(AX137)))+2*(((IFERROR(--LEFT(AG137,FIND("-",AG137)-1),""))-(IFERROR(--MID(AG137,FIND("-",AG137)+1,99),"")))=((AW137)-(AX137)))+2*((IFERROR(--LEFT(AG137,FIND("-",AG137)-1),""))=(AW137))+2*((IFERROR(--MID(AG137,FIND("-",AG137)+1,99),""))=(AX137))),""))</f>
        <v>7</v>
      </c>
      <c r="AI137" s="10" t="s">
        <v>39</v>
      </c>
      <c r="AJ137" s="11">
        <f>IF(OR($C137="",AI137=""),"",IFERROR(IF(AND(IFERROR(--LEFT(AI137,FIND("-",AI137)-1),"")=AW137,IFERROR(--MID(AI137,FIND("-",AI137)+1,99),"")=AX137),10,5*(SIGN((IFERROR(--LEFT(AI137,FIND("-",AI137)-1),""))-(IFERROR(--MID(AI137,FIND("-",AI137)+1,99),"")))=SIGN((AW137)-(AX137)))+2*(((IFERROR(--LEFT(AI137,FIND("-",AI137)-1),""))-(IFERROR(--MID(AI137,FIND("-",AI137)+1,99),"")))=((AW137)-(AX137)))+2*((IFERROR(--LEFT(AI137,FIND("-",AI137)-1),""))=(AW137))+2*((IFERROR(--MID(AI137,FIND("-",AI137)+1,99),""))=(AX137))),""))</f>
        <v>7</v>
      </c>
      <c r="AK137" s="10" t="s">
        <v>36</v>
      </c>
      <c r="AL137" s="11">
        <f>IF(OR($C137="",AK137=""),"",IFERROR(IF(AND(IFERROR(--LEFT(AK137,FIND("-",AK137)-1),"")=AW137,IFERROR(--MID(AK137,FIND("-",AK137)+1,99),"")=AX137),10,5*(SIGN((IFERROR(--LEFT(AK137,FIND("-",AK137)-1),""))-(IFERROR(--MID(AK137,FIND("-",AK137)+1,99),"")))=SIGN((AW137)-(AX137)))+2*(((IFERROR(--LEFT(AK137,FIND("-",AK137)-1),""))-(IFERROR(--MID(AK137,FIND("-",AK137)+1,99),"")))=((AW137)-(AX137)))+2*((IFERROR(--LEFT(AK137,FIND("-",AK137)-1),""))=(AW137))+2*((IFERROR(--MID(AK137,FIND("-",AK137)+1,99),""))=(AX137))),""))</f>
        <v>10</v>
      </c>
      <c r="AM137" s="10" t="s">
        <v>33</v>
      </c>
      <c r="AN137" s="11">
        <f>IF(OR($C137="",AM137=""),"",IFERROR(IF(AND(IFERROR(--LEFT(AM137,FIND("-",AM137)-1),"")=AW137,IFERROR(--MID(AM137,FIND("-",AM137)+1,99),"")=AX137),10,5*(SIGN((IFERROR(--LEFT(AM137,FIND("-",AM137)-1),""))-(IFERROR(--MID(AM137,FIND("-",AM137)+1,99),"")))=SIGN((AW137)-(AX137)))+2*(((IFERROR(--LEFT(AM137,FIND("-",AM137)-1),""))-(IFERROR(--MID(AM137,FIND("-",AM137)+1,99),"")))=((AW137)-(AX137)))+2*((IFERROR(--LEFT(AM137,FIND("-",AM137)-1),""))=(AW137))+2*((IFERROR(--MID(AM137,FIND("-",AM137)+1,99),""))=(AX137))),""))</f>
        <v>7</v>
      </c>
      <c r="AO137" s="10" t="s">
        <v>36</v>
      </c>
      <c r="AP137" s="11">
        <f>IF(OR($C137="",AO137=""),"",IFERROR(IF(AND(IFERROR(--LEFT(AO137,FIND("-",AO137)-1),"")=AW137,IFERROR(--MID(AO137,FIND("-",AO137)+1,99),"")=AX137),10,5*(SIGN((IFERROR(--LEFT(AO137,FIND("-",AO137)-1),""))-(IFERROR(--MID(AO137,FIND("-",AO137)+1,99),"")))=SIGN((AW137)-(AX137)))+2*(((IFERROR(--LEFT(AO137,FIND("-",AO137)-1),""))-(IFERROR(--MID(AO137,FIND("-",AO137)+1,99),"")))=((AW137)-(AX137)))+2*((IFERROR(--LEFT(AO137,FIND("-",AO137)-1),""))=(AW137))+2*((IFERROR(--MID(AO137,FIND("-",AO137)+1,99),""))=(AX137))),""))</f>
        <v>10</v>
      </c>
      <c r="AQ137" s="10" t="s">
        <v>33</v>
      </c>
      <c r="AR137" s="11">
        <f>IF(OR($C137="",AQ137=""),"",IFERROR(IF(AND(IFERROR(--LEFT(AQ137,FIND("-",AQ137)-1),"")=AW137,IFERROR(--MID(AQ137,FIND("-",AQ137)+1,99),"")=AX137),10,5*(SIGN((IFERROR(--LEFT(AQ137,FIND("-",AQ137)-1),""))-(IFERROR(--MID(AQ137,FIND("-",AQ137)+1,99),"")))=SIGN((AW137)-(AX137)))+2*(((IFERROR(--LEFT(AQ137,FIND("-",AQ137)-1),""))-(IFERROR(--MID(AQ137,FIND("-",AQ137)+1,99),"")))=((AW137)-(AX137)))+2*((IFERROR(--LEFT(AQ137,FIND("-",AQ137)-1),""))=(AW137))+2*((IFERROR(--MID(AQ137,FIND("-",AQ137)+1,99),""))=(AX137))),""))</f>
        <v>7</v>
      </c>
      <c r="AS137" s="10" t="s">
        <v>39</v>
      </c>
      <c r="AT137" s="11">
        <f>IF(OR($C137="",AS137=""),"",IFERROR(IF(AND(IFERROR(--LEFT(AS137,FIND("-",AS137)-1),"")=AW137,IFERROR(--MID(AS137,FIND("-",AS137)+1,99),"")=AX137),10,5*(SIGN((IFERROR(--LEFT(AS137,FIND("-",AS137)-1),""))-(IFERROR(--MID(AS137,FIND("-",AS137)+1,99),"")))=SIGN((AW137)-(AX137)))+2*(((IFERROR(--LEFT(AS137,FIND("-",AS137)-1),""))-(IFERROR(--MID(AS137,FIND("-",AS137)+1,99),"")))=((AW137)-(AX137)))+2*((IFERROR(--LEFT(AS137,FIND("-",AS137)-1),""))=(AW137))+2*((IFERROR(--MID(AS137,FIND("-",AS137)+1,99),""))=(AX137))),""))</f>
        <v>7</v>
      </c>
      <c r="AU137" s="10" t="s">
        <v>39</v>
      </c>
      <c r="AV137" s="11">
        <f>IF(OR($C137="",AU137=""),"",IFERROR(IF(AND(IFERROR(--LEFT(AU137,FIND("-",AU137)-1),"")=AW137,IFERROR(--MID(AU137,FIND("-",AU137)+1,99),"")=AX137),10,5*(SIGN((IFERROR(--LEFT(AU137,FIND("-",AU137)-1),""))-(IFERROR(--MID(AU137,FIND("-",AU137)+1,99),"")))=SIGN((AW137)-(AX137)))+2*(((IFERROR(--LEFT(AU137,FIND("-",AU137)-1),""))-(IFERROR(--MID(AU137,FIND("-",AU137)+1,99),"")))=((AW137)-(AX137)))+2*((IFERROR(--LEFT(AU137,FIND("-",AU137)-1),""))=(AW137))+2*((IFERROR(--MID(AU137,FIND("-",AU137)+1,99),""))=(AX137))),""))</f>
        <v>7</v>
      </c>
      <c r="AW137" s="11">
        <f>IF($C137="","",IFERROR(--LEFT($C137,FIND("-",$C137)-1),""))</f>
        <v>2</v>
      </c>
      <c r="AX137" s="11">
        <f>IF($C137="","",IFERROR(--MID($C137,FIND("-",$C137)+1,99),""))</f>
        <v>0</v>
      </c>
    </row>
    <row r="138" spans="1:50" ht="18" customHeight="1" x14ac:dyDescent="0.3">
      <c r="A138" s="9">
        <v>1.833333333333333</v>
      </c>
      <c r="B138" s="18" t="s">
        <v>67</v>
      </c>
      <c r="C138" s="10" t="s">
        <v>35</v>
      </c>
      <c r="D138" s="1" t="s">
        <v>83</v>
      </c>
      <c r="E138" s="10" t="s">
        <v>37</v>
      </c>
      <c r="F138" s="11">
        <f>IF(OR($C138="",E138=""),"",IFERROR(IF(AND(IFERROR(--LEFT(E138,FIND("-",E138)-1),"")=AW138,IFERROR(--MID(E138,FIND("-",E138)+1,99),"")=AX138),10,5*(SIGN((IFERROR(--LEFT(E138,FIND("-",E138)-1),""))-(IFERROR(--MID(E138,FIND("-",E138)+1,99),"")))=SIGN((AW138)-(AX138)))+2*(((IFERROR(--LEFT(E138,FIND("-",E138)-1),""))-(IFERROR(--MID(E138,FIND("-",E138)+1,99),"")))=((AW138)-(AX138)))+2*((IFERROR(--LEFT(E138,FIND("-",E138)-1),""))=(AW138))+2*((IFERROR(--MID(E138,FIND("-",E138)+1,99),""))=(AX138))),""))</f>
        <v>2</v>
      </c>
      <c r="G138" s="10" t="s">
        <v>37</v>
      </c>
      <c r="H138" s="11">
        <f>IF(OR($C138="",G138=""),"",IFERROR(IF(AND(IFERROR(--LEFT(G138,FIND("-",G138)-1),"")=AW138,IFERROR(--MID(G138,FIND("-",G138)+1,99),"")=AX138),10,5*(SIGN((IFERROR(--LEFT(G138,FIND("-",G138)-1),""))-(IFERROR(--MID(G138,FIND("-",G138)+1,99),"")))=SIGN((AW138)-(AX138)))+2*(((IFERROR(--LEFT(G138,FIND("-",G138)-1),""))-(IFERROR(--MID(G138,FIND("-",G138)+1,99),"")))=((AW138)-(AX138)))+2*((IFERROR(--LEFT(G138,FIND("-",G138)-1),""))=(AW138))+2*((IFERROR(--MID(G138,FIND("-",G138)+1,99),""))=(AX138))),""))</f>
        <v>2</v>
      </c>
      <c r="I138" s="10" t="s">
        <v>45</v>
      </c>
      <c r="J138" s="11">
        <f>IF(OR($C138="",I138=""),"",IFERROR(IF(AND(IFERROR(--LEFT(I138,FIND("-",I138)-1),"")=AW138,IFERROR(--MID(I138,FIND("-",I138)+1,99),"")=AX138),10,5*(SIGN((IFERROR(--LEFT(I138,FIND("-",I138)-1),""))-(IFERROR(--MID(I138,FIND("-",I138)+1,99),"")))=SIGN((AW138)-(AX138)))+2*(((IFERROR(--LEFT(I138,FIND("-",I138)-1),""))-(IFERROR(--MID(I138,FIND("-",I138)+1,99),"")))=((AW138)-(AX138)))+2*((IFERROR(--LEFT(I138,FIND("-",I138)-1),""))=(AW138))+2*((IFERROR(--MID(I138,FIND("-",I138)+1,99),""))=(AX138))),""))</f>
        <v>2</v>
      </c>
      <c r="K138" s="10" t="s">
        <v>37</v>
      </c>
      <c r="L138" s="11">
        <f>IF(OR($C138="",K138=""),"",IFERROR(IF(AND(IFERROR(--LEFT(K138,FIND("-",K138)-1),"")=AW138,IFERROR(--MID(K138,FIND("-",K138)+1,99),"")=AX138),10,5*(SIGN((IFERROR(--LEFT(K138,FIND("-",K138)-1),""))-(IFERROR(--MID(K138,FIND("-",K138)+1,99),"")))=SIGN((AW138)-(AX138)))+2*(((IFERROR(--LEFT(K138,FIND("-",K138)-1),""))-(IFERROR(--MID(K138,FIND("-",K138)+1,99),"")))=((AW138)-(AX138)))+2*((IFERROR(--LEFT(K138,FIND("-",K138)-1),""))=(AW138))+2*((IFERROR(--MID(K138,FIND("-",K138)+1,99),""))=(AX138))),""))</f>
        <v>2</v>
      </c>
      <c r="M138" s="10" t="s">
        <v>36</v>
      </c>
      <c r="N138" s="11">
        <f>IF(OR($C138="",M138=""),"",IFERROR(IF(AND(IFERROR(--LEFT(M138,FIND("-",M138)-1),"")=AW138,IFERROR(--MID(M138,FIND("-",M138)+1,99),"")=AX138),10,5*(SIGN((IFERROR(--LEFT(M138,FIND("-",M138)-1),""))-(IFERROR(--MID(M138,FIND("-",M138)+1,99),"")))=SIGN((AW138)-(AX138)))+2*(((IFERROR(--LEFT(M138,FIND("-",M138)-1),""))-(IFERROR(--MID(M138,FIND("-",M138)+1,99),"")))=((AW138)-(AX138)))+2*((IFERROR(--LEFT(M138,FIND("-",M138)-1),""))=(AW138))+2*((IFERROR(--MID(M138,FIND("-",M138)+1,99),""))=(AX138))),""))</f>
        <v>0</v>
      </c>
      <c r="O138" s="10" t="s">
        <v>37</v>
      </c>
      <c r="P138" s="11">
        <f>IF(OR($C138="",O138=""),"",IFERROR(IF(AND(IFERROR(--LEFT(O138,FIND("-",O138)-1),"")=AW138,IFERROR(--MID(O138,FIND("-",O138)+1,99),"")=AX138),10,5*(SIGN((IFERROR(--LEFT(O138,FIND("-",O138)-1),""))-(IFERROR(--MID(O138,FIND("-",O138)+1,99),"")))=SIGN((AW138)-(AX138)))+2*(((IFERROR(--LEFT(O138,FIND("-",O138)-1),""))-(IFERROR(--MID(O138,FIND("-",O138)+1,99),"")))=((AW138)-(AX138)))+2*((IFERROR(--LEFT(O138,FIND("-",O138)-1),""))=(AW138))+2*((IFERROR(--MID(O138,FIND("-",O138)+1,99),""))=(AX138))),""))</f>
        <v>2</v>
      </c>
      <c r="Q138" s="10" t="s">
        <v>34</v>
      </c>
      <c r="R138" s="11">
        <f>IF(OR($C138="",Q138=""),"",IFERROR(IF(AND(IFERROR(--LEFT(Q138,FIND("-",Q138)-1),"")=AW138,IFERROR(--MID(Q138,FIND("-",Q138)+1,99),"")=AX138),10,5*(SIGN((IFERROR(--LEFT(Q138,FIND("-",Q138)-1),""))-(IFERROR(--MID(Q138,FIND("-",Q138)+1,99),"")))=SIGN((AW138)-(AX138)))+2*(((IFERROR(--LEFT(Q138,FIND("-",Q138)-1),""))-(IFERROR(--MID(Q138,FIND("-",Q138)+1,99),"")))=((AW138)-(AX138)))+2*((IFERROR(--LEFT(Q138,FIND("-",Q138)-1),""))=(AW138))+2*((IFERROR(--MID(Q138,FIND("-",Q138)+1,99),""))=(AX138))),""))</f>
        <v>2</v>
      </c>
      <c r="S138" s="10" t="s">
        <v>48</v>
      </c>
      <c r="T138" s="11">
        <f>IF(OR($C138="",S138=""),"",IFERROR(IF(AND(IFERROR(--LEFT(S138,FIND("-",S138)-1),"")=AW138,IFERROR(--MID(S138,FIND("-",S138)+1,99),"")=AX138),10,5*(SIGN((IFERROR(--LEFT(S138,FIND("-",S138)-1),""))-(IFERROR(--MID(S138,FIND("-",S138)+1,99),"")))=SIGN((AW138)-(AX138)))+2*(((IFERROR(--LEFT(S138,FIND("-",S138)-1),""))-(IFERROR(--MID(S138,FIND("-",S138)+1,99),"")))=((AW138)-(AX138)))+2*((IFERROR(--LEFT(S138,FIND("-",S138)-1),""))=(AW138))+2*((IFERROR(--MID(S138,FIND("-",S138)+1,99),""))=(AX138))),""))</f>
        <v>0</v>
      </c>
      <c r="U138" s="10" t="s">
        <v>35</v>
      </c>
      <c r="V138" s="11">
        <f>IF(OR($C138="",U138=""),"",IFERROR(IF(AND(IFERROR(--LEFT(U138,FIND("-",U138)-1),"")=AW138,IFERROR(--MID(U138,FIND("-",U138)+1,99),"")=AX138),10,5*(SIGN((IFERROR(--LEFT(U138,FIND("-",U138)-1),""))-(IFERROR(--MID(U138,FIND("-",U138)+1,99),"")))=SIGN((AW138)-(AX138)))+2*(((IFERROR(--LEFT(U138,FIND("-",U138)-1),""))-(IFERROR(--MID(U138,FIND("-",U138)+1,99),"")))=((AW138)-(AX138)))+2*((IFERROR(--LEFT(U138,FIND("-",U138)-1),""))=(AW138))+2*((IFERROR(--MID(U138,FIND("-",U138)+1,99),""))=(AX138))),""))</f>
        <v>10</v>
      </c>
      <c r="W138" s="10" t="s">
        <v>45</v>
      </c>
      <c r="X138" s="11">
        <f>IF(OR($C138="",W138=""),"",IFERROR(IF(AND(IFERROR(--LEFT(W138,FIND("-",W138)-1),"")=AW138,IFERROR(--MID(W138,FIND("-",W138)+1,99),"")=AX138),10,5*(SIGN((IFERROR(--LEFT(W138,FIND("-",W138)-1),""))-(IFERROR(--MID(W138,FIND("-",W138)+1,99),"")))=SIGN((AW138)-(AX138)))+2*(((IFERROR(--LEFT(W138,FIND("-",W138)-1),""))-(IFERROR(--MID(W138,FIND("-",W138)+1,99),"")))=((AW138)-(AX138)))+2*((IFERROR(--LEFT(W138,FIND("-",W138)-1),""))=(AW138))+2*((IFERROR(--MID(W138,FIND("-",W138)+1,99),""))=(AX138))),""))</f>
        <v>2</v>
      </c>
      <c r="Y138" s="10" t="s">
        <v>50</v>
      </c>
      <c r="Z138" s="11">
        <f>IF(OR($C138="",Y138=""),"",IFERROR(IF(AND(IFERROR(--LEFT(Y138,FIND("-",Y138)-1),"")=AW138,IFERROR(--MID(Y138,FIND("-",Y138)+1,99),"")=AX138),10,5*(SIGN((IFERROR(--LEFT(Y138,FIND("-",Y138)-1),""))-(IFERROR(--MID(Y138,FIND("-",Y138)+1,99),"")))=SIGN((AW138)-(AX138)))+2*(((IFERROR(--LEFT(Y138,FIND("-",Y138)-1),""))-(IFERROR(--MID(Y138,FIND("-",Y138)+1,99),"")))=((AW138)-(AX138)))+2*((IFERROR(--LEFT(Y138,FIND("-",Y138)-1),""))=(AW138))+2*((IFERROR(--MID(Y138,FIND("-",Y138)+1,99),""))=(AX138))),""))</f>
        <v>7</v>
      </c>
      <c r="AA138" s="10" t="s">
        <v>45</v>
      </c>
      <c r="AB138" s="11">
        <f>IF(OR($C138="",AA138=""),"",IFERROR(IF(AND(IFERROR(--LEFT(AA138,FIND("-",AA138)-1),"")=AW138,IFERROR(--MID(AA138,FIND("-",AA138)+1,99),"")=AX138),10,5*(SIGN((IFERROR(--LEFT(AA138,FIND("-",AA138)-1),""))-(IFERROR(--MID(AA138,FIND("-",AA138)+1,99),"")))=SIGN((AW138)-(AX138)))+2*(((IFERROR(--LEFT(AA138,FIND("-",AA138)-1),""))-(IFERROR(--MID(AA138,FIND("-",AA138)+1,99),"")))=((AW138)-(AX138)))+2*((IFERROR(--LEFT(AA138,FIND("-",AA138)-1),""))=(AW138))+2*((IFERROR(--MID(AA138,FIND("-",AA138)+1,99),""))=(AX138))),""))</f>
        <v>2</v>
      </c>
      <c r="AC138" s="10" t="s">
        <v>37</v>
      </c>
      <c r="AD138" s="11">
        <f>IF(OR($C138="",AC138=""),"",IFERROR(IF(AND(IFERROR(--LEFT(AC138,FIND("-",AC138)-1),"")=AW138,IFERROR(--MID(AC138,FIND("-",AC138)+1,99),"")=AX138),10,5*(SIGN((IFERROR(--LEFT(AC138,FIND("-",AC138)-1),""))-(IFERROR(--MID(AC138,FIND("-",AC138)+1,99),"")))=SIGN((AW138)-(AX138)))+2*(((IFERROR(--LEFT(AC138,FIND("-",AC138)-1),""))-(IFERROR(--MID(AC138,FIND("-",AC138)+1,99),"")))=((AW138)-(AX138)))+2*((IFERROR(--LEFT(AC138,FIND("-",AC138)-1),""))=(AW138))+2*((IFERROR(--MID(AC138,FIND("-",AC138)+1,99),""))=(AX138))),""))</f>
        <v>2</v>
      </c>
      <c r="AE138" s="10" t="s">
        <v>37</v>
      </c>
      <c r="AF138" s="11">
        <f>IF(OR($C138="",AE138=""),"",IFERROR(IF(AND(IFERROR(--LEFT(AE138,FIND("-",AE138)-1),"")=AW138,IFERROR(--MID(AE138,FIND("-",AE138)+1,99),"")=AX138),10,5*(SIGN((IFERROR(--LEFT(AE138,FIND("-",AE138)-1),""))-(IFERROR(--MID(AE138,FIND("-",AE138)+1,99),"")))=SIGN((AW138)-(AX138)))+2*(((IFERROR(--LEFT(AE138,FIND("-",AE138)-1),""))-(IFERROR(--MID(AE138,FIND("-",AE138)+1,99),"")))=((AW138)-(AX138)))+2*((IFERROR(--LEFT(AE138,FIND("-",AE138)-1),""))=(AW138))+2*((IFERROR(--MID(AE138,FIND("-",AE138)+1,99),""))=(AX138))),""))</f>
        <v>2</v>
      </c>
      <c r="AG138" s="10" t="s">
        <v>35</v>
      </c>
      <c r="AH138" s="11">
        <f>IF(OR($C138="",AG138=""),"",IFERROR(IF(AND(IFERROR(--LEFT(AG138,FIND("-",AG138)-1),"")=AW138,IFERROR(--MID(AG138,FIND("-",AG138)+1,99),"")=AX138),10,5*(SIGN((IFERROR(--LEFT(AG138,FIND("-",AG138)-1),""))-(IFERROR(--MID(AG138,FIND("-",AG138)+1,99),"")))=SIGN((AW138)-(AX138)))+2*(((IFERROR(--LEFT(AG138,FIND("-",AG138)-1),""))-(IFERROR(--MID(AG138,FIND("-",AG138)+1,99),"")))=((AW138)-(AX138)))+2*((IFERROR(--LEFT(AG138,FIND("-",AG138)-1),""))=(AW138))+2*((IFERROR(--MID(AG138,FIND("-",AG138)+1,99),""))=(AX138))),""))</f>
        <v>10</v>
      </c>
      <c r="AI138" s="10" t="s">
        <v>36</v>
      </c>
      <c r="AJ138" s="11">
        <f>IF(OR($C138="",AI138=""),"",IFERROR(IF(AND(IFERROR(--LEFT(AI138,FIND("-",AI138)-1),"")=AW138,IFERROR(--MID(AI138,FIND("-",AI138)+1,99),"")=AX138),10,5*(SIGN((IFERROR(--LEFT(AI138,FIND("-",AI138)-1),""))-(IFERROR(--MID(AI138,FIND("-",AI138)+1,99),"")))=SIGN((AW138)-(AX138)))+2*(((IFERROR(--LEFT(AI138,FIND("-",AI138)-1),""))-(IFERROR(--MID(AI138,FIND("-",AI138)+1,99),"")))=((AW138)-(AX138)))+2*((IFERROR(--LEFT(AI138,FIND("-",AI138)-1),""))=(AW138))+2*((IFERROR(--MID(AI138,FIND("-",AI138)+1,99),""))=(AX138))),""))</f>
        <v>0</v>
      </c>
      <c r="AK138" s="10" t="s">
        <v>45</v>
      </c>
      <c r="AL138" s="11">
        <f>IF(OR($C138="",AK138=""),"",IFERROR(IF(AND(IFERROR(--LEFT(AK138,FIND("-",AK138)-1),"")=AW138,IFERROR(--MID(AK138,FIND("-",AK138)+1,99),"")=AX138),10,5*(SIGN((IFERROR(--LEFT(AK138,FIND("-",AK138)-1),""))-(IFERROR(--MID(AK138,FIND("-",AK138)+1,99),"")))=SIGN((AW138)-(AX138)))+2*(((IFERROR(--LEFT(AK138,FIND("-",AK138)-1),""))-(IFERROR(--MID(AK138,FIND("-",AK138)+1,99),"")))=((AW138)-(AX138)))+2*((IFERROR(--LEFT(AK138,FIND("-",AK138)-1),""))=(AW138))+2*((IFERROR(--MID(AK138,FIND("-",AK138)+1,99),""))=(AX138))),""))</f>
        <v>2</v>
      </c>
      <c r="AM138" s="10" t="s">
        <v>48</v>
      </c>
      <c r="AN138" s="11">
        <f>IF(OR($C138="",AM138=""),"",IFERROR(IF(AND(IFERROR(--LEFT(AM138,FIND("-",AM138)-1),"")=AW138,IFERROR(--MID(AM138,FIND("-",AM138)+1,99),"")=AX138),10,5*(SIGN((IFERROR(--LEFT(AM138,FIND("-",AM138)-1),""))-(IFERROR(--MID(AM138,FIND("-",AM138)+1,99),"")))=SIGN((AW138)-(AX138)))+2*(((IFERROR(--LEFT(AM138,FIND("-",AM138)-1),""))-(IFERROR(--MID(AM138,FIND("-",AM138)+1,99),"")))=((AW138)-(AX138)))+2*((IFERROR(--LEFT(AM138,FIND("-",AM138)-1),""))=(AW138))+2*((IFERROR(--MID(AM138,FIND("-",AM138)+1,99),""))=(AX138))),""))</f>
        <v>0</v>
      </c>
      <c r="AO138" s="10" t="s">
        <v>50</v>
      </c>
      <c r="AP138" s="11">
        <f>IF(OR($C138="",AO138=""),"",IFERROR(IF(AND(IFERROR(--LEFT(AO138,FIND("-",AO138)-1),"")=AW138,IFERROR(--MID(AO138,FIND("-",AO138)+1,99),"")=AX138),10,5*(SIGN((IFERROR(--LEFT(AO138,FIND("-",AO138)-1),""))-(IFERROR(--MID(AO138,FIND("-",AO138)+1,99),"")))=SIGN((AW138)-(AX138)))+2*(((IFERROR(--LEFT(AO138,FIND("-",AO138)-1),""))-(IFERROR(--MID(AO138,FIND("-",AO138)+1,99),"")))=((AW138)-(AX138)))+2*((IFERROR(--LEFT(AO138,FIND("-",AO138)-1),""))=(AW138))+2*((IFERROR(--MID(AO138,FIND("-",AO138)+1,99),""))=(AX138))),""))</f>
        <v>7</v>
      </c>
      <c r="AQ138" s="10" t="s">
        <v>44</v>
      </c>
      <c r="AR138" s="11">
        <f>IF(OR($C138="",AQ138=""),"",IFERROR(IF(AND(IFERROR(--LEFT(AQ138,FIND("-",AQ138)-1),"")=AW138,IFERROR(--MID(AQ138,FIND("-",AQ138)+1,99),"")=AX138),10,5*(SIGN((IFERROR(--LEFT(AQ138,FIND("-",AQ138)-1),""))-(IFERROR(--MID(AQ138,FIND("-",AQ138)+1,99),"")))=SIGN((AW138)-(AX138)))+2*(((IFERROR(--LEFT(AQ138,FIND("-",AQ138)-1),""))-(IFERROR(--MID(AQ138,FIND("-",AQ138)+1,99),"")))=((AW138)-(AX138)))+2*((IFERROR(--LEFT(AQ138,FIND("-",AQ138)-1),""))=(AW138))+2*((IFERROR(--MID(AQ138,FIND("-",AQ138)+1,99),""))=(AX138))),""))</f>
        <v>0</v>
      </c>
      <c r="AS138" s="10" t="s">
        <v>39</v>
      </c>
      <c r="AT138" s="11">
        <f>IF(OR($C138="",AS138=""),"",IFERROR(IF(AND(IFERROR(--LEFT(AS138,FIND("-",AS138)-1),"")=AW138,IFERROR(--MID(AS138,FIND("-",AS138)+1,99),"")=AX138),10,5*(SIGN((IFERROR(--LEFT(AS138,FIND("-",AS138)-1),""))-(IFERROR(--MID(AS138,FIND("-",AS138)+1,99),"")))=SIGN((AW138)-(AX138)))+2*(((IFERROR(--LEFT(AS138,FIND("-",AS138)-1),""))-(IFERROR(--MID(AS138,FIND("-",AS138)+1,99),"")))=((AW138)-(AX138)))+2*((IFERROR(--LEFT(AS138,FIND("-",AS138)-1),""))=(AW138))+2*((IFERROR(--MID(AS138,FIND("-",AS138)+1,99),""))=(AX138))),""))</f>
        <v>2</v>
      </c>
      <c r="AU138" s="10" t="s">
        <v>39</v>
      </c>
      <c r="AV138" s="11">
        <f>IF(OR($C138="",AU138=""),"",IFERROR(IF(AND(IFERROR(--LEFT(AU138,FIND("-",AU138)-1),"")=AW138,IFERROR(--MID(AU138,FIND("-",AU138)+1,99),"")=AX138),10,5*(SIGN((IFERROR(--LEFT(AU138,FIND("-",AU138)-1),""))-(IFERROR(--MID(AU138,FIND("-",AU138)+1,99),"")))=SIGN((AW138)-(AX138)))+2*(((IFERROR(--LEFT(AU138,FIND("-",AU138)-1),""))-(IFERROR(--MID(AU138,FIND("-",AU138)+1,99),"")))=((AW138)-(AX138)))+2*((IFERROR(--LEFT(AU138,FIND("-",AU138)-1),""))=(AW138))+2*((IFERROR(--MID(AU138,FIND("-",AU138)+1,99),""))=(AX138))),""))</f>
        <v>2</v>
      </c>
      <c r="AW138" s="11">
        <f>IF($C138="","",IFERROR(--LEFT($C138,FIND("-",$C138)-1),""))</f>
        <v>1</v>
      </c>
      <c r="AX138" s="11">
        <f>IF($C138="","",IFERROR(--MID($C138,FIND("-",$C138)+1,99),""))</f>
        <v>1</v>
      </c>
    </row>
    <row r="139" spans="1:50" ht="18" customHeight="1" x14ac:dyDescent="0.3">
      <c r="A139" s="12"/>
      <c r="B139" s="18"/>
      <c r="C139" s="13"/>
      <c r="D139" s="1"/>
      <c r="E139" s="22"/>
      <c r="F139" s="12"/>
      <c r="G139" s="22"/>
      <c r="H139" s="12"/>
      <c r="I139" s="22"/>
      <c r="J139" s="12"/>
      <c r="K139" s="22"/>
      <c r="L139" s="12"/>
      <c r="M139" s="22"/>
      <c r="N139" s="12"/>
      <c r="O139" s="22"/>
      <c r="P139" s="12"/>
      <c r="Q139" s="22"/>
      <c r="R139" s="12"/>
      <c r="S139" s="22"/>
      <c r="T139" s="12"/>
      <c r="U139" s="13"/>
      <c r="V139" s="12"/>
      <c r="W139" s="22"/>
      <c r="X139" s="12"/>
      <c r="Y139" s="22"/>
      <c r="Z139" s="12"/>
      <c r="AA139" s="22"/>
      <c r="AB139" s="12"/>
      <c r="AC139" s="22"/>
      <c r="AD139" s="12"/>
      <c r="AE139" s="22"/>
      <c r="AF139" s="12"/>
      <c r="AG139" s="22"/>
      <c r="AH139" s="12"/>
      <c r="AI139" s="22"/>
      <c r="AJ139" s="12"/>
      <c r="AK139" s="22"/>
      <c r="AL139" s="12"/>
      <c r="AM139" s="22"/>
      <c r="AN139" s="12"/>
      <c r="AO139" s="22"/>
      <c r="AP139" s="12"/>
      <c r="AQ139" s="22"/>
      <c r="AR139" s="12" t="str">
        <f>IF(OR($C139="",AQ139=""),"",IFERROR(IF(AND(IFERROR(--LEFT(AQ139,FIND("-",AQ139)-1),"")=AW139,IFERROR(--MID(AQ139,FIND("-",AQ139)+1,99),"")=AX139),10,5*(SIGN((IFERROR(--LEFT(AQ139,FIND("-",AQ139)-1),""))-(IFERROR(--MID(AQ139,FIND("-",AQ139)+1,99),"")))=SIGN((AW139)-(AX139)))+2*(((IFERROR(--LEFT(AQ139,FIND("-",AQ139)-1),""))-(IFERROR(--MID(AQ139,FIND("-",AQ139)+1,99),"")))=((AW139)-(AX139)))+2*((IFERROR(--LEFT(AQ139,FIND("-",AQ139)-1),""))=(AW139))+2*((IFERROR(--MID(AQ139,FIND("-",AQ139)+1,99),""))=(AX139))),""))</f>
        <v/>
      </c>
      <c r="AS139" s="22"/>
      <c r="AT139" s="12" t="str">
        <f>IF(OR($C139="",AS139=""),"",IFERROR(IF(AND(IFERROR(--LEFT(AS139,FIND("-",AS139)-1),"")=AW139,IFERROR(--MID(AS139,FIND("-",AS139)+1,99),"")=AX139),10,5*(SIGN((IFERROR(--LEFT(AS139,FIND("-",AS139)-1),""))-(IFERROR(--MID(AS139,FIND("-",AS139)+1,99),"")))=SIGN((AW139)-(AX139)))+2*(((IFERROR(--LEFT(AS139,FIND("-",AS139)-1),""))-(IFERROR(--MID(AS139,FIND("-",AS139)+1,99),"")))=((AW139)-(AX139)))+2*((IFERROR(--LEFT(AS139,FIND("-",AS139)-1),""))=(AW139))+2*((IFERROR(--MID(AS139,FIND("-",AS139)+1,99),""))=(AX139))),""))</f>
        <v/>
      </c>
      <c r="AU139" s="22"/>
      <c r="AV139" s="12"/>
      <c r="AW139" s="12"/>
      <c r="AX139" s="12"/>
    </row>
    <row r="140" spans="1:50" ht="20.100000000000001" customHeight="1" x14ac:dyDescent="0.3">
      <c r="A140" s="36" t="s">
        <v>134</v>
      </c>
      <c r="B140" s="37"/>
      <c r="C140" s="38"/>
      <c r="D140" s="37"/>
      <c r="E140" s="38"/>
      <c r="F140" s="37"/>
      <c r="G140" s="38"/>
      <c r="H140" s="37"/>
      <c r="I140" s="38"/>
      <c r="J140" s="37"/>
      <c r="K140" s="38"/>
      <c r="L140" s="37"/>
      <c r="M140" s="38"/>
      <c r="N140" s="37"/>
      <c r="O140" s="38"/>
      <c r="P140" s="37"/>
      <c r="Q140" s="38"/>
      <c r="R140" s="37"/>
      <c r="S140" s="38"/>
      <c r="T140" s="37"/>
      <c r="U140" s="38"/>
      <c r="V140" s="37"/>
      <c r="W140" s="38"/>
      <c r="X140" s="37"/>
      <c r="Y140" s="38"/>
      <c r="Z140" s="37"/>
      <c r="AA140" s="38"/>
      <c r="AB140" s="37"/>
      <c r="AC140" s="38"/>
      <c r="AD140" s="37"/>
      <c r="AE140" s="38"/>
      <c r="AF140" s="37"/>
      <c r="AG140" s="38"/>
      <c r="AH140" s="37"/>
      <c r="AI140" s="38"/>
      <c r="AJ140" s="37"/>
      <c r="AK140" s="38"/>
      <c r="AL140" s="37"/>
      <c r="AM140" s="38"/>
      <c r="AN140" s="37"/>
      <c r="AO140" s="38"/>
      <c r="AP140" s="37"/>
      <c r="AQ140" s="37"/>
      <c r="AR140" s="37"/>
      <c r="AS140" s="37"/>
      <c r="AT140" s="37"/>
      <c r="AU140" s="38"/>
      <c r="AV140" s="39"/>
      <c r="AW140" s="8"/>
      <c r="AX140" s="8"/>
    </row>
    <row r="141" spans="1:50" ht="18" customHeight="1" x14ac:dyDescent="0.3">
      <c r="A141" s="9">
        <v>1</v>
      </c>
      <c r="B141" s="18" t="s">
        <v>95</v>
      </c>
      <c r="C141" s="10" t="s">
        <v>35</v>
      </c>
      <c r="D141" s="1" t="s">
        <v>81</v>
      </c>
      <c r="E141" s="10" t="s">
        <v>36</v>
      </c>
      <c r="F141" s="11">
        <f>IF(OR($C141="",E141=""),"",IFERROR(IF(AND(IFERROR(--LEFT(E141,FIND("-",E141)-1),"")=AW141,IFERROR(--MID(E141,FIND("-",E141)+1,99),"")=AX141),10,5*(SIGN((IFERROR(--LEFT(E141,FIND("-",E141)-1),""))-(IFERROR(--MID(E141,FIND("-",E141)+1,99),"")))=SIGN((AW141)-(AX141)))+2*(((IFERROR(--LEFT(E141,FIND("-",E141)-1),""))-(IFERROR(--MID(E141,FIND("-",E141)+1,99),"")))=((AW141)-(AX141)))+2*((IFERROR(--LEFT(E141,FIND("-",E141)-1),""))=(AW141))+2*((IFERROR(--MID(E141,FIND("-",E141)+1,99),""))=(AX141))),""))</f>
        <v>0</v>
      </c>
      <c r="G141" s="10" t="s">
        <v>38</v>
      </c>
      <c r="H141" s="11">
        <f>IF(OR($C141="",G141=""),"",IFERROR(IF(AND(IFERROR(--LEFT(G141,FIND("-",G141)-1),"")=AW141,IFERROR(--MID(G141,FIND("-",G141)+1,99),"")=AX141),10,5*(SIGN((IFERROR(--LEFT(G141,FIND("-",G141)-1),""))-(IFERROR(--MID(G141,FIND("-",G141)+1,99),"")))=SIGN((AW141)-(AX141)))+2*(((IFERROR(--LEFT(G141,FIND("-",G141)-1),""))-(IFERROR(--MID(G141,FIND("-",G141)+1,99),"")))=((AW141)-(AX141)))+2*((IFERROR(--LEFT(G141,FIND("-",G141)-1),""))=(AW141))+2*((IFERROR(--MID(G141,FIND("-",G141)+1,99),""))=(AX141))),""))</f>
        <v>0</v>
      </c>
      <c r="I141" s="10" t="s">
        <v>38</v>
      </c>
      <c r="J141" s="11">
        <f>IF(OR($C141="",I141=""),"",IFERROR(IF(AND(IFERROR(--LEFT(I141,FIND("-",I141)-1),"")=AW141,IFERROR(--MID(I141,FIND("-",I141)+1,99),"")=AX141),10,5*(SIGN((IFERROR(--LEFT(I141,FIND("-",I141)-1),""))-(IFERROR(--MID(I141,FIND("-",I141)+1,99),"")))=SIGN((AW141)-(AX141)))+2*(((IFERROR(--LEFT(I141,FIND("-",I141)-1),""))-(IFERROR(--MID(I141,FIND("-",I141)+1,99),"")))=((AW141)-(AX141)))+2*((IFERROR(--LEFT(I141,FIND("-",I141)-1),""))=(AW141))+2*((IFERROR(--MID(I141,FIND("-",I141)+1,99),""))=(AX141))),""))</f>
        <v>0</v>
      </c>
      <c r="K141" s="10" t="s">
        <v>38</v>
      </c>
      <c r="L141" s="11">
        <f>IF(OR($C141="",K141=""),"",IFERROR(IF(AND(IFERROR(--LEFT(K141,FIND("-",K141)-1),"")=AW141,IFERROR(--MID(K141,FIND("-",K141)+1,99),"")=AX141),10,5*(SIGN((IFERROR(--LEFT(K141,FIND("-",K141)-1),""))-(IFERROR(--MID(K141,FIND("-",K141)+1,99),"")))=SIGN((AW141)-(AX141)))+2*(((IFERROR(--LEFT(K141,FIND("-",K141)-1),""))-(IFERROR(--MID(K141,FIND("-",K141)+1,99),"")))=((AW141)-(AX141)))+2*((IFERROR(--LEFT(K141,FIND("-",K141)-1),""))=(AW141))+2*((IFERROR(--MID(K141,FIND("-",K141)+1,99),""))=(AX141))),""))</f>
        <v>0</v>
      </c>
      <c r="M141" s="10" t="s">
        <v>72</v>
      </c>
      <c r="N141" s="11">
        <f>IF(OR($C141="",M141=""),"",IFERROR(IF(AND(IFERROR(--LEFT(M141,FIND("-",M141)-1),"")=AW141,IFERROR(--MID(M141,FIND("-",M141)+1,99),"")=AX141),10,5*(SIGN((IFERROR(--LEFT(M141,FIND("-",M141)-1),""))-(IFERROR(--MID(M141,FIND("-",M141)+1,99),"")))=SIGN((AW141)-(AX141)))+2*(((IFERROR(--LEFT(M141,FIND("-",M141)-1),""))-(IFERROR(--MID(M141,FIND("-",M141)+1,99),"")))=((AW141)-(AX141)))+2*((IFERROR(--LEFT(M141,FIND("-",M141)-1),""))=(AW141))+2*((IFERROR(--MID(M141,FIND("-",M141)+1,99),""))=(AX141))),""))</f>
        <v>0</v>
      </c>
      <c r="O141" s="10" t="s">
        <v>38</v>
      </c>
      <c r="P141" s="11">
        <f>IF(OR($C141="",O141=""),"",IFERROR(IF(AND(IFERROR(--LEFT(O141,FIND("-",O141)-1),"")=AW141,IFERROR(--MID(O141,FIND("-",O141)+1,99),"")=AX141),10,5*(SIGN((IFERROR(--LEFT(O141,FIND("-",O141)-1),""))-(IFERROR(--MID(O141,FIND("-",O141)+1,99),"")))=SIGN((AW141)-(AX141)))+2*(((IFERROR(--LEFT(O141,FIND("-",O141)-1),""))-(IFERROR(--MID(O141,FIND("-",O141)+1,99),"")))=((AW141)-(AX141)))+2*((IFERROR(--LEFT(O141,FIND("-",O141)-1),""))=(AW141))+2*((IFERROR(--MID(O141,FIND("-",O141)+1,99),""))=(AX141))),""))</f>
        <v>0</v>
      </c>
      <c r="Q141" s="10" t="s">
        <v>36</v>
      </c>
      <c r="R141" s="11">
        <f>IF(OR($C141="",Q141=""),"",IFERROR(IF(AND(IFERROR(--LEFT(Q141,FIND("-",Q141)-1),"")=AW141,IFERROR(--MID(Q141,FIND("-",Q141)+1,99),"")=AX141),10,5*(SIGN((IFERROR(--LEFT(Q141,FIND("-",Q141)-1),""))-(IFERROR(--MID(Q141,FIND("-",Q141)+1,99),"")))=SIGN((AW141)-(AX141)))+2*(((IFERROR(--LEFT(Q141,FIND("-",Q141)-1),""))-(IFERROR(--MID(Q141,FIND("-",Q141)+1,99),"")))=((AW141)-(AX141)))+2*((IFERROR(--LEFT(Q141,FIND("-",Q141)-1),""))=(AW141))+2*((IFERROR(--MID(Q141,FIND("-",Q141)+1,99),""))=(AX141))),""))</f>
        <v>0</v>
      </c>
      <c r="S141" s="10" t="s">
        <v>38</v>
      </c>
      <c r="T141" s="11">
        <f>IF(OR($C141="",S141=""),"",IFERROR(IF(AND(IFERROR(--LEFT(S141,FIND("-",S141)-1),"")=AW141,IFERROR(--MID(S141,FIND("-",S141)+1,99),"")=AX141),10,5*(SIGN((IFERROR(--LEFT(S141,FIND("-",S141)-1),""))-(IFERROR(--MID(S141,FIND("-",S141)+1,99),"")))=SIGN((AW141)-(AX141)))+2*(((IFERROR(--LEFT(S141,FIND("-",S141)-1),""))-(IFERROR(--MID(S141,FIND("-",S141)+1,99),"")))=((AW141)-(AX141)))+2*((IFERROR(--LEFT(S141,FIND("-",S141)-1),""))=(AW141))+2*((IFERROR(--MID(S141,FIND("-",S141)+1,99),""))=(AX141))),""))</f>
        <v>0</v>
      </c>
      <c r="U141" s="10" t="s">
        <v>38</v>
      </c>
      <c r="V141" s="11">
        <f>IF(OR($C141="",U141=""),"",IFERROR(IF(AND(IFERROR(--LEFT(U141,FIND("-",U141)-1),"")=AW141,IFERROR(--MID(U141,FIND("-",U141)+1,99),"")=AX141),10,5*(SIGN((IFERROR(--LEFT(U141,FIND("-",U141)-1),""))-(IFERROR(--MID(U141,FIND("-",U141)+1,99),"")))=SIGN((AW141)-(AX141)))+2*(((IFERROR(--LEFT(U141,FIND("-",U141)-1),""))-(IFERROR(--MID(U141,FIND("-",U141)+1,99),"")))=((AW141)-(AX141)))+2*((IFERROR(--LEFT(U141,FIND("-",U141)-1),""))=(AW141))+2*((IFERROR(--MID(U141,FIND("-",U141)+1,99),""))=(AX141))),""))</f>
        <v>0</v>
      </c>
      <c r="W141" s="10" t="s">
        <v>36</v>
      </c>
      <c r="X141" s="11">
        <f>IF(OR($C141="",W141=""),"",IFERROR(IF(AND(IFERROR(--LEFT(W141,FIND("-",W141)-1),"")=AW141,IFERROR(--MID(W141,FIND("-",W141)+1,99),"")=AX141),10,5*(SIGN((IFERROR(--LEFT(W141,FIND("-",W141)-1),""))-(IFERROR(--MID(W141,FIND("-",W141)+1,99),"")))=SIGN((AW141)-(AX141)))+2*(((IFERROR(--LEFT(W141,FIND("-",W141)-1),""))-(IFERROR(--MID(W141,FIND("-",W141)+1,99),"")))=((AW141)-(AX141)))+2*((IFERROR(--LEFT(W141,FIND("-",W141)-1),""))=(AW141))+2*((IFERROR(--MID(W141,FIND("-",W141)+1,99),""))=(AX141))),""))</f>
        <v>0</v>
      </c>
      <c r="Y141" s="10" t="s">
        <v>49</v>
      </c>
      <c r="Z141" s="11">
        <f>IF(OR($C141="",Y141=""),"",IFERROR(IF(AND(IFERROR(--LEFT(Y141,FIND("-",Y141)-1),"")=AW141,IFERROR(--MID(Y141,FIND("-",Y141)+1,99),"")=AX141),10,5*(SIGN((IFERROR(--LEFT(Y141,FIND("-",Y141)-1),""))-(IFERROR(--MID(Y141,FIND("-",Y141)+1,99),"")))=SIGN((AW141)-(AX141)))+2*(((IFERROR(--LEFT(Y141,FIND("-",Y141)-1),""))-(IFERROR(--MID(Y141,FIND("-",Y141)+1,99),"")))=((AW141)-(AX141)))+2*((IFERROR(--LEFT(Y141,FIND("-",Y141)-1),""))=(AW141))+2*((IFERROR(--MID(Y141,FIND("-",Y141)+1,99),""))=(AX141))),""))</f>
        <v>7</v>
      </c>
      <c r="AA141" s="10" t="s">
        <v>36</v>
      </c>
      <c r="AB141" s="11">
        <f>IF(OR($C141="",AA141=""),"",IFERROR(IF(AND(IFERROR(--LEFT(AA141,FIND("-",AA141)-1),"")=AW141,IFERROR(--MID(AA141,FIND("-",AA141)+1,99),"")=AX141),10,5*(SIGN((IFERROR(--LEFT(AA141,FIND("-",AA141)-1),""))-(IFERROR(--MID(AA141,FIND("-",AA141)+1,99),"")))=SIGN((AW141)-(AX141)))+2*(((IFERROR(--LEFT(AA141,FIND("-",AA141)-1),""))-(IFERROR(--MID(AA141,FIND("-",AA141)+1,99),"")))=((AW141)-(AX141)))+2*((IFERROR(--LEFT(AA141,FIND("-",AA141)-1),""))=(AW141))+2*((IFERROR(--MID(AA141,FIND("-",AA141)+1,99),""))=(AX141))),""))</f>
        <v>0</v>
      </c>
      <c r="AC141" s="10" t="s">
        <v>72</v>
      </c>
      <c r="AD141" s="11">
        <f>IF(OR($C141="",AC141=""),"",IFERROR(IF(AND(IFERROR(--LEFT(AC141,FIND("-",AC141)-1),"")=AW141,IFERROR(--MID(AC141,FIND("-",AC141)+1,99),"")=AX141),10,5*(SIGN((IFERROR(--LEFT(AC141,FIND("-",AC141)-1),""))-(IFERROR(--MID(AC141,FIND("-",AC141)+1,99),"")))=SIGN((AW141)-(AX141)))+2*(((IFERROR(--LEFT(AC141,FIND("-",AC141)-1),""))-(IFERROR(--MID(AC141,FIND("-",AC141)+1,99),"")))=((AW141)-(AX141)))+2*((IFERROR(--LEFT(AC141,FIND("-",AC141)-1),""))=(AW141))+2*((IFERROR(--MID(AC141,FIND("-",AC141)+1,99),""))=(AX141))),""))</f>
        <v>0</v>
      </c>
      <c r="AE141" s="10" t="s">
        <v>63</v>
      </c>
      <c r="AF141" s="11">
        <f>IF(OR($C141="",AE141=""),"",IFERROR(IF(AND(IFERROR(--LEFT(AE141,FIND("-",AE141)-1),"")=AW141,IFERROR(--MID(AE141,FIND("-",AE141)+1,99),"")=AX141),10,5*(SIGN((IFERROR(--LEFT(AE141,FIND("-",AE141)-1),""))-(IFERROR(--MID(AE141,FIND("-",AE141)+1,99),"")))=SIGN((AW141)-(AX141)))+2*(((IFERROR(--LEFT(AE141,FIND("-",AE141)-1),""))-(IFERROR(--MID(AE141,FIND("-",AE141)+1,99),"")))=((AW141)-(AX141)))+2*((IFERROR(--LEFT(AE141,FIND("-",AE141)-1),""))=(AW141))+2*((IFERROR(--MID(AE141,FIND("-",AE141)+1,99),""))=(AX141))),""))</f>
        <v>0</v>
      </c>
      <c r="AG141" s="10" t="s">
        <v>38</v>
      </c>
      <c r="AH141" s="11">
        <f>IF(OR($C141="",AG141=""),"",IFERROR(IF(AND(IFERROR(--LEFT(AG141,FIND("-",AG141)-1),"")=AW141,IFERROR(--MID(AG141,FIND("-",AG141)+1,99),"")=AX141),10,5*(SIGN((IFERROR(--LEFT(AG141,FIND("-",AG141)-1),""))-(IFERROR(--MID(AG141,FIND("-",AG141)+1,99),"")))=SIGN((AW141)-(AX141)))+2*(((IFERROR(--LEFT(AG141,FIND("-",AG141)-1),""))-(IFERROR(--MID(AG141,FIND("-",AG141)+1,99),"")))=((AW141)-(AX141)))+2*((IFERROR(--LEFT(AG141,FIND("-",AG141)-1),""))=(AW141))+2*((IFERROR(--MID(AG141,FIND("-",AG141)+1,99),""))=(AX141))),""))</f>
        <v>0</v>
      </c>
      <c r="AI141" s="10" t="s">
        <v>63</v>
      </c>
      <c r="AJ141" s="11">
        <f>IF(OR($C141="",AI141=""),"",IFERROR(IF(AND(IFERROR(--LEFT(AI141,FIND("-",AI141)-1),"")=AW141,IFERROR(--MID(AI141,FIND("-",AI141)+1,99),"")=AX141),10,5*(SIGN((IFERROR(--LEFT(AI141,FIND("-",AI141)-1),""))-(IFERROR(--MID(AI141,FIND("-",AI141)+1,99),"")))=SIGN((AW141)-(AX141)))+2*(((IFERROR(--LEFT(AI141,FIND("-",AI141)-1),""))-(IFERROR(--MID(AI141,FIND("-",AI141)+1,99),"")))=((AW141)-(AX141)))+2*((IFERROR(--LEFT(AI141,FIND("-",AI141)-1),""))=(AW141))+2*((IFERROR(--MID(AI141,FIND("-",AI141)+1,99),""))=(AX141))),""))</f>
        <v>0</v>
      </c>
      <c r="AK141" s="10" t="s">
        <v>36</v>
      </c>
      <c r="AL141" s="11">
        <f>IF(OR($C141="",AK141=""),"",IFERROR(IF(AND(IFERROR(--LEFT(AK141,FIND("-",AK141)-1),"")=AW141,IFERROR(--MID(AK141,FIND("-",AK141)+1,99),"")=AX141),10,5*(SIGN((IFERROR(--LEFT(AK141,FIND("-",AK141)-1),""))-(IFERROR(--MID(AK141,FIND("-",AK141)+1,99),"")))=SIGN((AW141)-(AX141)))+2*(((IFERROR(--LEFT(AK141,FIND("-",AK141)-1),""))-(IFERROR(--MID(AK141,FIND("-",AK141)+1,99),"")))=((AW141)-(AX141)))+2*((IFERROR(--LEFT(AK141,FIND("-",AK141)-1),""))=(AW141))+2*((IFERROR(--MID(AK141,FIND("-",AK141)+1,99),""))=(AX141))),""))</f>
        <v>0</v>
      </c>
      <c r="AM141" s="10" t="s">
        <v>43</v>
      </c>
      <c r="AN141" s="11">
        <f>IF(OR($C141="",AM141=""),"",IFERROR(IF(AND(IFERROR(--LEFT(AM141,FIND("-",AM141)-1),"")=AW141,IFERROR(--MID(AM141,FIND("-",AM141)+1,99),"")=AX141),10,5*(SIGN((IFERROR(--LEFT(AM141,FIND("-",AM141)-1),""))-(IFERROR(--MID(AM141,FIND("-",AM141)+1,99),"")))=SIGN((AW141)-(AX141)))+2*(((IFERROR(--LEFT(AM141,FIND("-",AM141)-1),""))-(IFERROR(--MID(AM141,FIND("-",AM141)+1,99),"")))=((AW141)-(AX141)))+2*((IFERROR(--LEFT(AM141,FIND("-",AM141)-1),""))=(AW141))+2*((IFERROR(--MID(AM141,FIND("-",AM141)+1,99),""))=(AX141))),""))</f>
        <v>2</v>
      </c>
      <c r="AO141" s="10" t="s">
        <v>38</v>
      </c>
      <c r="AP141" s="11">
        <f>IF(OR($C141="",AO141=""),"",IFERROR(IF(AND(IFERROR(--LEFT(AO141,FIND("-",AO141)-1),"")=AW141,IFERROR(--MID(AO141,FIND("-",AO141)+1,99),"")=AX141),10,5*(SIGN((IFERROR(--LEFT(AO141,FIND("-",AO141)-1),""))-(IFERROR(--MID(AO141,FIND("-",AO141)+1,99),"")))=SIGN((AW141)-(AX141)))+2*(((IFERROR(--LEFT(AO141,FIND("-",AO141)-1),""))-(IFERROR(--MID(AO141,FIND("-",AO141)+1,99),"")))=((AW141)-(AX141)))+2*((IFERROR(--LEFT(AO141,FIND("-",AO141)-1),""))=(AW141))+2*((IFERROR(--MID(AO141,FIND("-",AO141)+1,99),""))=(AX141))),""))</f>
        <v>0</v>
      </c>
      <c r="AQ141" s="10" t="s">
        <v>57</v>
      </c>
      <c r="AR141" s="11">
        <f>IF(OR($C141="",AQ141=""),"",IFERROR(IF(AND(IFERROR(--LEFT(AQ141,FIND("-",AQ141)-1),"")=AW141,IFERROR(--MID(AQ141,FIND("-",AQ141)+1,99),"")=AX141),10,5*(SIGN((IFERROR(--LEFT(AQ141,FIND("-",AQ141)-1),""))-(IFERROR(--MID(AQ141,FIND("-",AQ141)+1,99),"")))=SIGN((AW141)-(AX141)))+2*(((IFERROR(--LEFT(AQ141,FIND("-",AQ141)-1),""))-(IFERROR(--MID(AQ141,FIND("-",AQ141)+1,99),"")))=((AW141)-(AX141)))+2*((IFERROR(--LEFT(AQ141,FIND("-",AQ141)-1),""))=(AW141))+2*((IFERROR(--MID(AQ141,FIND("-",AQ141)+1,99),""))=(AX141))),""))</f>
        <v>2</v>
      </c>
      <c r="AS141" s="10" t="s">
        <v>39</v>
      </c>
      <c r="AT141" s="11">
        <f>IF(OR($C141="",AS141=""),"",IFERROR(IF(AND(IFERROR(--LEFT(AS141,FIND("-",AS141)-1),"")=AW141,IFERROR(--MID(AS141,FIND("-",AS141)+1,99),"")=AX141),10,5*(SIGN((IFERROR(--LEFT(AS141,FIND("-",AS141)-1),""))-(IFERROR(--MID(AS141,FIND("-",AS141)+1,99),"")))=SIGN((AW141)-(AX141)))+2*(((IFERROR(--LEFT(AS141,FIND("-",AS141)-1),""))-(IFERROR(--MID(AS141,FIND("-",AS141)+1,99),"")))=((AW141)-(AX141)))+2*((IFERROR(--LEFT(AS141,FIND("-",AS141)-1),""))=(AW141))+2*((IFERROR(--MID(AS141,FIND("-",AS141)+1,99),""))=(AX141))),""))</f>
        <v>2</v>
      </c>
      <c r="AU141" s="10" t="s">
        <v>63</v>
      </c>
      <c r="AV141" s="11">
        <f>IF(OR($C141="",AU141=""),"",IFERROR(IF(AND(IFERROR(--LEFT(AU141,FIND("-",AU141)-1),"")=AW141,IFERROR(--MID(AU141,FIND("-",AU141)+1,99),"")=AX141),10,5*(SIGN((IFERROR(--LEFT(AU141,FIND("-",AU141)-1),""))-(IFERROR(--MID(AU141,FIND("-",AU141)+1,99),"")))=SIGN((AW141)-(AX141)))+2*(((IFERROR(--LEFT(AU141,FIND("-",AU141)-1),""))-(IFERROR(--MID(AU141,FIND("-",AU141)+1,99),"")))=((AW141)-(AX141)))+2*((IFERROR(--LEFT(AU141,FIND("-",AU141)-1),""))=(AW141))+2*((IFERROR(--MID(AU141,FIND("-",AU141)+1,99),""))=(AX141))),""))</f>
        <v>0</v>
      </c>
      <c r="AW141" s="11">
        <f>IF($C141="","",IFERROR(--LEFT($C141,FIND("-",$C141)-1),""))</f>
        <v>1</v>
      </c>
      <c r="AX141" s="11">
        <f>IF($C141="","",IFERROR(--MID($C141,FIND("-",$C141)+1,99),""))</f>
        <v>1</v>
      </c>
    </row>
    <row r="142" spans="1:50" ht="18" customHeight="1" x14ac:dyDescent="0.3">
      <c r="A142" s="9">
        <v>1.145833333333333</v>
      </c>
      <c r="B142" s="18" t="s">
        <v>108</v>
      </c>
      <c r="C142" s="10" t="s">
        <v>39</v>
      </c>
      <c r="D142" s="1" t="s">
        <v>104</v>
      </c>
      <c r="E142" s="10" t="s">
        <v>39</v>
      </c>
      <c r="F142" s="11">
        <f>IF(OR($C142="",E142=""),"",IFERROR(IF(AND(IFERROR(--LEFT(E142,FIND("-",E142)-1),"")=AW142,IFERROR(--MID(E142,FIND("-",E142)+1,99),"")=AX142),10,5*(SIGN((IFERROR(--LEFT(E142,FIND("-",E142)-1),""))-(IFERROR(--MID(E142,FIND("-",E142)+1,99),"")))=SIGN((AW142)-(AX142)))+2*(((IFERROR(--LEFT(E142,FIND("-",E142)-1),""))-(IFERROR(--MID(E142,FIND("-",E142)+1,99),"")))=((AW142)-(AX142)))+2*((IFERROR(--LEFT(E142,FIND("-",E142)-1),""))=(AW142))+2*((IFERROR(--MID(E142,FIND("-",E142)+1,99),""))=(AX142))),""))</f>
        <v>10</v>
      </c>
      <c r="G142" s="10" t="s">
        <v>33</v>
      </c>
      <c r="H142" s="11">
        <f>IF(OR($C142="",G142=""),"",IFERROR(IF(AND(IFERROR(--LEFT(G142,FIND("-",G142)-1),"")=AW142,IFERROR(--MID(G142,FIND("-",G142)+1,99),"")=AX142),10,5*(SIGN((IFERROR(--LEFT(G142,FIND("-",G142)-1),""))-(IFERROR(--MID(G142,FIND("-",G142)+1,99),"")))=SIGN((AW142)-(AX142)))+2*(((IFERROR(--LEFT(G142,FIND("-",G142)-1),""))-(IFERROR(--MID(G142,FIND("-",G142)+1,99),"")))=((AW142)-(AX142)))+2*((IFERROR(--LEFT(G142,FIND("-",G142)-1),""))=(AW142))+2*((IFERROR(--MID(G142,FIND("-",G142)+1,99),""))=(AX142))),""))</f>
        <v>7</v>
      </c>
      <c r="I142" s="10" t="s">
        <v>39</v>
      </c>
      <c r="J142" s="11">
        <f>IF(OR($C142="",I142=""),"",IFERROR(IF(AND(IFERROR(--LEFT(I142,FIND("-",I142)-1),"")=AW142,IFERROR(--MID(I142,FIND("-",I142)+1,99),"")=AX142),10,5*(SIGN((IFERROR(--LEFT(I142,FIND("-",I142)-1),""))-(IFERROR(--MID(I142,FIND("-",I142)+1,99),"")))=SIGN((AW142)-(AX142)))+2*(((IFERROR(--LEFT(I142,FIND("-",I142)-1),""))-(IFERROR(--MID(I142,FIND("-",I142)+1,99),"")))=((AW142)-(AX142)))+2*((IFERROR(--LEFT(I142,FIND("-",I142)-1),""))=(AW142))+2*((IFERROR(--MID(I142,FIND("-",I142)+1,99),""))=(AX142))),""))</f>
        <v>10</v>
      </c>
      <c r="K142" s="10" t="s">
        <v>38</v>
      </c>
      <c r="L142" s="11">
        <f>IF(OR($C142="",K142=""),"",IFERROR(IF(AND(IFERROR(--LEFT(K142,FIND("-",K142)-1),"")=AW142,IFERROR(--MID(K142,FIND("-",K142)+1,99),"")=AX142),10,5*(SIGN((IFERROR(--LEFT(K142,FIND("-",K142)-1),""))-(IFERROR(--MID(K142,FIND("-",K142)+1,99),"")))=SIGN((AW142)-(AX142)))+2*(((IFERROR(--LEFT(K142,FIND("-",K142)-1),""))-(IFERROR(--MID(K142,FIND("-",K142)+1,99),"")))=((AW142)-(AX142)))+2*((IFERROR(--LEFT(K142,FIND("-",K142)-1),""))=(AW142))+2*((IFERROR(--MID(K142,FIND("-",K142)+1,99),""))=(AX142))),""))</f>
        <v>7</v>
      </c>
      <c r="M142" s="10" t="s">
        <v>37</v>
      </c>
      <c r="N142" s="11">
        <f>IF(OR($C142="",M142=""),"",IFERROR(IF(AND(IFERROR(--LEFT(M142,FIND("-",M142)-1),"")=AW142,IFERROR(--MID(M142,FIND("-",M142)+1,99),"")=AX142),10,5*(SIGN((IFERROR(--LEFT(M142,FIND("-",M142)-1),""))-(IFERROR(--MID(M142,FIND("-",M142)+1,99),"")))=SIGN((AW142)-(AX142)))+2*(((IFERROR(--LEFT(M142,FIND("-",M142)-1),""))-(IFERROR(--MID(M142,FIND("-",M142)+1,99),"")))=((AW142)-(AX142)))+2*((IFERROR(--LEFT(M142,FIND("-",M142)-1),""))=(AW142))+2*((IFERROR(--MID(M142,FIND("-",M142)+1,99),""))=(AX142))),""))</f>
        <v>2</v>
      </c>
      <c r="O142" s="10" t="s">
        <v>33</v>
      </c>
      <c r="P142" s="11">
        <f>IF(OR($C142="",O142=""),"",IFERROR(IF(AND(IFERROR(--LEFT(O142,FIND("-",O142)-1),"")=AW142,IFERROR(--MID(O142,FIND("-",O142)+1,99),"")=AX142),10,5*(SIGN((IFERROR(--LEFT(O142,FIND("-",O142)-1),""))-(IFERROR(--MID(O142,FIND("-",O142)+1,99),"")))=SIGN((AW142)-(AX142)))+2*(((IFERROR(--LEFT(O142,FIND("-",O142)-1),""))-(IFERROR(--MID(O142,FIND("-",O142)+1,99),"")))=((AW142)-(AX142)))+2*((IFERROR(--LEFT(O142,FIND("-",O142)-1),""))=(AW142))+2*((IFERROR(--MID(O142,FIND("-",O142)+1,99),""))=(AX142))),""))</f>
        <v>7</v>
      </c>
      <c r="Q142" s="10" t="s">
        <v>123</v>
      </c>
      <c r="R142" s="11">
        <f>IF(OR($C142="",Q142=""),"",IFERROR(IF(AND(IFERROR(--LEFT(Q142,FIND("-",Q142)-1),"")=AW142,IFERROR(--MID(Q142,FIND("-",Q142)+1,99),"")=AX142),10,5*(SIGN((IFERROR(--LEFT(Q142,FIND("-",Q142)-1),""))-(IFERROR(--MID(Q142,FIND("-",Q142)+1,99),"")))=SIGN((AW142)-(AX142)))+2*(((IFERROR(--LEFT(Q142,FIND("-",Q142)-1),""))-(IFERROR(--MID(Q142,FIND("-",Q142)+1,99),"")))=((AW142)-(AX142)))+2*((IFERROR(--LEFT(Q142,FIND("-",Q142)-1),""))=(AW142))+2*((IFERROR(--MID(Q142,FIND("-",Q142)+1,99),""))=(AX142))),""))</f>
        <v>0</v>
      </c>
      <c r="S142" s="10" t="s">
        <v>45</v>
      </c>
      <c r="T142" s="11">
        <f>IF(OR($C142="",S142=""),"",IFERROR(IF(AND(IFERROR(--LEFT(S142,FIND("-",S142)-1),"")=AW142,IFERROR(--MID(S142,FIND("-",S142)+1,99),"")=AX142),10,5*(SIGN((IFERROR(--LEFT(S142,FIND("-",S142)-1),""))-(IFERROR(--MID(S142,FIND("-",S142)+1,99),"")))=SIGN((AW142)-(AX142)))+2*(((IFERROR(--LEFT(S142,FIND("-",S142)-1),""))-(IFERROR(--MID(S142,FIND("-",S142)+1,99),"")))=((AW142)-(AX142)))+2*((IFERROR(--LEFT(S142,FIND("-",S142)-1),""))=(AW142))+2*((IFERROR(--MID(S142,FIND("-",S142)+1,99),""))=(AX142))),""))</f>
        <v>0</v>
      </c>
      <c r="U142" s="10" t="s">
        <v>36</v>
      </c>
      <c r="V142" s="11">
        <f>IF(OR($C142="",U142=""),"",IFERROR(IF(AND(IFERROR(--LEFT(U142,FIND("-",U142)-1),"")=AW142,IFERROR(--MID(U142,FIND("-",U142)+1,99),"")=AX142),10,5*(SIGN((IFERROR(--LEFT(U142,FIND("-",U142)-1),""))-(IFERROR(--MID(U142,FIND("-",U142)+1,99),"")))=SIGN((AW142)-(AX142)))+2*(((IFERROR(--LEFT(U142,FIND("-",U142)-1),""))-(IFERROR(--MID(U142,FIND("-",U142)+1,99),"")))=((AW142)-(AX142)))+2*((IFERROR(--LEFT(U142,FIND("-",U142)-1),""))=(AW142))+2*((IFERROR(--MID(U142,FIND("-",U142)+1,99),""))=(AX142))),""))</f>
        <v>7</v>
      </c>
      <c r="W142" s="10" t="s">
        <v>36</v>
      </c>
      <c r="X142" s="11">
        <f>IF(OR($C142="",W142=""),"",IFERROR(IF(AND(IFERROR(--LEFT(W142,FIND("-",W142)-1),"")=AW142,IFERROR(--MID(W142,FIND("-",W142)+1,99),"")=AX142),10,5*(SIGN((IFERROR(--LEFT(W142,FIND("-",W142)-1),""))-(IFERROR(--MID(W142,FIND("-",W142)+1,99),"")))=SIGN((AW142)-(AX142)))+2*(((IFERROR(--LEFT(W142,FIND("-",W142)-1),""))-(IFERROR(--MID(W142,FIND("-",W142)+1,99),"")))=((AW142)-(AX142)))+2*((IFERROR(--LEFT(W142,FIND("-",W142)-1),""))=(AW142))+2*((IFERROR(--MID(W142,FIND("-",W142)+1,99),""))=(AX142))),""))</f>
        <v>7</v>
      </c>
      <c r="Y142" s="10" t="s">
        <v>37</v>
      </c>
      <c r="Z142" s="11">
        <f>IF(OR($C142="",Y142=""),"",IFERROR(IF(AND(IFERROR(--LEFT(Y142,FIND("-",Y142)-1),"")=AW142,IFERROR(--MID(Y142,FIND("-",Y142)+1,99),"")=AX142),10,5*(SIGN((IFERROR(--LEFT(Y142,FIND("-",Y142)-1),""))-(IFERROR(--MID(Y142,FIND("-",Y142)+1,99),"")))=SIGN((AW142)-(AX142)))+2*(((IFERROR(--LEFT(Y142,FIND("-",Y142)-1),""))-(IFERROR(--MID(Y142,FIND("-",Y142)+1,99),"")))=((AW142)-(AX142)))+2*((IFERROR(--LEFT(Y142,FIND("-",Y142)-1),""))=(AW142))+2*((IFERROR(--MID(Y142,FIND("-",Y142)+1,99),""))=(AX142))),""))</f>
        <v>2</v>
      </c>
      <c r="AA142" s="10" t="s">
        <v>57</v>
      </c>
      <c r="AB142" s="11">
        <f>IF(OR($C142="",AA142=""),"",IFERROR(IF(AND(IFERROR(--LEFT(AA142,FIND("-",AA142)-1),"")=AW142,IFERROR(--MID(AA142,FIND("-",AA142)+1,99),"")=AX142),10,5*(SIGN((IFERROR(--LEFT(AA142,FIND("-",AA142)-1),""))-(IFERROR(--MID(AA142,FIND("-",AA142)+1,99),"")))=SIGN((AW142)-(AX142)))+2*(((IFERROR(--LEFT(AA142,FIND("-",AA142)-1),""))-(IFERROR(--MID(AA142,FIND("-",AA142)+1,99),"")))=((AW142)-(AX142)))+2*((IFERROR(--LEFT(AA142,FIND("-",AA142)-1),""))=(AW142))+2*((IFERROR(--MID(AA142,FIND("-",AA142)+1,99),""))=(AX142))),""))</f>
        <v>2</v>
      </c>
      <c r="AC142" s="10" t="s">
        <v>33</v>
      </c>
      <c r="AD142" s="11">
        <f>IF(OR($C142="",AC142=""),"",IFERROR(IF(AND(IFERROR(--LEFT(AC142,FIND("-",AC142)-1),"")=AW142,IFERROR(--MID(AC142,FIND("-",AC142)+1,99),"")=AX142),10,5*(SIGN((IFERROR(--LEFT(AC142,FIND("-",AC142)-1),""))-(IFERROR(--MID(AC142,FIND("-",AC142)+1,99),"")))=SIGN((AW142)-(AX142)))+2*(((IFERROR(--LEFT(AC142,FIND("-",AC142)-1),""))-(IFERROR(--MID(AC142,FIND("-",AC142)+1,99),"")))=((AW142)-(AX142)))+2*((IFERROR(--LEFT(AC142,FIND("-",AC142)-1),""))=(AW142))+2*((IFERROR(--MID(AC142,FIND("-",AC142)+1,99),""))=(AX142))),""))</f>
        <v>7</v>
      </c>
      <c r="AE142" s="10" t="s">
        <v>33</v>
      </c>
      <c r="AF142" s="11">
        <f>IF(OR($C142="",AE142=""),"",IFERROR(IF(AND(IFERROR(--LEFT(AE142,FIND("-",AE142)-1),"")=AW142,IFERROR(--MID(AE142,FIND("-",AE142)+1,99),"")=AX142),10,5*(SIGN((IFERROR(--LEFT(AE142,FIND("-",AE142)-1),""))-(IFERROR(--MID(AE142,FIND("-",AE142)+1,99),"")))=SIGN((AW142)-(AX142)))+2*(((IFERROR(--LEFT(AE142,FIND("-",AE142)-1),""))-(IFERROR(--MID(AE142,FIND("-",AE142)+1,99),"")))=((AW142)-(AX142)))+2*((IFERROR(--LEFT(AE142,FIND("-",AE142)-1),""))=(AW142))+2*((IFERROR(--MID(AE142,FIND("-",AE142)+1,99),""))=(AX142))),""))</f>
        <v>7</v>
      </c>
      <c r="AG142" s="10" t="s">
        <v>33</v>
      </c>
      <c r="AH142" s="11">
        <f>IF(OR($C142="",AG142=""),"",IFERROR(IF(AND(IFERROR(--LEFT(AG142,FIND("-",AG142)-1),"")=AW142,IFERROR(--MID(AG142,FIND("-",AG142)+1,99),"")=AX142),10,5*(SIGN((IFERROR(--LEFT(AG142,FIND("-",AG142)-1),""))-(IFERROR(--MID(AG142,FIND("-",AG142)+1,99),"")))=SIGN((AW142)-(AX142)))+2*(((IFERROR(--LEFT(AG142,FIND("-",AG142)-1),""))-(IFERROR(--MID(AG142,FIND("-",AG142)+1,99),"")))=((AW142)-(AX142)))+2*((IFERROR(--LEFT(AG142,FIND("-",AG142)-1),""))=(AW142))+2*((IFERROR(--MID(AG142,FIND("-",AG142)+1,99),""))=(AX142))),""))</f>
        <v>7</v>
      </c>
      <c r="AI142" s="10" t="s">
        <v>36</v>
      </c>
      <c r="AJ142" s="11">
        <f>IF(OR($C142="",AI142=""),"",IFERROR(IF(AND(IFERROR(--LEFT(AI142,FIND("-",AI142)-1),"")=AW142,IFERROR(--MID(AI142,FIND("-",AI142)+1,99),"")=AX142),10,5*(SIGN((IFERROR(--LEFT(AI142,FIND("-",AI142)-1),""))-(IFERROR(--MID(AI142,FIND("-",AI142)+1,99),"")))=SIGN((AW142)-(AX142)))+2*(((IFERROR(--LEFT(AI142,FIND("-",AI142)-1),""))-(IFERROR(--MID(AI142,FIND("-",AI142)+1,99),"")))=((AW142)-(AX142)))+2*((IFERROR(--LEFT(AI142,FIND("-",AI142)-1),""))=(AW142))+2*((IFERROR(--MID(AI142,FIND("-",AI142)+1,99),""))=(AX142))),""))</f>
        <v>7</v>
      </c>
      <c r="AK142" s="10" t="s">
        <v>39</v>
      </c>
      <c r="AL142" s="11">
        <f>IF(OR($C142="",AK142=""),"",IFERROR(IF(AND(IFERROR(--LEFT(AK142,FIND("-",AK142)-1),"")=AW142,IFERROR(--MID(AK142,FIND("-",AK142)+1,99),"")=AX142),10,5*(SIGN((IFERROR(--LEFT(AK142,FIND("-",AK142)-1),""))-(IFERROR(--MID(AK142,FIND("-",AK142)+1,99),"")))=SIGN((AW142)-(AX142)))+2*(((IFERROR(--LEFT(AK142,FIND("-",AK142)-1),""))-(IFERROR(--MID(AK142,FIND("-",AK142)+1,99),"")))=((AW142)-(AX142)))+2*((IFERROR(--LEFT(AK142,FIND("-",AK142)-1),""))=(AW142))+2*((IFERROR(--MID(AK142,FIND("-",AK142)+1,99),""))=(AX142))),""))</f>
        <v>10</v>
      </c>
      <c r="AM142" s="10" t="s">
        <v>34</v>
      </c>
      <c r="AN142" s="11">
        <f>IF(OR($C142="",AM142=""),"",IFERROR(IF(AND(IFERROR(--LEFT(AM142,FIND("-",AM142)-1),"")=AW142,IFERROR(--MID(AM142,FIND("-",AM142)+1,99),"")=AX142),10,5*(SIGN((IFERROR(--LEFT(AM142,FIND("-",AM142)-1),""))-(IFERROR(--MID(AM142,FIND("-",AM142)+1,99),"")))=SIGN((AW142)-(AX142)))+2*(((IFERROR(--LEFT(AM142,FIND("-",AM142)-1),""))-(IFERROR(--MID(AM142,FIND("-",AM142)+1,99),"")))=((AW142)-(AX142)))+2*((IFERROR(--LEFT(AM142,FIND("-",AM142)-1),""))=(AW142))+2*((IFERROR(--MID(AM142,FIND("-",AM142)+1,99),""))=(AX142))),""))</f>
        <v>5</v>
      </c>
      <c r="AO142" s="10" t="s">
        <v>39</v>
      </c>
      <c r="AP142" s="11">
        <f>IF(OR($C142="",AO142=""),"",IFERROR(IF(AND(IFERROR(--LEFT(AO142,FIND("-",AO142)-1),"")=AW142,IFERROR(--MID(AO142,FIND("-",AO142)+1,99),"")=AX142),10,5*(SIGN((IFERROR(--LEFT(AO142,FIND("-",AO142)-1),""))-(IFERROR(--MID(AO142,FIND("-",AO142)+1,99),"")))=SIGN((AW142)-(AX142)))+2*(((IFERROR(--LEFT(AO142,FIND("-",AO142)-1),""))-(IFERROR(--MID(AO142,FIND("-",AO142)+1,99),"")))=((AW142)-(AX142)))+2*((IFERROR(--LEFT(AO142,FIND("-",AO142)-1),""))=(AW142))+2*((IFERROR(--MID(AO142,FIND("-",AO142)+1,99),""))=(AX142))),""))</f>
        <v>10</v>
      </c>
      <c r="AQ142" s="10" t="s">
        <v>34</v>
      </c>
      <c r="AR142" s="11">
        <f>IF(OR($C142="",AQ142=""),"",IFERROR(IF(AND(IFERROR(--LEFT(AQ142,FIND("-",AQ142)-1),"")=AW142,IFERROR(--MID(AQ142,FIND("-",AQ142)+1,99),"")=AX142),10,5*(SIGN((IFERROR(--LEFT(AQ142,FIND("-",AQ142)-1),""))-(IFERROR(--MID(AQ142,FIND("-",AQ142)+1,99),"")))=SIGN((AW142)-(AX142)))+2*(((IFERROR(--LEFT(AQ142,FIND("-",AQ142)-1),""))-(IFERROR(--MID(AQ142,FIND("-",AQ142)+1,99),"")))=((AW142)-(AX142)))+2*((IFERROR(--LEFT(AQ142,FIND("-",AQ142)-1),""))=(AW142))+2*((IFERROR(--MID(AQ142,FIND("-",AQ142)+1,99),""))=(AX142))),""))</f>
        <v>5</v>
      </c>
      <c r="AS142" s="10" t="s">
        <v>45</v>
      </c>
      <c r="AT142" s="11">
        <f>IF(OR($C142="",AS142=""),"",IFERROR(IF(AND(IFERROR(--LEFT(AS142,FIND("-",AS142)-1),"")=AW142,IFERROR(--MID(AS142,FIND("-",AS142)+1,99),"")=AX142),10,5*(SIGN((IFERROR(--LEFT(AS142,FIND("-",AS142)-1),""))-(IFERROR(--MID(AS142,FIND("-",AS142)+1,99),"")))=SIGN((AW142)-(AX142)))+2*(((IFERROR(--LEFT(AS142,FIND("-",AS142)-1),""))-(IFERROR(--MID(AS142,FIND("-",AS142)+1,99),"")))=((AW142)-(AX142)))+2*((IFERROR(--LEFT(AS142,FIND("-",AS142)-1),""))=(AW142))+2*((IFERROR(--MID(AS142,FIND("-",AS142)+1,99),""))=(AX142))),""))</f>
        <v>0</v>
      </c>
      <c r="AU142" s="10" t="s">
        <v>37</v>
      </c>
      <c r="AV142" s="11">
        <f>IF(OR($C142="",AU142=""),"",IFERROR(IF(AND(IFERROR(--LEFT(AU142,FIND("-",AU142)-1),"")=AW142,IFERROR(--MID(AU142,FIND("-",AU142)+1,99),"")=AX142),10,5*(SIGN((IFERROR(--LEFT(AU142,FIND("-",AU142)-1),""))-(IFERROR(--MID(AU142,FIND("-",AU142)+1,99),"")))=SIGN((AW142)-(AX142)))+2*(((IFERROR(--LEFT(AU142,FIND("-",AU142)-1),""))-(IFERROR(--MID(AU142,FIND("-",AU142)+1,99),"")))=((AW142)-(AX142)))+2*((IFERROR(--LEFT(AU142,FIND("-",AU142)-1),""))=(AW142))+2*((IFERROR(--MID(AU142,FIND("-",AU142)+1,99),""))=(AX142))),""))</f>
        <v>2</v>
      </c>
      <c r="AW142" s="11">
        <f>IF($C142="","",IFERROR(--LEFT($C142,FIND("-",$C142)-1),""))</f>
        <v>1</v>
      </c>
      <c r="AX142" s="11">
        <f>IF($C142="","",IFERROR(--MID($C142,FIND("-",$C142)+1,99),""))</f>
        <v>0</v>
      </c>
    </row>
    <row r="143" spans="1:50" ht="18" customHeight="1" x14ac:dyDescent="0.3">
      <c r="A143" s="12"/>
      <c r="B143" s="18"/>
      <c r="C143" s="13"/>
      <c r="D143" s="1"/>
      <c r="E143" s="22"/>
      <c r="F143" s="12"/>
      <c r="G143" s="22"/>
      <c r="H143" s="12"/>
      <c r="I143" s="22"/>
      <c r="J143" s="12"/>
      <c r="K143" s="22"/>
      <c r="L143" s="12"/>
      <c r="M143" s="22"/>
      <c r="N143" s="12"/>
      <c r="O143" s="22"/>
      <c r="P143" s="12"/>
      <c r="Q143" s="22"/>
      <c r="R143" s="12"/>
      <c r="S143" s="22"/>
      <c r="T143" s="12"/>
      <c r="U143" s="13"/>
      <c r="V143" s="12"/>
      <c r="W143" s="22"/>
      <c r="X143" s="12"/>
      <c r="Y143" s="22"/>
      <c r="Z143" s="12"/>
      <c r="AA143" s="22"/>
      <c r="AB143" s="12"/>
      <c r="AC143" s="22"/>
      <c r="AD143" s="12"/>
      <c r="AE143" s="22"/>
      <c r="AF143" s="12"/>
      <c r="AG143" s="22"/>
      <c r="AH143" s="12"/>
      <c r="AI143" s="22"/>
      <c r="AJ143" s="12"/>
      <c r="AK143" s="22"/>
      <c r="AL143" s="12"/>
      <c r="AM143" s="22"/>
      <c r="AN143" s="12"/>
      <c r="AO143" s="22"/>
      <c r="AP143" s="12"/>
      <c r="AQ143" s="22"/>
      <c r="AR143" s="12" t="str">
        <f>IF(OR($C143="",AQ143=""),"",IFERROR(IF(AND(IFERROR(--LEFT(AQ143,FIND("-",AQ143)-1),"")=AW143,IFERROR(--MID(AQ143,FIND("-",AQ143)+1,99),"")=AX143),10,5*(SIGN((IFERROR(--LEFT(AQ143,FIND("-",AQ143)-1),""))-(IFERROR(--MID(AQ143,FIND("-",AQ143)+1,99),"")))=SIGN((AW143)-(AX143)))+2*(((IFERROR(--LEFT(AQ143,FIND("-",AQ143)-1),""))-(IFERROR(--MID(AQ143,FIND("-",AQ143)+1,99),"")))=((AW143)-(AX143)))+2*((IFERROR(--LEFT(AQ143,FIND("-",AQ143)-1),""))=(AW143))+2*((IFERROR(--MID(AQ143,FIND("-",AQ143)+1,99),""))=(AX143))),""))</f>
        <v/>
      </c>
      <c r="AS143" s="22"/>
      <c r="AT143" s="12" t="str">
        <f>IF(OR($C143="",AS143=""),"",IFERROR(IF(AND(IFERROR(--LEFT(AS143,FIND("-",AS143)-1),"")=AW143,IFERROR(--MID(AS143,FIND("-",AS143)+1,99),"")=AX143),10,5*(SIGN((IFERROR(--LEFT(AS143,FIND("-",AS143)-1),""))-(IFERROR(--MID(AS143,FIND("-",AS143)+1,99),"")))=SIGN((AW143)-(AX143)))+2*(((IFERROR(--LEFT(AS143,FIND("-",AS143)-1),""))-(IFERROR(--MID(AS143,FIND("-",AS143)+1,99),"")))=((AW143)-(AX143)))+2*((IFERROR(--LEFT(AS143,FIND("-",AS143)-1),""))=(AW143))+2*((IFERROR(--MID(AS143,FIND("-",AS143)+1,99),""))=(AX143))),""))</f>
        <v/>
      </c>
      <c r="AU143" s="22"/>
      <c r="AV143" s="12"/>
      <c r="AW143" s="12"/>
      <c r="AX143" s="12"/>
    </row>
    <row r="144" spans="1:50" ht="18" customHeight="1" x14ac:dyDescent="0.3">
      <c r="A144" s="12"/>
      <c r="B144" s="18"/>
      <c r="C144" s="13"/>
      <c r="D144" s="1"/>
      <c r="E144" s="22"/>
      <c r="F144" s="12"/>
      <c r="G144" s="22"/>
      <c r="H144" s="12"/>
      <c r="I144" s="22"/>
      <c r="J144" s="12"/>
      <c r="K144" s="22"/>
      <c r="L144" s="12"/>
      <c r="M144" s="22"/>
      <c r="N144" s="12"/>
      <c r="O144" s="22"/>
      <c r="P144" s="12"/>
      <c r="Q144" s="22"/>
      <c r="R144" s="12"/>
      <c r="S144" s="22"/>
      <c r="T144" s="12"/>
      <c r="U144" s="13"/>
      <c r="V144" s="12"/>
      <c r="W144" s="22"/>
      <c r="X144" s="12"/>
      <c r="Y144" s="22"/>
      <c r="Z144" s="12"/>
      <c r="AA144" s="22"/>
      <c r="AB144" s="12"/>
      <c r="AC144" s="22"/>
      <c r="AD144" s="12"/>
      <c r="AE144" s="22"/>
      <c r="AF144" s="12"/>
      <c r="AG144" s="22"/>
      <c r="AH144" s="12"/>
      <c r="AI144" s="22"/>
      <c r="AJ144" s="12"/>
      <c r="AK144" s="22"/>
      <c r="AL144" s="12"/>
      <c r="AM144" s="22"/>
      <c r="AN144" s="12"/>
      <c r="AO144" s="22"/>
      <c r="AP144" s="12"/>
      <c r="AQ144" s="22"/>
      <c r="AR144" s="12" t="str">
        <f>IF(OR($C144="",AQ144=""),"",IFERROR(IF(AND(IFERROR(--LEFT(AQ144,FIND("-",AQ144)-1),"")=AW144,IFERROR(--MID(AQ144,FIND("-",AQ144)+1,99),"")=AX144),10,5*(SIGN((IFERROR(--LEFT(AQ144,FIND("-",AQ144)-1),""))-(IFERROR(--MID(AQ144,FIND("-",AQ144)+1,99),"")))=SIGN((AW144)-(AX144)))+2*(((IFERROR(--LEFT(AQ144,FIND("-",AQ144)-1),""))-(IFERROR(--MID(AQ144,FIND("-",AQ144)+1,99),"")))=((AW144)-(AX144)))+2*((IFERROR(--LEFT(AQ144,FIND("-",AQ144)-1),""))=(AW144))+2*((IFERROR(--MID(AQ144,FIND("-",AQ144)+1,99),""))=(AX144))),""))</f>
        <v/>
      </c>
      <c r="AS144" s="22"/>
      <c r="AT144" s="12" t="str">
        <f>IF(OR($C144="",AS144=""),"",IFERROR(IF(AND(IFERROR(--LEFT(AS144,FIND("-",AS144)-1),"")=AW144,IFERROR(--MID(AS144,FIND("-",AS144)+1,99),"")=AX144),10,5*(SIGN((IFERROR(--LEFT(AS144,FIND("-",AS144)-1),""))-(IFERROR(--MID(AS144,FIND("-",AS144)+1,99),"")))=SIGN((AW144)-(AX144)))+2*(((IFERROR(--LEFT(AS144,FIND("-",AS144)-1),""))-(IFERROR(--MID(AS144,FIND("-",AS144)+1,99),"")))=((AW144)-(AX144)))+2*((IFERROR(--LEFT(AS144,FIND("-",AS144)-1),""))=(AW144))+2*((IFERROR(--MID(AS144,FIND("-",AS144)+1,99),""))=(AX144))),""))</f>
        <v/>
      </c>
      <c r="AU144" s="22"/>
      <c r="AV144" s="12"/>
      <c r="AW144" s="12"/>
      <c r="AX144" s="12"/>
    </row>
    <row r="145" spans="1:50" ht="20.100000000000001" customHeight="1" x14ac:dyDescent="0.3">
      <c r="A145" s="41" t="s">
        <v>135</v>
      </c>
      <c r="B145" s="37"/>
      <c r="C145" s="38"/>
      <c r="D145" s="37"/>
      <c r="E145" s="38"/>
      <c r="F145" s="37"/>
      <c r="G145" s="38"/>
      <c r="H145" s="37"/>
      <c r="I145" s="38"/>
      <c r="J145" s="37"/>
      <c r="K145" s="38"/>
      <c r="L145" s="37"/>
      <c r="M145" s="38"/>
      <c r="N145" s="37"/>
      <c r="O145" s="38"/>
      <c r="P145" s="37"/>
      <c r="Q145" s="38"/>
      <c r="R145" s="37"/>
      <c r="S145" s="38"/>
      <c r="T145" s="37"/>
      <c r="U145" s="38"/>
      <c r="V145" s="37"/>
      <c r="W145" s="38"/>
      <c r="X145" s="37"/>
      <c r="Y145" s="38"/>
      <c r="Z145" s="37"/>
      <c r="AA145" s="38"/>
      <c r="AB145" s="37"/>
      <c r="AC145" s="38"/>
      <c r="AD145" s="37"/>
      <c r="AE145" s="38"/>
      <c r="AF145" s="37"/>
      <c r="AG145" s="38"/>
      <c r="AH145" s="37"/>
      <c r="AI145" s="38"/>
      <c r="AJ145" s="37"/>
      <c r="AK145" s="38"/>
      <c r="AL145" s="37"/>
      <c r="AM145" s="38"/>
      <c r="AN145" s="37"/>
      <c r="AO145" s="38"/>
      <c r="AP145" s="37"/>
      <c r="AQ145" s="37"/>
      <c r="AR145" s="37"/>
      <c r="AS145" s="37"/>
      <c r="AT145" s="37"/>
      <c r="AU145" s="38"/>
      <c r="AV145" s="39"/>
      <c r="AW145" s="7"/>
      <c r="AX145" s="7"/>
    </row>
    <row r="146" spans="1:50" ht="20.100000000000001" customHeight="1" x14ac:dyDescent="0.3">
      <c r="A146" s="36" t="s">
        <v>134</v>
      </c>
      <c r="B146" s="37"/>
      <c r="C146" s="38"/>
      <c r="D146" s="37"/>
      <c r="E146" s="38"/>
      <c r="F146" s="37"/>
      <c r="G146" s="38"/>
      <c r="H146" s="37"/>
      <c r="I146" s="38"/>
      <c r="J146" s="37"/>
      <c r="K146" s="38"/>
      <c r="L146" s="37"/>
      <c r="M146" s="38"/>
      <c r="N146" s="37"/>
      <c r="O146" s="38"/>
      <c r="P146" s="37"/>
      <c r="Q146" s="38"/>
      <c r="R146" s="37"/>
      <c r="S146" s="38"/>
      <c r="T146" s="37"/>
      <c r="U146" s="38"/>
      <c r="V146" s="37"/>
      <c r="W146" s="38"/>
      <c r="X146" s="37"/>
      <c r="Y146" s="38"/>
      <c r="Z146" s="37"/>
      <c r="AA146" s="38"/>
      <c r="AB146" s="37"/>
      <c r="AC146" s="38"/>
      <c r="AD146" s="37"/>
      <c r="AE146" s="38"/>
      <c r="AF146" s="37"/>
      <c r="AG146" s="38"/>
      <c r="AH146" s="37"/>
      <c r="AI146" s="38"/>
      <c r="AJ146" s="37"/>
      <c r="AK146" s="38"/>
      <c r="AL146" s="37"/>
      <c r="AM146" s="38"/>
      <c r="AN146" s="37"/>
      <c r="AO146" s="38"/>
      <c r="AP146" s="37"/>
      <c r="AQ146" s="37"/>
      <c r="AR146" s="37"/>
      <c r="AS146" s="37"/>
      <c r="AT146" s="37"/>
      <c r="AU146" s="38"/>
      <c r="AV146" s="39"/>
      <c r="AW146" s="8"/>
      <c r="AX146" s="8"/>
    </row>
    <row r="147" spans="1:50" ht="18" customHeight="1" x14ac:dyDescent="0.3">
      <c r="A147" s="9">
        <v>1.791666666666667</v>
      </c>
      <c r="B147" s="18" t="s">
        <v>46</v>
      </c>
      <c r="C147" s="10" t="s">
        <v>56</v>
      </c>
      <c r="D147" s="1" t="s">
        <v>60</v>
      </c>
      <c r="E147" s="10" t="s">
        <v>33</v>
      </c>
      <c r="F147" s="11">
        <f>IF(OR($C147="",E147=""),"",IFERROR(IF(AND(IFERROR(--LEFT(E147,FIND("-",E147)-1),"")=AW147,IFERROR(--MID(E147,FIND("-",E147)+1,99),"")=AX147),10,5*(SIGN((IFERROR(--LEFT(E147,FIND("-",E147)-1),""))-(IFERROR(--MID(E147,FIND("-",E147)+1,99),"")))=SIGN((AW147)-(AX147)))+2*(((IFERROR(--LEFT(E147,FIND("-",E147)-1),""))-(IFERROR(--MID(E147,FIND("-",E147)+1,99),"")))=((AW147)-(AX147)))+2*((IFERROR(--LEFT(E147,FIND("-",E147)-1),""))=(AW147))+2*((IFERROR(--MID(E147,FIND("-",E147)+1,99),""))=(AX147))),""))</f>
        <v>0</v>
      </c>
      <c r="G147" s="10" t="s">
        <v>35</v>
      </c>
      <c r="H147" s="11">
        <f>IF(OR($C147="",G147=""),"",IFERROR(IF(AND(IFERROR(--LEFT(G147,FIND("-",G147)-1),"")=AW147,IFERROR(--MID(G147,FIND("-",G147)+1,99),"")=AX147),10,5*(SIGN((IFERROR(--LEFT(G147,FIND("-",G147)-1),""))-(IFERROR(--MID(G147,FIND("-",G147)+1,99),"")))=SIGN((AW147)-(AX147)))+2*(((IFERROR(--LEFT(G147,FIND("-",G147)-1),""))-(IFERROR(--MID(G147,FIND("-",G147)+1,99),"")))=((AW147)-(AX147)))+2*((IFERROR(--LEFT(G147,FIND("-",G147)-1),""))=(AW147))+2*((IFERROR(--MID(G147,FIND("-",G147)+1,99),""))=(AX147))),""))</f>
        <v>0</v>
      </c>
      <c r="I147" s="10" t="s">
        <v>35</v>
      </c>
      <c r="J147" s="11">
        <f>IF(OR($C147="",I147=""),"",IFERROR(IF(AND(IFERROR(--LEFT(I147,FIND("-",I147)-1),"")=AW147,IFERROR(--MID(I147,FIND("-",I147)+1,99),"")=AX147),10,5*(SIGN((IFERROR(--LEFT(I147,FIND("-",I147)-1),""))-(IFERROR(--MID(I147,FIND("-",I147)+1,99),"")))=SIGN((AW147)-(AX147)))+2*(((IFERROR(--LEFT(I147,FIND("-",I147)-1),""))-(IFERROR(--MID(I147,FIND("-",I147)+1,99),"")))=((AW147)-(AX147)))+2*((IFERROR(--LEFT(I147,FIND("-",I147)-1),""))=(AW147))+2*((IFERROR(--MID(I147,FIND("-",I147)+1,99),""))=(AX147))),""))</f>
        <v>0</v>
      </c>
      <c r="K147" s="10" t="s">
        <v>50</v>
      </c>
      <c r="L147" s="11">
        <f>IF(OR($C147="",K147=""),"",IFERROR(IF(AND(IFERROR(--LEFT(K147,FIND("-",K147)-1),"")=AW147,IFERROR(--MID(K147,FIND("-",K147)+1,99),"")=AX147),10,5*(SIGN((IFERROR(--LEFT(K147,FIND("-",K147)-1),""))-(IFERROR(--MID(K147,FIND("-",K147)+1,99),"")))=SIGN((AW147)-(AX147)))+2*(((IFERROR(--LEFT(K147,FIND("-",K147)-1),""))-(IFERROR(--MID(K147,FIND("-",K147)+1,99),"")))=((AW147)-(AX147)))+2*((IFERROR(--LEFT(K147,FIND("-",K147)-1),""))=(AW147))+2*((IFERROR(--MID(K147,FIND("-",K147)+1,99),""))=(AX147))),""))</f>
        <v>2</v>
      </c>
      <c r="M147" s="10" t="s">
        <v>57</v>
      </c>
      <c r="N147" s="11">
        <f>IF(OR($C147="",M147=""),"",IFERROR(IF(AND(IFERROR(--LEFT(M147,FIND("-",M147)-1),"")=AW147,IFERROR(--MID(M147,FIND("-",M147)+1,99),"")=AX147),10,5*(SIGN((IFERROR(--LEFT(M147,FIND("-",M147)-1),""))-(IFERROR(--MID(M147,FIND("-",M147)+1,99),"")))=SIGN((AW147)-(AX147)))+2*(((IFERROR(--LEFT(M147,FIND("-",M147)-1),""))-(IFERROR(--MID(M147,FIND("-",M147)+1,99),"")))=((AW147)-(AX147)))+2*((IFERROR(--LEFT(M147,FIND("-",M147)-1),""))=(AW147))+2*((IFERROR(--MID(M147,FIND("-",M147)+1,99),""))=(AX147))),""))</f>
        <v>7</v>
      </c>
      <c r="O147" s="10" t="s">
        <v>57</v>
      </c>
      <c r="P147" s="11">
        <f>IF(OR($C147="",O147=""),"",IFERROR(IF(AND(IFERROR(--LEFT(O147,FIND("-",O147)-1),"")=AW147,IFERROR(--MID(O147,FIND("-",O147)+1,99),"")=AX147),10,5*(SIGN((IFERROR(--LEFT(O147,FIND("-",O147)-1),""))-(IFERROR(--MID(O147,FIND("-",O147)+1,99),"")))=SIGN((AW147)-(AX147)))+2*(((IFERROR(--LEFT(O147,FIND("-",O147)-1),""))-(IFERROR(--MID(O147,FIND("-",O147)+1,99),"")))=((AW147)-(AX147)))+2*((IFERROR(--LEFT(O147,FIND("-",O147)-1),""))=(AW147))+2*((IFERROR(--MID(O147,FIND("-",O147)+1,99),""))=(AX147))),""))</f>
        <v>7</v>
      </c>
      <c r="Q147" s="10" t="s">
        <v>33</v>
      </c>
      <c r="R147" s="11">
        <f>IF(OR($C147="",Q147=""),"",IFERROR(IF(AND(IFERROR(--LEFT(Q147,FIND("-",Q147)-1),"")=AW147,IFERROR(--MID(Q147,FIND("-",Q147)+1,99),"")=AX147),10,5*(SIGN((IFERROR(--LEFT(Q147,FIND("-",Q147)-1),""))-(IFERROR(--MID(Q147,FIND("-",Q147)+1,99),"")))=SIGN((AW147)-(AX147)))+2*(((IFERROR(--LEFT(Q147,FIND("-",Q147)-1),""))-(IFERROR(--MID(Q147,FIND("-",Q147)+1,99),"")))=((AW147)-(AX147)))+2*((IFERROR(--LEFT(Q147,FIND("-",Q147)-1),""))=(AW147))+2*((IFERROR(--MID(Q147,FIND("-",Q147)+1,99),""))=(AX147))),""))</f>
        <v>0</v>
      </c>
      <c r="S147" s="10" t="s">
        <v>37</v>
      </c>
      <c r="T147" s="11">
        <f>IF(OR($C147="",S147=""),"",IFERROR(IF(AND(IFERROR(--LEFT(S147,FIND("-",S147)-1),"")=AW147,IFERROR(--MID(S147,FIND("-",S147)+1,99),"")=AX147),10,5*(SIGN((IFERROR(--LEFT(S147,FIND("-",S147)-1),""))-(IFERROR(--MID(S147,FIND("-",S147)+1,99),"")))=SIGN((AW147)-(AX147)))+2*(((IFERROR(--LEFT(S147,FIND("-",S147)-1),""))-(IFERROR(--MID(S147,FIND("-",S147)+1,99),"")))=((AW147)-(AX147)))+2*((IFERROR(--LEFT(S147,FIND("-",S147)-1),""))=(AW147))+2*((IFERROR(--MID(S147,FIND("-",S147)+1,99),""))=(AX147))),""))</f>
        <v>5</v>
      </c>
      <c r="U147" s="10" t="s">
        <v>48</v>
      </c>
      <c r="V147" s="11">
        <f>IF(OR($C147="",U147=""),"",IFERROR(IF(AND(IFERROR(--LEFT(U147,FIND("-",U147)-1),"")=AW147,IFERROR(--MID(U147,FIND("-",U147)+1,99),"")=AX147),10,5*(SIGN((IFERROR(--LEFT(U147,FIND("-",U147)-1),""))-(IFERROR(--MID(U147,FIND("-",U147)+1,99),"")))=SIGN((AW147)-(AX147)))+2*(((IFERROR(--LEFT(U147,FIND("-",U147)-1),""))-(IFERROR(--MID(U147,FIND("-",U147)+1,99),"")))=((AW147)-(AX147)))+2*((IFERROR(--LEFT(U147,FIND("-",U147)-1),""))=(AW147))+2*((IFERROR(--MID(U147,FIND("-",U147)+1,99),""))=(AX147))),""))</f>
        <v>7</v>
      </c>
      <c r="W147" s="10" t="s">
        <v>35</v>
      </c>
      <c r="X147" s="11">
        <f>IF(OR($C147="",W147=""),"",IFERROR(IF(AND(IFERROR(--LEFT(W147,FIND("-",W147)-1),"")=AW147,IFERROR(--MID(W147,FIND("-",W147)+1,99),"")=AX147),10,5*(SIGN((IFERROR(--LEFT(W147,FIND("-",W147)-1),""))-(IFERROR(--MID(W147,FIND("-",W147)+1,99),"")))=SIGN((AW147)-(AX147)))+2*(((IFERROR(--LEFT(W147,FIND("-",W147)-1),""))-(IFERROR(--MID(W147,FIND("-",W147)+1,99),"")))=((AW147)-(AX147)))+2*((IFERROR(--LEFT(W147,FIND("-",W147)-1),""))=(AW147))+2*((IFERROR(--MID(W147,FIND("-",W147)+1,99),""))=(AX147))),""))</f>
        <v>0</v>
      </c>
      <c r="Y147" s="10" t="s">
        <v>50</v>
      </c>
      <c r="Z147" s="11">
        <f>IF(OR($C147="",Y147=""),"",IFERROR(IF(AND(IFERROR(--LEFT(Y147,FIND("-",Y147)-1),"")=AW147,IFERROR(--MID(Y147,FIND("-",Y147)+1,99),"")=AX147),10,5*(SIGN((IFERROR(--LEFT(Y147,FIND("-",Y147)-1),""))-(IFERROR(--MID(Y147,FIND("-",Y147)+1,99),"")))=SIGN((AW147)-(AX147)))+2*(((IFERROR(--LEFT(Y147,FIND("-",Y147)-1),""))-(IFERROR(--MID(Y147,FIND("-",Y147)+1,99),"")))=((AW147)-(AX147)))+2*((IFERROR(--LEFT(Y147,FIND("-",Y147)-1),""))=(AW147))+2*((IFERROR(--MID(Y147,FIND("-",Y147)+1,99),""))=(AX147))),""))</f>
        <v>2</v>
      </c>
      <c r="AA147" s="10" t="s">
        <v>57</v>
      </c>
      <c r="AB147" s="11">
        <f>IF(OR($C147="",AA147=""),"",IFERROR(IF(AND(IFERROR(--LEFT(AA147,FIND("-",AA147)-1),"")=AW147,IFERROR(--MID(AA147,FIND("-",AA147)+1,99),"")=AX147),10,5*(SIGN((IFERROR(--LEFT(AA147,FIND("-",AA147)-1),""))-(IFERROR(--MID(AA147,FIND("-",AA147)+1,99),"")))=SIGN((AW147)-(AX147)))+2*(((IFERROR(--LEFT(AA147,FIND("-",AA147)-1),""))-(IFERROR(--MID(AA147,FIND("-",AA147)+1,99),"")))=((AW147)-(AX147)))+2*((IFERROR(--LEFT(AA147,FIND("-",AA147)-1),""))=(AW147))+2*((IFERROR(--MID(AA147,FIND("-",AA147)+1,99),""))=(AX147))),""))</f>
        <v>7</v>
      </c>
      <c r="AC147" s="10" t="s">
        <v>56</v>
      </c>
      <c r="AD147" s="11">
        <f>IF(OR($C147="",AC147=""),"",IFERROR(IF(AND(IFERROR(--LEFT(AC147,FIND("-",AC147)-1),"")=AW147,IFERROR(--MID(AC147,FIND("-",AC147)+1,99),"")=AX147),10,5*(SIGN((IFERROR(--LEFT(AC147,FIND("-",AC147)-1),""))-(IFERROR(--MID(AC147,FIND("-",AC147)+1,99),"")))=SIGN((AW147)-(AX147)))+2*(((IFERROR(--LEFT(AC147,FIND("-",AC147)-1),""))-(IFERROR(--MID(AC147,FIND("-",AC147)+1,99),"")))=((AW147)-(AX147)))+2*((IFERROR(--LEFT(AC147,FIND("-",AC147)-1),""))=(AW147))+2*((IFERROR(--MID(AC147,FIND("-",AC147)+1,99),""))=(AX147))),""))</f>
        <v>10</v>
      </c>
      <c r="AE147" s="10" t="s">
        <v>48</v>
      </c>
      <c r="AF147" s="11">
        <f>IF(OR($C147="",AE147=""),"",IFERROR(IF(AND(IFERROR(--LEFT(AE147,FIND("-",AE147)-1),"")=AW147,IFERROR(--MID(AE147,FIND("-",AE147)+1,99),"")=AX147),10,5*(SIGN((IFERROR(--LEFT(AE147,FIND("-",AE147)-1),""))-(IFERROR(--MID(AE147,FIND("-",AE147)+1,99),"")))=SIGN((AW147)-(AX147)))+2*(((IFERROR(--LEFT(AE147,FIND("-",AE147)-1),""))-(IFERROR(--MID(AE147,FIND("-",AE147)+1,99),"")))=((AW147)-(AX147)))+2*((IFERROR(--LEFT(AE147,FIND("-",AE147)-1),""))=(AW147))+2*((IFERROR(--MID(AE147,FIND("-",AE147)+1,99),""))=(AX147))),""))</f>
        <v>7</v>
      </c>
      <c r="AG147" s="10" t="s">
        <v>37</v>
      </c>
      <c r="AH147" s="11">
        <f>IF(OR($C147="",AG147=""),"",IFERROR(IF(AND(IFERROR(--LEFT(AG147,FIND("-",AG147)-1),"")=AW147,IFERROR(--MID(AG147,FIND("-",AG147)+1,99),"")=AX147),10,5*(SIGN((IFERROR(--LEFT(AG147,FIND("-",AG147)-1),""))-(IFERROR(--MID(AG147,FIND("-",AG147)+1,99),"")))=SIGN((AW147)-(AX147)))+2*(((IFERROR(--LEFT(AG147,FIND("-",AG147)-1),""))-(IFERROR(--MID(AG147,FIND("-",AG147)+1,99),"")))=((AW147)-(AX147)))+2*((IFERROR(--LEFT(AG147,FIND("-",AG147)-1),""))=(AW147))+2*((IFERROR(--MID(AG147,FIND("-",AG147)+1,99),""))=(AX147))),""))</f>
        <v>5</v>
      </c>
      <c r="AI147" s="10" t="s">
        <v>37</v>
      </c>
      <c r="AJ147" s="11">
        <f>IF(OR($C147="",AI147=""),"",IFERROR(IF(AND(IFERROR(--LEFT(AI147,FIND("-",AI147)-1),"")=AW147,IFERROR(--MID(AI147,FIND("-",AI147)+1,99),"")=AX147),10,5*(SIGN((IFERROR(--LEFT(AI147,FIND("-",AI147)-1),""))-(IFERROR(--MID(AI147,FIND("-",AI147)+1,99),"")))=SIGN((AW147)-(AX147)))+2*(((IFERROR(--LEFT(AI147,FIND("-",AI147)-1),""))-(IFERROR(--MID(AI147,FIND("-",AI147)+1,99),"")))=((AW147)-(AX147)))+2*((IFERROR(--LEFT(AI147,FIND("-",AI147)-1),""))=(AW147))+2*((IFERROR(--MID(AI147,FIND("-",AI147)+1,99),""))=(AX147))),""))</f>
        <v>5</v>
      </c>
      <c r="AK147" s="10" t="s">
        <v>45</v>
      </c>
      <c r="AL147" s="11">
        <f>IF(OR($C147="",AK147=""),"",IFERROR(IF(AND(IFERROR(--LEFT(AK147,FIND("-",AK147)-1),"")=AW147,IFERROR(--MID(AK147,FIND("-",AK147)+1,99),"")=AX147),10,5*(SIGN((IFERROR(--LEFT(AK147,FIND("-",AK147)-1),""))-(IFERROR(--MID(AK147,FIND("-",AK147)+1,99),"")))=SIGN((AW147)-(AX147)))+2*(((IFERROR(--LEFT(AK147,FIND("-",AK147)-1),""))-(IFERROR(--MID(AK147,FIND("-",AK147)+1,99),"")))=((AW147)-(AX147)))+2*((IFERROR(--LEFT(AK147,FIND("-",AK147)-1),""))=(AW147))+2*((IFERROR(--MID(AK147,FIND("-",AK147)+1,99),""))=(AX147))),""))</f>
        <v>7</v>
      </c>
      <c r="AM147" s="10" t="s">
        <v>48</v>
      </c>
      <c r="AN147" s="11">
        <f>IF(OR($C147="",AM147=""),"",IFERROR(IF(AND(IFERROR(--LEFT(AM147,FIND("-",AM147)-1),"")=AW147,IFERROR(--MID(AM147,FIND("-",AM147)+1,99),"")=AX147),10,5*(SIGN((IFERROR(--LEFT(AM147,FIND("-",AM147)-1),""))-(IFERROR(--MID(AM147,FIND("-",AM147)+1,99),"")))=SIGN((AW147)-(AX147)))+2*(((IFERROR(--LEFT(AM147,FIND("-",AM147)-1),""))-(IFERROR(--MID(AM147,FIND("-",AM147)+1,99),"")))=((AW147)-(AX147)))+2*((IFERROR(--LEFT(AM147,FIND("-",AM147)-1),""))=(AW147))+2*((IFERROR(--MID(AM147,FIND("-",AM147)+1,99),""))=(AX147))),""))</f>
        <v>7</v>
      </c>
      <c r="AO147" s="10" t="s">
        <v>57</v>
      </c>
      <c r="AP147" s="11">
        <f>IF(OR($C147="",AO147=""),"",IFERROR(IF(AND(IFERROR(--LEFT(AO147,FIND("-",AO147)-1),"")=AW147,IFERROR(--MID(AO147,FIND("-",AO147)+1,99),"")=AX147),10,5*(SIGN((IFERROR(--LEFT(AO147,FIND("-",AO147)-1),""))-(IFERROR(--MID(AO147,FIND("-",AO147)+1,99),"")))=SIGN((AW147)-(AX147)))+2*(((IFERROR(--LEFT(AO147,FIND("-",AO147)-1),""))-(IFERROR(--MID(AO147,FIND("-",AO147)+1,99),"")))=((AW147)-(AX147)))+2*((IFERROR(--LEFT(AO147,FIND("-",AO147)-1),""))=(AW147))+2*((IFERROR(--MID(AO147,FIND("-",AO147)+1,99),""))=(AX147))),""))</f>
        <v>7</v>
      </c>
      <c r="AQ147" s="10" t="s">
        <v>37</v>
      </c>
      <c r="AR147" s="11">
        <f>IF(OR($C147="",AQ147=""),"",IFERROR(IF(AND(IFERROR(--LEFT(AQ147,FIND("-",AQ147)-1),"")=AW147,IFERROR(--MID(AQ147,FIND("-",AQ147)+1,99),"")=AX147),10,5*(SIGN((IFERROR(--LEFT(AQ147,FIND("-",AQ147)-1),""))-(IFERROR(--MID(AQ147,FIND("-",AQ147)+1,99),"")))=SIGN((AW147)-(AX147)))+2*(((IFERROR(--LEFT(AQ147,FIND("-",AQ147)-1),""))-(IFERROR(--MID(AQ147,FIND("-",AQ147)+1,99),"")))=((AW147)-(AX147)))+2*((IFERROR(--LEFT(AQ147,FIND("-",AQ147)-1),""))=(AW147))+2*((IFERROR(--MID(AQ147,FIND("-",AQ147)+1,99),""))=(AX147))),""))</f>
        <v>5</v>
      </c>
      <c r="AS147" s="10" t="s">
        <v>50</v>
      </c>
      <c r="AT147" s="11">
        <f>IF(OR($C147="",AS147=""),"",IFERROR(IF(AND(IFERROR(--LEFT(AS147,FIND("-",AS147)-1),"")=AW147,IFERROR(--MID(AS147,FIND("-",AS147)+1,99),"")=AX147),10,5*(SIGN((IFERROR(--LEFT(AS147,FIND("-",AS147)-1),""))-(IFERROR(--MID(AS147,FIND("-",AS147)+1,99),"")))=SIGN((AW147)-(AX147)))+2*(((IFERROR(--LEFT(AS147,FIND("-",AS147)-1),""))-(IFERROR(--MID(AS147,FIND("-",AS147)+1,99),"")))=((AW147)-(AX147)))+2*((IFERROR(--LEFT(AS147,FIND("-",AS147)-1),""))=(AW147))+2*((IFERROR(--MID(AS147,FIND("-",AS147)+1,99),""))=(AX147))),""))</f>
        <v>2</v>
      </c>
      <c r="AU147" s="10" t="s">
        <v>49</v>
      </c>
      <c r="AV147" s="11">
        <f>IF(OR($C147="",AU147=""),"",IFERROR(IF(AND(IFERROR(--LEFT(AU147,FIND("-",AU147)-1),"")=AW147,IFERROR(--MID(AU147,FIND("-",AU147)+1,99),"")=AX147),10,5*(SIGN((IFERROR(--LEFT(AU147,FIND("-",AU147)-1),""))-(IFERROR(--MID(AU147,FIND("-",AU147)+1,99),"")))=SIGN((AW147)-(AX147)))+2*(((IFERROR(--LEFT(AU147,FIND("-",AU147)-1),""))-(IFERROR(--MID(AU147,FIND("-",AU147)+1,99),"")))=((AW147)-(AX147)))+2*((IFERROR(--LEFT(AU147,FIND("-",AU147)-1),""))=(AW147))+2*((IFERROR(--MID(AU147,FIND("-",AU147)+1,99),""))=(AX147))),""))</f>
        <v>0</v>
      </c>
      <c r="AW147" s="11">
        <f>IF($C147="","",IFERROR(--LEFT($C147,FIND("-",$C147)-1),""))</f>
        <v>0</v>
      </c>
      <c r="AX147" s="11">
        <f>IF($C147="","",IFERROR(--MID($C147,FIND("-",$C147)+1,99),""))</f>
        <v>3</v>
      </c>
    </row>
    <row r="148" spans="1:50" ht="18" customHeight="1" x14ac:dyDescent="0.3">
      <c r="A148" s="9">
        <v>1.958333333333333</v>
      </c>
      <c r="B148" s="18" t="s">
        <v>53</v>
      </c>
      <c r="C148" s="10" t="s">
        <v>45</v>
      </c>
      <c r="D148" s="1" t="s">
        <v>89</v>
      </c>
      <c r="E148" s="10" t="s">
        <v>57</v>
      </c>
      <c r="F148" s="11">
        <f>IF(OR($C148="",E148=""),"",IFERROR(IF(AND(IFERROR(--LEFT(E148,FIND("-",E148)-1),"")=AW148,IFERROR(--MID(E148,FIND("-",E148)+1,99),"")=AX148),10,5*(SIGN((IFERROR(--LEFT(E148,FIND("-",E148)-1),""))-(IFERROR(--MID(E148,FIND("-",E148)+1,99),"")))=SIGN((AW148)-(AX148)))+2*(((IFERROR(--LEFT(E148,FIND("-",E148)-1),""))-(IFERROR(--MID(E148,FIND("-",E148)+1,99),"")))=((AW148)-(AX148)))+2*((IFERROR(--LEFT(E148,FIND("-",E148)-1),""))=(AW148))+2*((IFERROR(--MID(E148,FIND("-",E148)+1,99),""))=(AX148))),""))</f>
        <v>5</v>
      </c>
      <c r="G148" s="10" t="s">
        <v>37</v>
      </c>
      <c r="H148" s="11">
        <f>IF(OR($C148="",G148=""),"",IFERROR(IF(AND(IFERROR(--LEFT(G148,FIND("-",G148)-1),"")=AW148,IFERROR(--MID(G148,FIND("-",G148)+1,99),"")=AX148),10,5*(SIGN((IFERROR(--LEFT(G148,FIND("-",G148)-1),""))-(IFERROR(--MID(G148,FIND("-",G148)+1,99),"")))=SIGN((AW148)-(AX148)))+2*(((IFERROR(--LEFT(G148,FIND("-",G148)-1),""))-(IFERROR(--MID(G148,FIND("-",G148)+1,99),"")))=((AW148)-(AX148)))+2*((IFERROR(--LEFT(G148,FIND("-",G148)-1),""))=(AW148))+2*((IFERROR(--MID(G148,FIND("-",G148)+1,99),""))=(AX148))),""))</f>
        <v>7</v>
      </c>
      <c r="I148" s="10" t="s">
        <v>56</v>
      </c>
      <c r="J148" s="11">
        <f>IF(OR($C148="",I148=""),"",IFERROR(IF(AND(IFERROR(--LEFT(I148,FIND("-",I148)-1),"")=AW148,IFERROR(--MID(I148,FIND("-",I148)+1,99),"")=AX148),10,5*(SIGN((IFERROR(--LEFT(I148,FIND("-",I148)-1),""))-(IFERROR(--MID(I148,FIND("-",I148)+1,99),"")))=SIGN((AW148)-(AX148)))+2*(((IFERROR(--LEFT(I148,FIND("-",I148)-1),""))-(IFERROR(--MID(I148,FIND("-",I148)+1,99),"")))=((AW148)-(AX148)))+2*((IFERROR(--LEFT(I148,FIND("-",I148)-1),""))=(AW148))+2*((IFERROR(--MID(I148,FIND("-",I148)+1,99),""))=(AX148))),""))</f>
        <v>7</v>
      </c>
      <c r="K148" s="10" t="s">
        <v>50</v>
      </c>
      <c r="L148" s="11">
        <f>IF(OR($C148="",K148=""),"",IFERROR(IF(AND(IFERROR(--LEFT(K148,FIND("-",K148)-1),"")=AW148,IFERROR(--MID(K148,FIND("-",K148)+1,99),"")=AX148),10,5*(SIGN((IFERROR(--LEFT(K148,FIND("-",K148)-1),""))-(IFERROR(--MID(K148,FIND("-",K148)+1,99),"")))=SIGN((AW148)-(AX148)))+2*(((IFERROR(--LEFT(K148,FIND("-",K148)-1),""))-(IFERROR(--MID(K148,FIND("-",K148)+1,99),"")))=((AW148)-(AX148)))+2*((IFERROR(--LEFT(K148,FIND("-",K148)-1),""))=(AW148))+2*((IFERROR(--MID(K148,FIND("-",K148)+1,99),""))=(AX148))),""))</f>
        <v>2</v>
      </c>
      <c r="M148" s="10" t="s">
        <v>57</v>
      </c>
      <c r="N148" s="11">
        <f>IF(OR($C148="",M148=""),"",IFERROR(IF(AND(IFERROR(--LEFT(M148,FIND("-",M148)-1),"")=AW148,IFERROR(--MID(M148,FIND("-",M148)+1,99),"")=AX148),10,5*(SIGN((IFERROR(--LEFT(M148,FIND("-",M148)-1),""))-(IFERROR(--MID(M148,FIND("-",M148)+1,99),"")))=SIGN((AW148)-(AX148)))+2*(((IFERROR(--LEFT(M148,FIND("-",M148)-1),""))-(IFERROR(--MID(M148,FIND("-",M148)+1,99),"")))=((AW148)-(AX148)))+2*((IFERROR(--LEFT(M148,FIND("-",M148)-1),""))=(AW148))+2*((IFERROR(--MID(M148,FIND("-",M148)+1,99),""))=(AX148))),""))</f>
        <v>5</v>
      </c>
      <c r="O148" s="10" t="s">
        <v>56</v>
      </c>
      <c r="P148" s="11">
        <f>IF(OR($C148="",O148=""),"",IFERROR(IF(AND(IFERROR(--LEFT(O148,FIND("-",O148)-1),"")=AW148,IFERROR(--MID(O148,FIND("-",O148)+1,99),"")=AX148),10,5*(SIGN((IFERROR(--LEFT(O148,FIND("-",O148)-1),""))-(IFERROR(--MID(O148,FIND("-",O148)+1,99),"")))=SIGN((AW148)-(AX148)))+2*(((IFERROR(--LEFT(O148,FIND("-",O148)-1),""))-(IFERROR(--MID(O148,FIND("-",O148)+1,99),"")))=((AW148)-(AX148)))+2*((IFERROR(--LEFT(O148,FIND("-",O148)-1),""))=(AW148))+2*((IFERROR(--MID(O148,FIND("-",O148)+1,99),""))=(AX148))),""))</f>
        <v>7</v>
      </c>
      <c r="Q148" s="10" t="s">
        <v>56</v>
      </c>
      <c r="R148" s="11">
        <f>IF(OR($C148="",Q148=""),"",IFERROR(IF(AND(IFERROR(--LEFT(Q148,FIND("-",Q148)-1),"")=AW148,IFERROR(--MID(Q148,FIND("-",Q148)+1,99),"")=AX148),10,5*(SIGN((IFERROR(--LEFT(Q148,FIND("-",Q148)-1),""))-(IFERROR(--MID(Q148,FIND("-",Q148)+1,99),"")))=SIGN((AW148)-(AX148)))+2*(((IFERROR(--LEFT(Q148,FIND("-",Q148)-1),""))-(IFERROR(--MID(Q148,FIND("-",Q148)+1,99),"")))=((AW148)-(AX148)))+2*((IFERROR(--LEFT(Q148,FIND("-",Q148)-1),""))=(AW148))+2*((IFERROR(--MID(Q148,FIND("-",Q148)+1,99),""))=(AX148))),""))</f>
        <v>7</v>
      </c>
      <c r="S148" s="10" t="s">
        <v>56</v>
      </c>
      <c r="T148" s="11">
        <f>IF(OR($C148="",S148=""),"",IFERROR(IF(AND(IFERROR(--LEFT(S148,FIND("-",S148)-1),"")=AW148,IFERROR(--MID(S148,FIND("-",S148)+1,99),"")=AX148),10,5*(SIGN((IFERROR(--LEFT(S148,FIND("-",S148)-1),""))-(IFERROR(--MID(S148,FIND("-",S148)+1,99),"")))=SIGN((AW148)-(AX148)))+2*(((IFERROR(--LEFT(S148,FIND("-",S148)-1),""))-(IFERROR(--MID(S148,FIND("-",S148)+1,99),"")))=((AW148)-(AX148)))+2*((IFERROR(--LEFT(S148,FIND("-",S148)-1),""))=(AW148))+2*((IFERROR(--MID(S148,FIND("-",S148)+1,99),""))=(AX148))),""))</f>
        <v>7</v>
      </c>
      <c r="U148" s="10" t="s">
        <v>56</v>
      </c>
      <c r="V148" s="11">
        <f>IF(OR($C148="",U148=""),"",IFERROR(IF(AND(IFERROR(--LEFT(U148,FIND("-",U148)-1),"")=AW148,IFERROR(--MID(U148,FIND("-",U148)+1,99),"")=AX148),10,5*(SIGN((IFERROR(--LEFT(U148,FIND("-",U148)-1),""))-(IFERROR(--MID(U148,FIND("-",U148)+1,99),"")))=SIGN((AW148)-(AX148)))+2*(((IFERROR(--LEFT(U148,FIND("-",U148)-1),""))-(IFERROR(--MID(U148,FIND("-",U148)+1,99),"")))=((AW148)-(AX148)))+2*((IFERROR(--LEFT(U148,FIND("-",U148)-1),""))=(AW148))+2*((IFERROR(--MID(U148,FIND("-",U148)+1,99),""))=(AX148))),""))</f>
        <v>7</v>
      </c>
      <c r="W148" s="10" t="s">
        <v>48</v>
      </c>
      <c r="X148" s="11">
        <f>IF(OR($C148="",W148=""),"",IFERROR(IF(AND(IFERROR(--LEFT(W148,FIND("-",W148)-1),"")=AW148,IFERROR(--MID(W148,FIND("-",W148)+1,99),"")=AX148),10,5*(SIGN((IFERROR(--LEFT(W148,FIND("-",W148)-1),""))-(IFERROR(--MID(W148,FIND("-",W148)+1,99),"")))=SIGN((AW148)-(AX148)))+2*(((IFERROR(--LEFT(W148,FIND("-",W148)-1),""))-(IFERROR(--MID(W148,FIND("-",W148)+1,99),"")))=((AW148)-(AX148)))+2*((IFERROR(--LEFT(W148,FIND("-",W148)-1),""))=(AW148))+2*((IFERROR(--MID(W148,FIND("-",W148)+1,99),""))=(AX148))),""))</f>
        <v>7</v>
      </c>
      <c r="Y148" s="10" t="s">
        <v>50</v>
      </c>
      <c r="Z148" s="11">
        <f>IF(OR($C148="",Y148=""),"",IFERROR(IF(AND(IFERROR(--LEFT(Y148,FIND("-",Y148)-1),"")=AW148,IFERROR(--MID(Y148,FIND("-",Y148)+1,99),"")=AX148),10,5*(SIGN((IFERROR(--LEFT(Y148,FIND("-",Y148)-1),""))-(IFERROR(--MID(Y148,FIND("-",Y148)+1,99),"")))=SIGN((AW148)-(AX148)))+2*(((IFERROR(--LEFT(Y148,FIND("-",Y148)-1),""))-(IFERROR(--MID(Y148,FIND("-",Y148)+1,99),"")))=((AW148)-(AX148)))+2*((IFERROR(--LEFT(Y148,FIND("-",Y148)-1),""))=(AW148))+2*((IFERROR(--MID(Y148,FIND("-",Y148)+1,99),""))=(AX148))),""))</f>
        <v>2</v>
      </c>
      <c r="AA148" s="10" t="s">
        <v>48</v>
      </c>
      <c r="AB148" s="11">
        <f>IF(OR($C148="",AA148=""),"",IFERROR(IF(AND(IFERROR(--LEFT(AA148,FIND("-",AA148)-1),"")=AW148,IFERROR(--MID(AA148,FIND("-",AA148)+1,99),"")=AX148),10,5*(SIGN((IFERROR(--LEFT(AA148,FIND("-",AA148)-1),""))-(IFERROR(--MID(AA148,FIND("-",AA148)+1,99),"")))=SIGN((AW148)-(AX148)))+2*(((IFERROR(--LEFT(AA148,FIND("-",AA148)-1),""))-(IFERROR(--MID(AA148,FIND("-",AA148)+1,99),"")))=((AW148)-(AX148)))+2*((IFERROR(--LEFT(AA148,FIND("-",AA148)-1),""))=(AW148))+2*((IFERROR(--MID(AA148,FIND("-",AA148)+1,99),""))=(AX148))),""))</f>
        <v>7</v>
      </c>
      <c r="AC148" s="10" t="s">
        <v>57</v>
      </c>
      <c r="AD148" s="11">
        <f>IF(OR($C148="",AC148=""),"",IFERROR(IF(AND(IFERROR(--LEFT(AC148,FIND("-",AC148)-1),"")=AW148,IFERROR(--MID(AC148,FIND("-",AC148)+1,99),"")=AX148),10,5*(SIGN((IFERROR(--LEFT(AC148,FIND("-",AC148)-1),""))-(IFERROR(--MID(AC148,FIND("-",AC148)+1,99),"")))=SIGN((AW148)-(AX148)))+2*(((IFERROR(--LEFT(AC148,FIND("-",AC148)-1),""))-(IFERROR(--MID(AC148,FIND("-",AC148)+1,99),"")))=((AW148)-(AX148)))+2*((IFERROR(--LEFT(AC148,FIND("-",AC148)-1),""))=(AW148))+2*((IFERROR(--MID(AC148,FIND("-",AC148)+1,99),""))=(AX148))),""))</f>
        <v>5</v>
      </c>
      <c r="AE148" s="10" t="s">
        <v>56</v>
      </c>
      <c r="AF148" s="11">
        <f>IF(OR($C148="",AE148=""),"",IFERROR(IF(AND(IFERROR(--LEFT(AE148,FIND("-",AE148)-1),"")=AW148,IFERROR(--MID(AE148,FIND("-",AE148)+1,99),"")=AX148),10,5*(SIGN((IFERROR(--LEFT(AE148,FIND("-",AE148)-1),""))-(IFERROR(--MID(AE148,FIND("-",AE148)+1,99),"")))=SIGN((AW148)-(AX148)))+2*(((IFERROR(--LEFT(AE148,FIND("-",AE148)-1),""))-(IFERROR(--MID(AE148,FIND("-",AE148)+1,99),"")))=((AW148)-(AX148)))+2*((IFERROR(--LEFT(AE148,FIND("-",AE148)-1),""))=(AW148))+2*((IFERROR(--MID(AE148,FIND("-",AE148)+1,99),""))=(AX148))),""))</f>
        <v>7</v>
      </c>
      <c r="AG148" s="10" t="s">
        <v>48</v>
      </c>
      <c r="AH148" s="11">
        <f>IF(OR($C148="",AG148=""),"",IFERROR(IF(AND(IFERROR(--LEFT(AG148,FIND("-",AG148)-1),"")=AW148,IFERROR(--MID(AG148,FIND("-",AG148)+1,99),"")=AX148),10,5*(SIGN((IFERROR(--LEFT(AG148,FIND("-",AG148)-1),""))-(IFERROR(--MID(AG148,FIND("-",AG148)+1,99),"")))=SIGN((AW148)-(AX148)))+2*(((IFERROR(--LEFT(AG148,FIND("-",AG148)-1),""))-(IFERROR(--MID(AG148,FIND("-",AG148)+1,99),"")))=((AW148)-(AX148)))+2*((IFERROR(--LEFT(AG148,FIND("-",AG148)-1),""))=(AW148))+2*((IFERROR(--MID(AG148,FIND("-",AG148)+1,99),""))=(AX148))),""))</f>
        <v>7</v>
      </c>
      <c r="AI148" s="10" t="s">
        <v>44</v>
      </c>
      <c r="AJ148" s="11">
        <f>IF(OR($C148="",AI148=""),"",IFERROR(IF(AND(IFERROR(--LEFT(AI148,FIND("-",AI148)-1),"")=AW148,IFERROR(--MID(AI148,FIND("-",AI148)+1,99),"")=AX148),10,5*(SIGN((IFERROR(--LEFT(AI148,FIND("-",AI148)-1),""))-(IFERROR(--MID(AI148,FIND("-",AI148)+1,99),"")))=SIGN((AW148)-(AX148)))+2*(((IFERROR(--LEFT(AI148,FIND("-",AI148)-1),""))-(IFERROR(--MID(AI148,FIND("-",AI148)+1,99),"")))=((AW148)-(AX148)))+2*((IFERROR(--LEFT(AI148,FIND("-",AI148)-1),""))=(AW148))+2*((IFERROR(--MID(AI148,FIND("-",AI148)+1,99),""))=(AX148))),""))</f>
        <v>7</v>
      </c>
      <c r="AK148" s="10" t="s">
        <v>48</v>
      </c>
      <c r="AL148" s="11">
        <f>IF(OR($C148="",AK148=""),"",IFERROR(IF(AND(IFERROR(--LEFT(AK148,FIND("-",AK148)-1),"")=AW148,IFERROR(--MID(AK148,FIND("-",AK148)+1,99),"")=AX148),10,5*(SIGN((IFERROR(--LEFT(AK148,FIND("-",AK148)-1),""))-(IFERROR(--MID(AK148,FIND("-",AK148)+1,99),"")))=SIGN((AW148)-(AX148)))+2*(((IFERROR(--LEFT(AK148,FIND("-",AK148)-1),""))-(IFERROR(--MID(AK148,FIND("-",AK148)+1,99),"")))=((AW148)-(AX148)))+2*((IFERROR(--LEFT(AK148,FIND("-",AK148)-1),""))=(AW148))+2*((IFERROR(--MID(AK148,FIND("-",AK148)+1,99),""))=(AX148))),""))</f>
        <v>7</v>
      </c>
      <c r="AM148" s="10" t="s">
        <v>57</v>
      </c>
      <c r="AN148" s="11">
        <f>IF(OR($C148="",AM148=""),"",IFERROR(IF(AND(IFERROR(--LEFT(AM148,FIND("-",AM148)-1),"")=AW148,IFERROR(--MID(AM148,FIND("-",AM148)+1,99),"")=AX148),10,5*(SIGN((IFERROR(--LEFT(AM148,FIND("-",AM148)-1),""))-(IFERROR(--MID(AM148,FIND("-",AM148)+1,99),"")))=SIGN((AW148)-(AX148)))+2*(((IFERROR(--LEFT(AM148,FIND("-",AM148)-1),""))-(IFERROR(--MID(AM148,FIND("-",AM148)+1,99),"")))=((AW148)-(AX148)))+2*((IFERROR(--LEFT(AM148,FIND("-",AM148)-1),""))=(AW148))+2*((IFERROR(--MID(AM148,FIND("-",AM148)+1,99),""))=(AX148))),""))</f>
        <v>5</v>
      </c>
      <c r="AO148" s="10" t="s">
        <v>48</v>
      </c>
      <c r="AP148" s="11">
        <f>IF(OR($C148="",AO148=""),"",IFERROR(IF(AND(IFERROR(--LEFT(AO148,FIND("-",AO148)-1),"")=AW148,IFERROR(--MID(AO148,FIND("-",AO148)+1,99),"")=AX148),10,5*(SIGN((IFERROR(--LEFT(AO148,FIND("-",AO148)-1),""))-(IFERROR(--MID(AO148,FIND("-",AO148)+1,99),"")))=SIGN((AW148)-(AX148)))+2*(((IFERROR(--LEFT(AO148,FIND("-",AO148)-1),""))-(IFERROR(--MID(AO148,FIND("-",AO148)+1,99),"")))=((AW148)-(AX148)))+2*((IFERROR(--LEFT(AO148,FIND("-",AO148)-1),""))=(AW148))+2*((IFERROR(--MID(AO148,FIND("-",AO148)+1,99),""))=(AX148))),""))</f>
        <v>7</v>
      </c>
      <c r="AQ148" s="10" t="s">
        <v>56</v>
      </c>
      <c r="AR148" s="11">
        <f>IF(OR($C148="",AQ148=""),"",IFERROR(IF(AND(IFERROR(--LEFT(AQ148,FIND("-",AQ148)-1),"")=AW148,IFERROR(--MID(AQ148,FIND("-",AQ148)+1,99),"")=AX148),10,5*(SIGN((IFERROR(--LEFT(AQ148,FIND("-",AQ148)-1),""))-(IFERROR(--MID(AQ148,FIND("-",AQ148)+1,99),"")))=SIGN((AW148)-(AX148)))+2*(((IFERROR(--LEFT(AQ148,FIND("-",AQ148)-1),""))-(IFERROR(--MID(AQ148,FIND("-",AQ148)+1,99),"")))=((AW148)-(AX148)))+2*((IFERROR(--LEFT(AQ148,FIND("-",AQ148)-1),""))=(AW148))+2*((IFERROR(--MID(AQ148,FIND("-",AQ148)+1,99),""))=(AX148))),""))</f>
        <v>7</v>
      </c>
      <c r="AS148" s="10" t="s">
        <v>48</v>
      </c>
      <c r="AT148" s="11">
        <f>IF(OR($C148="",AS148=""),"",IFERROR(IF(AND(IFERROR(--LEFT(AS148,FIND("-",AS148)-1),"")=AW148,IFERROR(--MID(AS148,FIND("-",AS148)+1,99),"")=AX148),10,5*(SIGN((IFERROR(--LEFT(AS148,FIND("-",AS148)-1),""))-(IFERROR(--MID(AS148,FIND("-",AS148)+1,99),"")))=SIGN((AW148)-(AX148)))+2*(((IFERROR(--LEFT(AS148,FIND("-",AS148)-1),""))-(IFERROR(--MID(AS148,FIND("-",AS148)+1,99),"")))=((AW148)-(AX148)))+2*((IFERROR(--LEFT(AS148,FIND("-",AS148)-1),""))=(AW148))+2*((IFERROR(--MID(AS148,FIND("-",AS148)+1,99),""))=(AX148))),""))</f>
        <v>7</v>
      </c>
      <c r="AU148" s="10" t="s">
        <v>121</v>
      </c>
      <c r="AV148" s="11">
        <f>IF(OR($C148="",AU148=""),"",IFERROR(IF(AND(IFERROR(--LEFT(AU148,FIND("-",AU148)-1),"")=AW148,IFERROR(--MID(AU148,FIND("-",AU148)+1,99),"")=AX148),10,5*(SIGN((IFERROR(--LEFT(AU148,FIND("-",AU148)-1),""))-(IFERROR(--MID(AU148,FIND("-",AU148)+1,99),"")))=SIGN((AW148)-(AX148)))+2*(((IFERROR(--LEFT(AU148,FIND("-",AU148)-1),""))-(IFERROR(--MID(AU148,FIND("-",AU148)+1,99),"")))=((AW148)-(AX148)))+2*((IFERROR(--LEFT(AU148,FIND("-",AU148)-1),""))=(AW148))+2*((IFERROR(--MID(AU148,FIND("-",AU148)+1,99),""))=(AX148))),""))</f>
        <v>5</v>
      </c>
      <c r="AW148" s="11">
        <f>IF($C148="","",IFERROR(--LEFT($C148,FIND("-",$C148)-1),""))</f>
        <v>0</v>
      </c>
      <c r="AX148" s="11">
        <f>IF($C148="","",IFERROR(--MID($C148,FIND("-",$C148)+1,99),""))</f>
        <v>1</v>
      </c>
    </row>
    <row r="149" spans="1:50" ht="18" customHeight="1" x14ac:dyDescent="0.3">
      <c r="A149" s="12"/>
      <c r="B149" s="18"/>
      <c r="C149" s="13"/>
      <c r="D149" s="1"/>
      <c r="E149" s="22"/>
      <c r="F149" s="12"/>
      <c r="G149" s="22"/>
      <c r="H149" s="12"/>
      <c r="I149" s="22"/>
      <c r="J149" s="12"/>
      <c r="K149" s="22"/>
      <c r="L149" s="12"/>
      <c r="M149" s="22"/>
      <c r="N149" s="12"/>
      <c r="O149" s="22"/>
      <c r="P149" s="12"/>
      <c r="Q149" s="22"/>
      <c r="R149" s="12"/>
      <c r="S149" s="22"/>
      <c r="T149" s="12"/>
      <c r="U149" s="13"/>
      <c r="V149" s="12"/>
      <c r="W149" s="22"/>
      <c r="X149" s="12"/>
      <c r="Y149" s="22"/>
      <c r="Z149" s="12"/>
      <c r="AA149" s="22"/>
      <c r="AB149" s="12"/>
      <c r="AC149" s="22"/>
      <c r="AD149" s="12"/>
      <c r="AE149" s="22"/>
      <c r="AF149" s="12"/>
      <c r="AG149" s="22"/>
      <c r="AH149" s="12"/>
      <c r="AI149" s="22"/>
      <c r="AJ149" s="12"/>
      <c r="AK149" s="22"/>
      <c r="AL149" s="12"/>
      <c r="AM149" s="22"/>
      <c r="AN149" s="12"/>
      <c r="AO149" s="22"/>
      <c r="AP149" s="12"/>
      <c r="AQ149" s="22"/>
      <c r="AR149" s="12" t="str">
        <f>IF(OR($C149="",AQ149=""),"",IFERROR(IF(AND(IFERROR(--LEFT(AQ149,FIND("-",AQ149)-1),"")=AW149,IFERROR(--MID(AQ149,FIND("-",AQ149)+1,99),"")=AX149),10,5*(SIGN((IFERROR(--LEFT(AQ149,FIND("-",AQ149)-1),""))-(IFERROR(--MID(AQ149,FIND("-",AQ149)+1,99),"")))=SIGN((AW149)-(AX149)))+2*(((IFERROR(--LEFT(AQ149,FIND("-",AQ149)-1),""))-(IFERROR(--MID(AQ149,FIND("-",AQ149)+1,99),"")))=((AW149)-(AX149)))+2*((IFERROR(--LEFT(AQ149,FIND("-",AQ149)-1),""))=(AW149))+2*((IFERROR(--MID(AQ149,FIND("-",AQ149)+1,99),""))=(AX149))),""))</f>
        <v/>
      </c>
      <c r="AS149" s="22"/>
      <c r="AT149" s="12" t="str">
        <f>IF(OR($C149="",AS149=""),"",IFERROR(IF(AND(IFERROR(--LEFT(AS149,FIND("-",AS149)-1),"")=AW149,IFERROR(--MID(AS149,FIND("-",AS149)+1,99),"")=AX149),10,5*(SIGN((IFERROR(--LEFT(AS149,FIND("-",AS149)-1),""))-(IFERROR(--MID(AS149,FIND("-",AS149)+1,99),"")))=SIGN((AW149)-(AX149)))+2*(((IFERROR(--LEFT(AS149,FIND("-",AS149)-1),""))-(IFERROR(--MID(AS149,FIND("-",AS149)+1,99),"")))=((AW149)-(AX149)))+2*((IFERROR(--LEFT(AS149,FIND("-",AS149)-1),""))=(AW149))+2*((IFERROR(--MID(AS149,FIND("-",AS149)+1,99),""))=(AX149))),""))</f>
        <v/>
      </c>
      <c r="AU149" s="22"/>
      <c r="AV149" s="12"/>
      <c r="AW149" s="12"/>
      <c r="AX149" s="12"/>
    </row>
    <row r="150" spans="1:50" ht="20.100000000000001" customHeight="1" x14ac:dyDescent="0.3">
      <c r="A150" s="36" t="s">
        <v>136</v>
      </c>
      <c r="B150" s="37"/>
      <c r="C150" s="38"/>
      <c r="D150" s="37"/>
      <c r="E150" s="38"/>
      <c r="F150" s="37"/>
      <c r="G150" s="38"/>
      <c r="H150" s="37"/>
      <c r="I150" s="38"/>
      <c r="J150" s="37"/>
      <c r="K150" s="38"/>
      <c r="L150" s="37"/>
      <c r="M150" s="38"/>
      <c r="N150" s="37"/>
      <c r="O150" s="38"/>
      <c r="P150" s="37"/>
      <c r="Q150" s="38"/>
      <c r="R150" s="37"/>
      <c r="S150" s="38"/>
      <c r="T150" s="37"/>
      <c r="U150" s="38"/>
      <c r="V150" s="37"/>
      <c r="W150" s="38"/>
      <c r="X150" s="37"/>
      <c r="Y150" s="38"/>
      <c r="Z150" s="37"/>
      <c r="AA150" s="38"/>
      <c r="AB150" s="37"/>
      <c r="AC150" s="38"/>
      <c r="AD150" s="37"/>
      <c r="AE150" s="38"/>
      <c r="AF150" s="37"/>
      <c r="AG150" s="38"/>
      <c r="AH150" s="37"/>
      <c r="AI150" s="38"/>
      <c r="AJ150" s="37"/>
      <c r="AK150" s="38"/>
      <c r="AL150" s="37"/>
      <c r="AM150" s="38"/>
      <c r="AN150" s="37"/>
      <c r="AO150" s="38"/>
      <c r="AP150" s="37"/>
      <c r="AQ150" s="37"/>
      <c r="AR150" s="37"/>
      <c r="AS150" s="37"/>
      <c r="AT150" s="37"/>
      <c r="AU150" s="38"/>
      <c r="AV150" s="39"/>
      <c r="AW150" s="8"/>
      <c r="AX150" s="8"/>
    </row>
    <row r="151" spans="1:50" ht="18" customHeight="1" x14ac:dyDescent="0.3">
      <c r="A151" s="9">
        <v>1.916666666666667</v>
      </c>
      <c r="B151" s="18" t="s">
        <v>59</v>
      </c>
      <c r="C151" s="10" t="s">
        <v>37</v>
      </c>
      <c r="D151" s="1" t="s">
        <v>94</v>
      </c>
      <c r="E151" s="10" t="s">
        <v>34</v>
      </c>
      <c r="F151" s="11">
        <f>IF(OR($C151="",E151=""),"",IFERROR(IF(AND(IFERROR(--LEFT(E151,FIND("-",E151)-1),"")=AW151,IFERROR(--MID(E151,FIND("-",E151)+1,99),"")=AX151),10,5*(SIGN((IFERROR(--LEFT(E151,FIND("-",E151)-1),""))-(IFERROR(--MID(E151,FIND("-",E151)+1,99),"")))=SIGN((AW151)-(AX151)))+2*(((IFERROR(--LEFT(E151,FIND("-",E151)-1),""))-(IFERROR(--MID(E151,FIND("-",E151)+1,99),"")))=((AW151)-(AX151)))+2*((IFERROR(--LEFT(E151,FIND("-",E151)-1),""))=(AW151))+2*((IFERROR(--MID(E151,FIND("-",E151)+1,99),""))=(AX151))),""))</f>
        <v>0</v>
      </c>
      <c r="G151" s="10" t="s">
        <v>37</v>
      </c>
      <c r="H151" s="11">
        <f>IF(OR($C151="",G151=""),"",IFERROR(IF(AND(IFERROR(--LEFT(G151,FIND("-",G151)-1),"")=AW151,IFERROR(--MID(G151,FIND("-",G151)+1,99),"")=AX151),10,5*(SIGN((IFERROR(--LEFT(G151,FIND("-",G151)-1),""))-(IFERROR(--MID(G151,FIND("-",G151)+1,99),"")))=SIGN((AW151)-(AX151)))+2*(((IFERROR(--LEFT(G151,FIND("-",G151)-1),""))-(IFERROR(--MID(G151,FIND("-",G151)+1,99),"")))=((AW151)-(AX151)))+2*((IFERROR(--LEFT(G151,FIND("-",G151)-1),""))=(AW151))+2*((IFERROR(--MID(G151,FIND("-",G151)+1,99),""))=(AX151))),""))</f>
        <v>10</v>
      </c>
      <c r="I151" s="10" t="s">
        <v>36</v>
      </c>
      <c r="J151" s="11">
        <f>IF(OR($C151="",I151=""),"",IFERROR(IF(AND(IFERROR(--LEFT(I151,FIND("-",I151)-1),"")=AW151,IFERROR(--MID(I151,FIND("-",I151)+1,99),"")=AX151),10,5*(SIGN((IFERROR(--LEFT(I151,FIND("-",I151)-1),""))-(IFERROR(--MID(I151,FIND("-",I151)+1,99),"")))=SIGN((AW151)-(AX151)))+2*(((IFERROR(--LEFT(I151,FIND("-",I151)-1),""))-(IFERROR(--MID(I151,FIND("-",I151)+1,99),"")))=((AW151)-(AX151)))+2*((IFERROR(--LEFT(I151,FIND("-",I151)-1),""))=(AW151))+2*((IFERROR(--MID(I151,FIND("-",I151)+1,99),""))=(AX151))),""))</f>
        <v>0</v>
      </c>
      <c r="K151" s="10" t="s">
        <v>50</v>
      </c>
      <c r="L151" s="11">
        <f>IF(OR($C151="",K151=""),"",IFERROR(IF(AND(IFERROR(--LEFT(K151,FIND("-",K151)-1),"")=AW151,IFERROR(--MID(K151,FIND("-",K151)+1,99),"")=AX151),10,5*(SIGN((IFERROR(--LEFT(K151,FIND("-",K151)-1),""))-(IFERROR(--MID(K151,FIND("-",K151)+1,99),"")))=SIGN((AW151)-(AX151)))+2*(((IFERROR(--LEFT(K151,FIND("-",K151)-1),""))-(IFERROR(--MID(K151,FIND("-",K151)+1,99),"")))=((AW151)-(AX151)))+2*((IFERROR(--LEFT(K151,FIND("-",K151)-1),""))=(AW151))+2*((IFERROR(--MID(K151,FIND("-",K151)+1,99),""))=(AX151))),""))</f>
        <v>0</v>
      </c>
      <c r="M151" s="10" t="s">
        <v>37</v>
      </c>
      <c r="N151" s="11">
        <f>IF(OR($C151="",M151=""),"",IFERROR(IF(AND(IFERROR(--LEFT(M151,FIND("-",M151)-1),"")=AW151,IFERROR(--MID(M151,FIND("-",M151)+1,99),"")=AX151),10,5*(SIGN((IFERROR(--LEFT(M151,FIND("-",M151)-1),""))-(IFERROR(--MID(M151,FIND("-",M151)+1,99),"")))=SIGN((AW151)-(AX151)))+2*(((IFERROR(--LEFT(M151,FIND("-",M151)-1),""))-(IFERROR(--MID(M151,FIND("-",M151)+1,99),"")))=((AW151)-(AX151)))+2*((IFERROR(--LEFT(M151,FIND("-",M151)-1),""))=(AW151))+2*((IFERROR(--MID(M151,FIND("-",M151)+1,99),""))=(AX151))),""))</f>
        <v>10</v>
      </c>
      <c r="O151" s="10" t="s">
        <v>33</v>
      </c>
      <c r="P151" s="11">
        <f>IF(OR($C151="",O151=""),"",IFERROR(IF(AND(IFERROR(--LEFT(O151,FIND("-",O151)-1),"")=AW151,IFERROR(--MID(O151,FIND("-",O151)+1,99),"")=AX151),10,5*(SIGN((IFERROR(--LEFT(O151,FIND("-",O151)-1),""))-(IFERROR(--MID(O151,FIND("-",O151)+1,99),"")))=SIGN((AW151)-(AX151)))+2*(((IFERROR(--LEFT(O151,FIND("-",O151)-1),""))-(IFERROR(--MID(O151,FIND("-",O151)+1,99),"")))=((AW151)-(AX151)))+2*((IFERROR(--LEFT(O151,FIND("-",O151)-1),""))=(AW151))+2*((IFERROR(--MID(O151,FIND("-",O151)+1,99),""))=(AX151))),""))</f>
        <v>0</v>
      </c>
      <c r="Q151" s="10" t="s">
        <v>35</v>
      </c>
      <c r="R151" s="11">
        <f>IF(OR($C151="",Q151=""),"",IFERROR(IF(AND(IFERROR(--LEFT(Q151,FIND("-",Q151)-1),"")=AW151,IFERROR(--MID(Q151,FIND("-",Q151)+1,99),"")=AX151),10,5*(SIGN((IFERROR(--LEFT(Q151,FIND("-",Q151)-1),""))-(IFERROR(--MID(Q151,FIND("-",Q151)+1,99),"")))=SIGN((AW151)-(AX151)))+2*(((IFERROR(--LEFT(Q151,FIND("-",Q151)-1),""))-(IFERROR(--MID(Q151,FIND("-",Q151)+1,99),"")))=((AW151)-(AX151)))+2*((IFERROR(--LEFT(Q151,FIND("-",Q151)-1),""))=(AW151))+2*((IFERROR(--MID(Q151,FIND("-",Q151)+1,99),""))=(AX151))),""))</f>
        <v>2</v>
      </c>
      <c r="S151" s="10" t="s">
        <v>35</v>
      </c>
      <c r="T151" s="11">
        <f>IF(OR($C151="",S151=""),"",IFERROR(IF(AND(IFERROR(--LEFT(S151,FIND("-",S151)-1),"")=AW151,IFERROR(--MID(S151,FIND("-",S151)+1,99),"")=AX151),10,5*(SIGN((IFERROR(--LEFT(S151,FIND("-",S151)-1),""))-(IFERROR(--MID(S151,FIND("-",S151)+1,99),"")))=SIGN((AW151)-(AX151)))+2*(((IFERROR(--LEFT(S151,FIND("-",S151)-1),""))-(IFERROR(--MID(S151,FIND("-",S151)+1,99),"")))=((AW151)-(AX151)))+2*((IFERROR(--LEFT(S151,FIND("-",S151)-1),""))=(AW151))+2*((IFERROR(--MID(S151,FIND("-",S151)+1,99),""))=(AX151))),""))</f>
        <v>2</v>
      </c>
      <c r="U151" s="10" t="s">
        <v>35</v>
      </c>
      <c r="V151" s="11">
        <f>IF(OR($C151="",U151=""),"",IFERROR(IF(AND(IFERROR(--LEFT(U151,FIND("-",U151)-1),"")=AW151,IFERROR(--MID(U151,FIND("-",U151)+1,99),"")=AX151),10,5*(SIGN((IFERROR(--LEFT(U151,FIND("-",U151)-1),""))-(IFERROR(--MID(U151,FIND("-",U151)+1,99),"")))=SIGN((AW151)-(AX151)))+2*(((IFERROR(--LEFT(U151,FIND("-",U151)-1),""))-(IFERROR(--MID(U151,FIND("-",U151)+1,99),"")))=((AW151)-(AX151)))+2*((IFERROR(--LEFT(U151,FIND("-",U151)-1),""))=(AW151))+2*((IFERROR(--MID(U151,FIND("-",U151)+1,99),""))=(AX151))),""))</f>
        <v>2</v>
      </c>
      <c r="W151" s="10" t="s">
        <v>33</v>
      </c>
      <c r="X151" s="11">
        <f>IF(OR($C151="",W151=""),"",IFERROR(IF(AND(IFERROR(--LEFT(W151,FIND("-",W151)-1),"")=AW151,IFERROR(--MID(W151,FIND("-",W151)+1,99),"")=AX151),10,5*(SIGN((IFERROR(--LEFT(W151,FIND("-",W151)-1),""))-(IFERROR(--MID(W151,FIND("-",W151)+1,99),"")))=SIGN((AW151)-(AX151)))+2*(((IFERROR(--LEFT(W151,FIND("-",W151)-1),""))-(IFERROR(--MID(W151,FIND("-",W151)+1,99),"")))=((AW151)-(AX151)))+2*((IFERROR(--LEFT(W151,FIND("-",W151)-1),""))=(AW151))+2*((IFERROR(--MID(W151,FIND("-",W151)+1,99),""))=(AX151))),""))</f>
        <v>0</v>
      </c>
      <c r="Y151" s="10" t="s">
        <v>50</v>
      </c>
      <c r="Z151" s="11">
        <f>IF(OR($C151="",Y151=""),"",IFERROR(IF(AND(IFERROR(--LEFT(Y151,FIND("-",Y151)-1),"")=AW151,IFERROR(--MID(Y151,FIND("-",Y151)+1,99),"")=AX151),10,5*(SIGN((IFERROR(--LEFT(Y151,FIND("-",Y151)-1),""))-(IFERROR(--MID(Y151,FIND("-",Y151)+1,99),"")))=SIGN((AW151)-(AX151)))+2*(((IFERROR(--LEFT(Y151,FIND("-",Y151)-1),""))-(IFERROR(--MID(Y151,FIND("-",Y151)+1,99),"")))=((AW151)-(AX151)))+2*((IFERROR(--LEFT(Y151,FIND("-",Y151)-1),""))=(AW151))+2*((IFERROR(--MID(Y151,FIND("-",Y151)+1,99),""))=(AX151))),""))</f>
        <v>0</v>
      </c>
      <c r="AA151" s="10" t="s">
        <v>37</v>
      </c>
      <c r="AB151" s="11">
        <f>IF(OR($C151="",AA151=""),"",IFERROR(IF(AND(IFERROR(--LEFT(AA151,FIND("-",AA151)-1),"")=AW151,IFERROR(--MID(AA151,FIND("-",AA151)+1,99),"")=AX151),10,5*(SIGN((IFERROR(--LEFT(AA151,FIND("-",AA151)-1),""))-(IFERROR(--MID(AA151,FIND("-",AA151)+1,99),"")))=SIGN((AW151)-(AX151)))+2*(((IFERROR(--LEFT(AA151,FIND("-",AA151)-1),""))-(IFERROR(--MID(AA151,FIND("-",AA151)+1,99),"")))=((AW151)-(AX151)))+2*((IFERROR(--LEFT(AA151,FIND("-",AA151)-1),""))=(AW151))+2*((IFERROR(--MID(AA151,FIND("-",AA151)+1,99),""))=(AX151))),""))</f>
        <v>10</v>
      </c>
      <c r="AC151" s="10" t="s">
        <v>37</v>
      </c>
      <c r="AD151" s="11">
        <f>IF(OR($C151="",AC151=""),"",IFERROR(IF(AND(IFERROR(--LEFT(AC151,FIND("-",AC151)-1),"")=AW151,IFERROR(--MID(AC151,FIND("-",AC151)+1,99),"")=AX151),10,5*(SIGN((IFERROR(--LEFT(AC151,FIND("-",AC151)-1),""))-(IFERROR(--MID(AC151,FIND("-",AC151)+1,99),"")))=SIGN((AW151)-(AX151)))+2*(((IFERROR(--LEFT(AC151,FIND("-",AC151)-1),""))-(IFERROR(--MID(AC151,FIND("-",AC151)+1,99),"")))=((AW151)-(AX151)))+2*((IFERROR(--LEFT(AC151,FIND("-",AC151)-1),""))=(AW151))+2*((IFERROR(--MID(AC151,FIND("-",AC151)+1,99),""))=(AX151))),""))</f>
        <v>10</v>
      </c>
      <c r="AE151" s="10" t="s">
        <v>49</v>
      </c>
      <c r="AF151" s="11">
        <f>IF(OR($C151="",AE151=""),"",IFERROR(IF(AND(IFERROR(--LEFT(AE151,FIND("-",AE151)-1),"")=AW151,IFERROR(--MID(AE151,FIND("-",AE151)+1,99),"")=AX151),10,5*(SIGN((IFERROR(--LEFT(AE151,FIND("-",AE151)-1),""))-(IFERROR(--MID(AE151,FIND("-",AE151)+1,99),"")))=SIGN((AW151)-(AX151)))+2*(((IFERROR(--LEFT(AE151,FIND("-",AE151)-1),""))-(IFERROR(--MID(AE151,FIND("-",AE151)+1,99),"")))=((AW151)-(AX151)))+2*((IFERROR(--LEFT(AE151,FIND("-",AE151)-1),""))=(AW151))+2*((IFERROR(--MID(AE151,FIND("-",AE151)+1,99),""))=(AX151))),""))</f>
        <v>2</v>
      </c>
      <c r="AG151" s="10" t="s">
        <v>33</v>
      </c>
      <c r="AH151" s="11">
        <f>IF(OR($C151="",AG151=""),"",IFERROR(IF(AND(IFERROR(--LEFT(AG151,FIND("-",AG151)-1),"")=AW151,IFERROR(--MID(AG151,FIND("-",AG151)+1,99),"")=AX151),10,5*(SIGN((IFERROR(--LEFT(AG151,FIND("-",AG151)-1),""))-(IFERROR(--MID(AG151,FIND("-",AG151)+1,99),"")))=SIGN((AW151)-(AX151)))+2*(((IFERROR(--LEFT(AG151,FIND("-",AG151)-1),""))-(IFERROR(--MID(AG151,FIND("-",AG151)+1,99),"")))=((AW151)-(AX151)))+2*((IFERROR(--LEFT(AG151,FIND("-",AG151)-1),""))=(AW151))+2*((IFERROR(--MID(AG151,FIND("-",AG151)+1,99),""))=(AX151))),""))</f>
        <v>0</v>
      </c>
      <c r="AI151" s="10" t="s">
        <v>36</v>
      </c>
      <c r="AJ151" s="11">
        <f>IF(OR($C151="",AI151=""),"",IFERROR(IF(AND(IFERROR(--LEFT(AI151,FIND("-",AI151)-1),"")=AW151,IFERROR(--MID(AI151,FIND("-",AI151)+1,99),"")=AX151),10,5*(SIGN((IFERROR(--LEFT(AI151,FIND("-",AI151)-1),""))-(IFERROR(--MID(AI151,FIND("-",AI151)+1,99),"")))=SIGN((AW151)-(AX151)))+2*(((IFERROR(--LEFT(AI151,FIND("-",AI151)-1),""))-(IFERROR(--MID(AI151,FIND("-",AI151)+1,99),"")))=((AW151)-(AX151)))+2*((IFERROR(--LEFT(AI151,FIND("-",AI151)-1),""))=(AW151))+2*((IFERROR(--MID(AI151,FIND("-",AI151)+1,99),""))=(AX151))),""))</f>
        <v>0</v>
      </c>
      <c r="AK151" s="10" t="s">
        <v>33</v>
      </c>
      <c r="AL151" s="11">
        <f>IF(OR($C151="",AK151=""),"",IFERROR(IF(AND(IFERROR(--LEFT(AK151,FIND("-",AK151)-1),"")=AW151,IFERROR(--MID(AK151,FIND("-",AK151)+1,99),"")=AX151),10,5*(SIGN((IFERROR(--LEFT(AK151,FIND("-",AK151)-1),""))-(IFERROR(--MID(AK151,FIND("-",AK151)+1,99),"")))=SIGN((AW151)-(AX151)))+2*(((IFERROR(--LEFT(AK151,FIND("-",AK151)-1),""))-(IFERROR(--MID(AK151,FIND("-",AK151)+1,99),"")))=((AW151)-(AX151)))+2*((IFERROR(--LEFT(AK151,FIND("-",AK151)-1),""))=(AW151))+2*((IFERROR(--MID(AK151,FIND("-",AK151)+1,99),""))=(AX151))),""))</f>
        <v>0</v>
      </c>
      <c r="AM151" s="10" t="s">
        <v>33</v>
      </c>
      <c r="AN151" s="11">
        <f>IF(OR($C151="",AM151=""),"",IFERROR(IF(AND(IFERROR(--LEFT(AM151,FIND("-",AM151)-1),"")=AW151,IFERROR(--MID(AM151,FIND("-",AM151)+1,99),"")=AX151),10,5*(SIGN((IFERROR(--LEFT(AM151,FIND("-",AM151)-1),""))-(IFERROR(--MID(AM151,FIND("-",AM151)+1,99),"")))=SIGN((AW151)-(AX151)))+2*(((IFERROR(--LEFT(AM151,FIND("-",AM151)-1),""))-(IFERROR(--MID(AM151,FIND("-",AM151)+1,99),"")))=((AW151)-(AX151)))+2*((IFERROR(--LEFT(AM151,FIND("-",AM151)-1),""))=(AW151))+2*((IFERROR(--MID(AM151,FIND("-",AM151)+1,99),""))=(AX151))),""))</f>
        <v>0</v>
      </c>
      <c r="AO151" s="10" t="s">
        <v>33</v>
      </c>
      <c r="AP151" s="11">
        <f>IF(OR($C151="",AO151=""),"",IFERROR(IF(AND(IFERROR(--LEFT(AO151,FIND("-",AO151)-1),"")=AW151,IFERROR(--MID(AO151,FIND("-",AO151)+1,99),"")=AX151),10,5*(SIGN((IFERROR(--LEFT(AO151,FIND("-",AO151)-1),""))-(IFERROR(--MID(AO151,FIND("-",AO151)+1,99),"")))=SIGN((AW151)-(AX151)))+2*(((IFERROR(--LEFT(AO151,FIND("-",AO151)-1),""))-(IFERROR(--MID(AO151,FIND("-",AO151)+1,99),"")))=((AW151)-(AX151)))+2*((IFERROR(--LEFT(AO151,FIND("-",AO151)-1),""))=(AW151))+2*((IFERROR(--MID(AO151,FIND("-",AO151)+1,99),""))=(AX151))),""))</f>
        <v>0</v>
      </c>
      <c r="AQ151" s="10" t="s">
        <v>36</v>
      </c>
      <c r="AR151" s="11">
        <f>IF(OR($C151="",AQ151=""),"",IFERROR(IF(AND(IFERROR(--LEFT(AQ151,FIND("-",AQ151)-1),"")=AW151,IFERROR(--MID(AQ151,FIND("-",AQ151)+1,99),"")=AX151),10,5*(SIGN((IFERROR(--LEFT(AQ151,FIND("-",AQ151)-1),""))-(IFERROR(--MID(AQ151,FIND("-",AQ151)+1,99),"")))=SIGN((AW151)-(AX151)))+2*(((IFERROR(--LEFT(AQ151,FIND("-",AQ151)-1),""))-(IFERROR(--MID(AQ151,FIND("-",AQ151)+1,99),"")))=((AW151)-(AX151)))+2*((IFERROR(--LEFT(AQ151,FIND("-",AQ151)-1),""))=(AW151))+2*((IFERROR(--MID(AQ151,FIND("-",AQ151)+1,99),""))=(AX151))),""))</f>
        <v>0</v>
      </c>
      <c r="AS151" s="10" t="s">
        <v>35</v>
      </c>
      <c r="AT151" s="11">
        <f>IF(OR($C151="",AS151=""),"",IFERROR(IF(AND(IFERROR(--LEFT(AS151,FIND("-",AS151)-1),"")=AW151,IFERROR(--MID(AS151,FIND("-",AS151)+1,99),"")=AX151),10,5*(SIGN((IFERROR(--LEFT(AS151,FIND("-",AS151)-1),""))-(IFERROR(--MID(AS151,FIND("-",AS151)+1,99),"")))=SIGN((AW151)-(AX151)))+2*(((IFERROR(--LEFT(AS151,FIND("-",AS151)-1),""))-(IFERROR(--MID(AS151,FIND("-",AS151)+1,99),"")))=((AW151)-(AX151)))+2*((IFERROR(--LEFT(AS151,FIND("-",AS151)-1),""))=(AW151))+2*((IFERROR(--MID(AS151,FIND("-",AS151)+1,99),""))=(AX151))),""))</f>
        <v>2</v>
      </c>
      <c r="AU151" s="10" t="s">
        <v>34</v>
      </c>
      <c r="AV151" s="11">
        <f>IF(OR($C151="",AU151=""),"",IFERROR(IF(AND(IFERROR(--LEFT(AU151,FIND("-",AU151)-1),"")=AW151,IFERROR(--MID(AU151,FIND("-",AU151)+1,99),"")=AX151),10,5*(SIGN((IFERROR(--LEFT(AU151,FIND("-",AU151)-1),""))-(IFERROR(--MID(AU151,FIND("-",AU151)+1,99),"")))=SIGN((AW151)-(AX151)))+2*(((IFERROR(--LEFT(AU151,FIND("-",AU151)-1),""))-(IFERROR(--MID(AU151,FIND("-",AU151)+1,99),"")))=((AW151)-(AX151)))+2*((IFERROR(--LEFT(AU151,FIND("-",AU151)-1),""))=(AW151))+2*((IFERROR(--MID(AU151,FIND("-",AU151)+1,99),""))=(AX151))),""))</f>
        <v>0</v>
      </c>
      <c r="AW151" s="11">
        <f>IF($C151="","",IFERROR(--LEFT($C151,FIND("-",$C151)-1),""))</f>
        <v>1</v>
      </c>
      <c r="AX151" s="11">
        <f>IF($C151="","",IFERROR(--MID($C151,FIND("-",$C151)+1,99),""))</f>
        <v>2</v>
      </c>
    </row>
    <row r="152" spans="1:50" ht="18" customHeight="1" x14ac:dyDescent="0.3">
      <c r="A152" s="12"/>
      <c r="B152" s="18"/>
      <c r="C152" s="13"/>
      <c r="D152" s="1"/>
      <c r="E152" s="22"/>
      <c r="F152" s="12"/>
      <c r="G152" s="22"/>
      <c r="H152" s="12"/>
      <c r="I152" s="22"/>
      <c r="J152" s="12"/>
      <c r="K152" s="22"/>
      <c r="L152" s="12"/>
      <c r="M152" s="22"/>
      <c r="N152" s="12"/>
      <c r="O152" s="22"/>
      <c r="P152" s="12"/>
      <c r="Q152" s="22"/>
      <c r="R152" s="12"/>
      <c r="S152" s="22"/>
      <c r="T152" s="12"/>
      <c r="U152" s="13"/>
      <c r="V152" s="12"/>
      <c r="W152" s="22"/>
      <c r="X152" s="12"/>
      <c r="Y152" s="22"/>
      <c r="Z152" s="12"/>
      <c r="AA152" s="22"/>
      <c r="AB152" s="12"/>
      <c r="AC152" s="22"/>
      <c r="AD152" s="12"/>
      <c r="AE152" s="22"/>
      <c r="AF152" s="12"/>
      <c r="AG152" s="22"/>
      <c r="AH152" s="12"/>
      <c r="AI152" s="22"/>
      <c r="AJ152" s="12"/>
      <c r="AK152" s="22"/>
      <c r="AL152" s="12"/>
      <c r="AM152" s="22"/>
      <c r="AN152" s="12"/>
      <c r="AO152" s="22"/>
      <c r="AP152" s="12"/>
      <c r="AQ152" s="22"/>
      <c r="AR152" s="12" t="str">
        <f>IF(OR($C152="",AQ152=""),"",IFERROR(IF(AND(IFERROR(--LEFT(AQ152,FIND("-",AQ152)-1),"")=AW152,IFERROR(--MID(AQ152,FIND("-",AQ152)+1,99),"")=AX152),10,5*(SIGN((IFERROR(--LEFT(AQ152,FIND("-",AQ152)-1),""))-(IFERROR(--MID(AQ152,FIND("-",AQ152)+1,99),"")))=SIGN((AW152)-(AX152)))+2*(((IFERROR(--LEFT(AQ152,FIND("-",AQ152)-1),""))-(IFERROR(--MID(AQ152,FIND("-",AQ152)+1,99),"")))=((AW152)-(AX152)))+2*((IFERROR(--LEFT(AQ152,FIND("-",AQ152)-1),""))=(AW152))+2*((IFERROR(--MID(AQ152,FIND("-",AQ152)+1,99),""))=(AX152))),""))</f>
        <v/>
      </c>
      <c r="AS152" s="22"/>
      <c r="AT152" s="12" t="str">
        <f>IF(OR($C152="",AS152=""),"",IFERROR(IF(AND(IFERROR(--LEFT(AS152,FIND("-",AS152)-1),"")=AW152,IFERROR(--MID(AS152,FIND("-",AS152)+1,99),"")=AX152),10,5*(SIGN((IFERROR(--LEFT(AS152,FIND("-",AS152)-1),""))-(IFERROR(--MID(AS152,FIND("-",AS152)+1,99),"")))=SIGN((AW152)-(AX152)))+2*(((IFERROR(--LEFT(AS152,FIND("-",AS152)-1),""))-(IFERROR(--MID(AS152,FIND("-",AS152)+1,99),"")))=((AW152)-(AX152)))+2*((IFERROR(--LEFT(AS152,FIND("-",AS152)-1),""))=(AW152))+2*((IFERROR(--MID(AS152,FIND("-",AS152)+1,99),""))=(AX152))),""))</f>
        <v/>
      </c>
      <c r="AU152" s="22"/>
      <c r="AV152" s="12"/>
      <c r="AW152" s="12"/>
      <c r="AX152" s="12"/>
    </row>
    <row r="153" spans="1:50" ht="20.100000000000001" customHeight="1" x14ac:dyDescent="0.3">
      <c r="A153" s="36" t="s">
        <v>137</v>
      </c>
      <c r="B153" s="37"/>
      <c r="C153" s="38"/>
      <c r="D153" s="37"/>
      <c r="E153" s="38"/>
      <c r="F153" s="37"/>
      <c r="G153" s="38"/>
      <c r="H153" s="37"/>
      <c r="I153" s="38"/>
      <c r="J153" s="37"/>
      <c r="K153" s="38"/>
      <c r="L153" s="37"/>
      <c r="M153" s="38"/>
      <c r="N153" s="37"/>
      <c r="O153" s="38"/>
      <c r="P153" s="37"/>
      <c r="Q153" s="38"/>
      <c r="R153" s="37"/>
      <c r="S153" s="38"/>
      <c r="T153" s="37"/>
      <c r="U153" s="38"/>
      <c r="V153" s="37"/>
      <c r="W153" s="38"/>
      <c r="X153" s="37"/>
      <c r="Y153" s="38"/>
      <c r="Z153" s="37"/>
      <c r="AA153" s="38"/>
      <c r="AB153" s="37"/>
      <c r="AC153" s="38"/>
      <c r="AD153" s="37"/>
      <c r="AE153" s="38"/>
      <c r="AF153" s="37"/>
      <c r="AG153" s="38"/>
      <c r="AH153" s="37"/>
      <c r="AI153" s="38"/>
      <c r="AJ153" s="37"/>
      <c r="AK153" s="38"/>
      <c r="AL153" s="37"/>
      <c r="AM153" s="38"/>
      <c r="AN153" s="37"/>
      <c r="AO153" s="38"/>
      <c r="AP153" s="37"/>
      <c r="AQ153" s="37"/>
      <c r="AR153" s="37"/>
      <c r="AS153" s="37"/>
      <c r="AT153" s="37"/>
      <c r="AU153" s="38"/>
      <c r="AV153" s="39"/>
      <c r="AW153" s="8"/>
      <c r="AX153" s="8"/>
    </row>
    <row r="154" spans="1:50" ht="18" customHeight="1" x14ac:dyDescent="0.3">
      <c r="A154" s="9">
        <v>1.083333333333333</v>
      </c>
      <c r="B154" s="18" t="s">
        <v>31</v>
      </c>
      <c r="C154" s="10" t="s">
        <v>44</v>
      </c>
      <c r="D154" s="1" t="s">
        <v>101</v>
      </c>
      <c r="E154" s="10" t="s">
        <v>35</v>
      </c>
      <c r="F154" s="11">
        <f>IF(OR($C154="",E154=""),"",IFERROR(IF(AND(IFERROR(--LEFT(E154,FIND("-",E154)-1),"")=AW154,IFERROR(--MID(E154,FIND("-",E154)+1,99),"")=AX154),10,5*(SIGN((IFERROR(--LEFT(E154,FIND("-",E154)-1),""))-(IFERROR(--MID(E154,FIND("-",E154)+1,99),"")))=SIGN((AW154)-(AX154)))+2*(((IFERROR(--LEFT(E154,FIND("-",E154)-1),""))-(IFERROR(--MID(E154,FIND("-",E154)+1,99),"")))=((AW154)-(AX154)))+2*((IFERROR(--LEFT(E154,FIND("-",E154)-1),""))=(AW154))+2*((IFERROR(--MID(E154,FIND("-",E154)+1,99),""))=(AX154))),""))</f>
        <v>0</v>
      </c>
      <c r="G154" s="10" t="s">
        <v>45</v>
      </c>
      <c r="H154" s="11">
        <f>IF(OR($C154="",G154=""),"",IFERROR(IF(AND(IFERROR(--LEFT(G154,FIND("-",G154)-1),"")=AW154,IFERROR(--MID(G154,FIND("-",G154)+1,99),"")=AX154),10,5*(SIGN((IFERROR(--LEFT(G154,FIND("-",G154)-1),""))-(IFERROR(--MID(G154,FIND("-",G154)+1,99),"")))=SIGN((AW154)-(AX154)))+2*(((IFERROR(--LEFT(G154,FIND("-",G154)-1),""))-(IFERROR(--MID(G154,FIND("-",G154)+1,99),"")))=((AW154)-(AX154)))+2*((IFERROR(--LEFT(G154,FIND("-",G154)-1),""))=(AW154))+2*((IFERROR(--MID(G154,FIND("-",G154)+1,99),""))=(AX154))),""))</f>
        <v>7</v>
      </c>
      <c r="I154" s="10" t="s">
        <v>37</v>
      </c>
      <c r="J154" s="11">
        <f>IF(OR($C154="",I154=""),"",IFERROR(IF(AND(IFERROR(--LEFT(I154,FIND("-",I154)-1),"")=AW154,IFERROR(--MID(I154,FIND("-",I154)+1,99),"")=AX154),10,5*(SIGN((IFERROR(--LEFT(I154,FIND("-",I154)-1),""))-(IFERROR(--MID(I154,FIND("-",I154)+1,99),"")))=SIGN((AW154)-(AX154)))+2*(((IFERROR(--LEFT(I154,FIND("-",I154)-1),""))-(IFERROR(--MID(I154,FIND("-",I154)+1,99),"")))=((AW154)-(AX154)))+2*((IFERROR(--LEFT(I154,FIND("-",I154)-1),""))=(AW154))+2*((IFERROR(--MID(I154,FIND("-",I154)+1,99),""))=(AX154))),""))</f>
        <v>7</v>
      </c>
      <c r="K154" s="10" t="s">
        <v>50</v>
      </c>
      <c r="L154" s="11">
        <f>IF(OR($C154="",K154=""),"",IFERROR(IF(AND(IFERROR(--LEFT(K154,FIND("-",K154)-1),"")=AW154,IFERROR(--MID(K154,FIND("-",K154)+1,99),"")=AX154),10,5*(SIGN((IFERROR(--LEFT(K154,FIND("-",K154)-1),""))-(IFERROR(--MID(K154,FIND("-",K154)+1,99),"")))=SIGN((AW154)-(AX154)))+2*(((IFERROR(--LEFT(K154,FIND("-",K154)-1),""))-(IFERROR(--MID(K154,FIND("-",K154)+1,99),"")))=((AW154)-(AX154)))+2*((IFERROR(--LEFT(K154,FIND("-",K154)-1),""))=(AW154))+2*((IFERROR(--MID(K154,FIND("-",K154)+1,99),""))=(AX154))),""))</f>
        <v>0</v>
      </c>
      <c r="M154" s="10" t="s">
        <v>48</v>
      </c>
      <c r="N154" s="11">
        <f>IF(OR($C154="",M154=""),"",IFERROR(IF(AND(IFERROR(--LEFT(M154,FIND("-",M154)-1),"")=AW154,IFERROR(--MID(M154,FIND("-",M154)+1,99),"")=AX154),10,5*(SIGN((IFERROR(--LEFT(M154,FIND("-",M154)-1),""))-(IFERROR(--MID(M154,FIND("-",M154)+1,99),"")))=SIGN((AW154)-(AX154)))+2*(((IFERROR(--LEFT(M154,FIND("-",M154)-1),""))-(IFERROR(--MID(M154,FIND("-",M154)+1,99),"")))=((AW154)-(AX154)))+2*((IFERROR(--LEFT(M154,FIND("-",M154)-1),""))=(AW154))+2*((IFERROR(--MID(M154,FIND("-",M154)+1,99),""))=(AX154))),""))</f>
        <v>5</v>
      </c>
      <c r="O154" s="10" t="s">
        <v>35</v>
      </c>
      <c r="P154" s="11">
        <f>IF(OR($C154="",O154=""),"",IFERROR(IF(AND(IFERROR(--LEFT(O154,FIND("-",O154)-1),"")=AW154,IFERROR(--MID(O154,FIND("-",O154)+1,99),"")=AX154),10,5*(SIGN((IFERROR(--LEFT(O154,FIND("-",O154)-1),""))-(IFERROR(--MID(O154,FIND("-",O154)+1,99),"")))=SIGN((AW154)-(AX154)))+2*(((IFERROR(--LEFT(O154,FIND("-",O154)-1),""))-(IFERROR(--MID(O154,FIND("-",O154)+1,99),"")))=((AW154)-(AX154)))+2*((IFERROR(--LEFT(O154,FIND("-",O154)-1),""))=(AW154))+2*((IFERROR(--MID(O154,FIND("-",O154)+1,99),""))=(AX154))),""))</f>
        <v>0</v>
      </c>
      <c r="Q154" s="10" t="s">
        <v>44</v>
      </c>
      <c r="R154" s="11">
        <f>IF(OR($C154="",Q154=""),"",IFERROR(IF(AND(IFERROR(--LEFT(Q154,FIND("-",Q154)-1),"")=AW154,IFERROR(--MID(Q154,FIND("-",Q154)+1,99),"")=AX154),10,5*(SIGN((IFERROR(--LEFT(Q154,FIND("-",Q154)-1),""))-(IFERROR(--MID(Q154,FIND("-",Q154)+1,99),"")))=SIGN((AW154)-(AX154)))+2*(((IFERROR(--LEFT(Q154,FIND("-",Q154)-1),""))-(IFERROR(--MID(Q154,FIND("-",Q154)+1,99),"")))=((AW154)-(AX154)))+2*((IFERROR(--LEFT(Q154,FIND("-",Q154)-1),""))=(AW154))+2*((IFERROR(--MID(Q154,FIND("-",Q154)+1,99),""))=(AX154))),""))</f>
        <v>10</v>
      </c>
      <c r="S154" s="10" t="s">
        <v>35</v>
      </c>
      <c r="T154" s="11">
        <f>IF(OR($C154="",S154=""),"",IFERROR(IF(AND(IFERROR(--LEFT(S154,FIND("-",S154)-1),"")=AW154,IFERROR(--MID(S154,FIND("-",S154)+1,99),"")=AX154),10,5*(SIGN((IFERROR(--LEFT(S154,FIND("-",S154)-1),""))-(IFERROR(--MID(S154,FIND("-",S154)+1,99),"")))=SIGN((AW154)-(AX154)))+2*(((IFERROR(--LEFT(S154,FIND("-",S154)-1),""))-(IFERROR(--MID(S154,FIND("-",S154)+1,99),"")))=((AW154)-(AX154)))+2*((IFERROR(--LEFT(S154,FIND("-",S154)-1),""))=(AW154))+2*((IFERROR(--MID(S154,FIND("-",S154)+1,99),""))=(AX154))),""))</f>
        <v>0</v>
      </c>
      <c r="U154" s="10" t="s">
        <v>45</v>
      </c>
      <c r="V154" s="11">
        <f>IF(OR($C154="",U154=""),"",IFERROR(IF(AND(IFERROR(--LEFT(U154,FIND("-",U154)-1),"")=AW154,IFERROR(--MID(U154,FIND("-",U154)+1,99),"")=AX154),10,5*(SIGN((IFERROR(--LEFT(U154,FIND("-",U154)-1),""))-(IFERROR(--MID(U154,FIND("-",U154)+1,99),"")))=SIGN((AW154)-(AX154)))+2*(((IFERROR(--LEFT(U154,FIND("-",U154)-1),""))-(IFERROR(--MID(U154,FIND("-",U154)+1,99),"")))=((AW154)-(AX154)))+2*((IFERROR(--LEFT(U154,FIND("-",U154)-1),""))=(AW154))+2*((IFERROR(--MID(U154,FIND("-",U154)+1,99),""))=(AX154))),""))</f>
        <v>7</v>
      </c>
      <c r="W154" s="10" t="s">
        <v>35</v>
      </c>
      <c r="X154" s="11">
        <f>IF(OR($C154="",W154=""),"",IFERROR(IF(AND(IFERROR(--LEFT(W154,FIND("-",W154)-1),"")=AW154,IFERROR(--MID(W154,FIND("-",W154)+1,99),"")=AX154),10,5*(SIGN((IFERROR(--LEFT(W154,FIND("-",W154)-1),""))-(IFERROR(--MID(W154,FIND("-",W154)+1,99),"")))=SIGN((AW154)-(AX154)))+2*(((IFERROR(--LEFT(W154,FIND("-",W154)-1),""))-(IFERROR(--MID(W154,FIND("-",W154)+1,99),"")))=((AW154)-(AX154)))+2*((IFERROR(--LEFT(W154,FIND("-",W154)-1),""))=(AW154))+2*((IFERROR(--MID(W154,FIND("-",W154)+1,99),""))=(AX154))),""))</f>
        <v>0</v>
      </c>
      <c r="Y154" s="10" t="s">
        <v>50</v>
      </c>
      <c r="Z154" s="11">
        <f>IF(OR($C154="",Y154=""),"",IFERROR(IF(AND(IFERROR(--LEFT(Y154,FIND("-",Y154)-1),"")=AW154,IFERROR(--MID(Y154,FIND("-",Y154)+1,99),"")=AX154),10,5*(SIGN((IFERROR(--LEFT(Y154,FIND("-",Y154)-1),""))-(IFERROR(--MID(Y154,FIND("-",Y154)+1,99),"")))=SIGN((AW154)-(AX154)))+2*(((IFERROR(--LEFT(Y154,FIND("-",Y154)-1),""))-(IFERROR(--MID(Y154,FIND("-",Y154)+1,99),"")))=((AW154)-(AX154)))+2*((IFERROR(--LEFT(Y154,FIND("-",Y154)-1),""))=(AW154))+2*((IFERROR(--MID(Y154,FIND("-",Y154)+1,99),""))=(AX154))),""))</f>
        <v>0</v>
      </c>
      <c r="AA154" s="10" t="s">
        <v>35</v>
      </c>
      <c r="AB154" s="11">
        <f>IF(OR($C154="",AA154=""),"",IFERROR(IF(AND(IFERROR(--LEFT(AA154,FIND("-",AA154)-1),"")=AW154,IFERROR(--MID(AA154,FIND("-",AA154)+1,99),"")=AX154),10,5*(SIGN((IFERROR(--LEFT(AA154,FIND("-",AA154)-1),""))-(IFERROR(--MID(AA154,FIND("-",AA154)+1,99),"")))=SIGN((AW154)-(AX154)))+2*(((IFERROR(--LEFT(AA154,FIND("-",AA154)-1),""))-(IFERROR(--MID(AA154,FIND("-",AA154)+1,99),"")))=((AW154)-(AX154)))+2*((IFERROR(--LEFT(AA154,FIND("-",AA154)-1),""))=(AW154))+2*((IFERROR(--MID(AA154,FIND("-",AA154)+1,99),""))=(AX154))),""))</f>
        <v>0</v>
      </c>
      <c r="AC154" s="10" t="s">
        <v>49</v>
      </c>
      <c r="AD154" s="11">
        <f>IF(OR($C154="",AC154=""),"",IFERROR(IF(AND(IFERROR(--LEFT(AC154,FIND("-",AC154)-1),"")=AW154,IFERROR(--MID(AC154,FIND("-",AC154)+1,99),"")=AX154),10,5*(SIGN((IFERROR(--LEFT(AC154,FIND("-",AC154)-1),""))-(IFERROR(--MID(AC154,FIND("-",AC154)+1,99),"")))=SIGN((AW154)-(AX154)))+2*(((IFERROR(--LEFT(AC154,FIND("-",AC154)-1),""))-(IFERROR(--MID(AC154,FIND("-",AC154)+1,99),"")))=((AW154)-(AX154)))+2*((IFERROR(--LEFT(AC154,FIND("-",AC154)-1),""))=(AW154))+2*((IFERROR(--MID(AC154,FIND("-",AC154)+1,99),""))=(AX154))),""))</f>
        <v>2</v>
      </c>
      <c r="AE154" s="10" t="s">
        <v>37</v>
      </c>
      <c r="AF154" s="11">
        <f>IF(OR($C154="",AE154=""),"",IFERROR(IF(AND(IFERROR(--LEFT(AE154,FIND("-",AE154)-1),"")=AW154,IFERROR(--MID(AE154,FIND("-",AE154)+1,99),"")=AX154),10,5*(SIGN((IFERROR(--LEFT(AE154,FIND("-",AE154)-1),""))-(IFERROR(--MID(AE154,FIND("-",AE154)+1,99),"")))=SIGN((AW154)-(AX154)))+2*(((IFERROR(--LEFT(AE154,FIND("-",AE154)-1),""))-(IFERROR(--MID(AE154,FIND("-",AE154)+1,99),"")))=((AW154)-(AX154)))+2*((IFERROR(--LEFT(AE154,FIND("-",AE154)-1),""))=(AW154))+2*((IFERROR(--MID(AE154,FIND("-",AE154)+1,99),""))=(AX154))),""))</f>
        <v>7</v>
      </c>
      <c r="AG154" s="10" t="s">
        <v>39</v>
      </c>
      <c r="AH154" s="11">
        <f>IF(OR($C154="",AG154=""),"",IFERROR(IF(AND(IFERROR(--LEFT(AG154,FIND("-",AG154)-1),"")=AW154,IFERROR(--MID(AG154,FIND("-",AG154)+1,99),"")=AX154),10,5*(SIGN((IFERROR(--LEFT(AG154,FIND("-",AG154)-1),""))-(IFERROR(--MID(AG154,FIND("-",AG154)+1,99),"")))=SIGN((AW154)-(AX154)))+2*(((IFERROR(--LEFT(AG154,FIND("-",AG154)-1),""))-(IFERROR(--MID(AG154,FIND("-",AG154)+1,99),"")))=((AW154)-(AX154)))+2*((IFERROR(--LEFT(AG154,FIND("-",AG154)-1),""))=(AW154))+2*((IFERROR(--MID(AG154,FIND("-",AG154)+1,99),""))=(AX154))),""))</f>
        <v>0</v>
      </c>
      <c r="AI154" s="10" t="s">
        <v>35</v>
      </c>
      <c r="AJ154" s="11">
        <f>IF(OR($C154="",AI154=""),"",IFERROR(IF(AND(IFERROR(--LEFT(AI154,FIND("-",AI154)-1),"")=AW154,IFERROR(--MID(AI154,FIND("-",AI154)+1,99),"")=AX154),10,5*(SIGN((IFERROR(--LEFT(AI154,FIND("-",AI154)-1),""))-(IFERROR(--MID(AI154,FIND("-",AI154)+1,99),"")))=SIGN((AW154)-(AX154)))+2*(((IFERROR(--LEFT(AI154,FIND("-",AI154)-1),""))-(IFERROR(--MID(AI154,FIND("-",AI154)+1,99),"")))=((AW154)-(AX154)))+2*((IFERROR(--LEFT(AI154,FIND("-",AI154)-1),""))=(AW154))+2*((IFERROR(--MID(AI154,FIND("-",AI154)+1,99),""))=(AX154))),""))</f>
        <v>0</v>
      </c>
      <c r="AK154" s="10" t="s">
        <v>45</v>
      </c>
      <c r="AL154" s="11">
        <f>IF(OR($C154="",AK154=""),"",IFERROR(IF(AND(IFERROR(--LEFT(AK154,FIND("-",AK154)-1),"")=AW154,IFERROR(--MID(AK154,FIND("-",AK154)+1,99),"")=AX154),10,5*(SIGN((IFERROR(--LEFT(AK154,FIND("-",AK154)-1),""))-(IFERROR(--MID(AK154,FIND("-",AK154)+1,99),"")))=SIGN((AW154)-(AX154)))+2*(((IFERROR(--LEFT(AK154,FIND("-",AK154)-1),""))-(IFERROR(--MID(AK154,FIND("-",AK154)+1,99),"")))=((AW154)-(AX154)))+2*((IFERROR(--LEFT(AK154,FIND("-",AK154)-1),""))=(AW154))+2*((IFERROR(--MID(AK154,FIND("-",AK154)+1,99),""))=(AX154))),""))</f>
        <v>7</v>
      </c>
      <c r="AM154" s="10" t="s">
        <v>49</v>
      </c>
      <c r="AN154" s="11">
        <f>IF(OR($C154="",AM154=""),"",IFERROR(IF(AND(IFERROR(--LEFT(AM154,FIND("-",AM154)-1),"")=AW154,IFERROR(--MID(AM154,FIND("-",AM154)+1,99),"")=AX154),10,5*(SIGN((IFERROR(--LEFT(AM154,FIND("-",AM154)-1),""))-(IFERROR(--MID(AM154,FIND("-",AM154)+1,99),"")))=SIGN((AW154)-(AX154)))+2*(((IFERROR(--LEFT(AM154,FIND("-",AM154)-1),""))-(IFERROR(--MID(AM154,FIND("-",AM154)+1,99),"")))=((AW154)-(AX154)))+2*((IFERROR(--LEFT(AM154,FIND("-",AM154)-1),""))=(AW154))+2*((IFERROR(--MID(AM154,FIND("-",AM154)+1,99),""))=(AX154))),""))</f>
        <v>2</v>
      </c>
      <c r="AO154" s="10" t="s">
        <v>35</v>
      </c>
      <c r="AP154" s="11">
        <f>IF(OR($C154="",AO154=""),"",IFERROR(IF(AND(IFERROR(--LEFT(AO154,FIND("-",AO154)-1),"")=AW154,IFERROR(--MID(AO154,FIND("-",AO154)+1,99),"")=AX154),10,5*(SIGN((IFERROR(--LEFT(AO154,FIND("-",AO154)-1),""))-(IFERROR(--MID(AO154,FIND("-",AO154)+1,99),"")))=SIGN((AW154)-(AX154)))+2*(((IFERROR(--LEFT(AO154,FIND("-",AO154)-1),""))-(IFERROR(--MID(AO154,FIND("-",AO154)+1,99),"")))=((AW154)-(AX154)))+2*((IFERROR(--LEFT(AO154,FIND("-",AO154)-1),""))=(AW154))+2*((IFERROR(--MID(AO154,FIND("-",AO154)+1,99),""))=(AX154))),""))</f>
        <v>0</v>
      </c>
      <c r="AQ154" s="10" t="s">
        <v>57</v>
      </c>
      <c r="AR154" s="11">
        <f>IF(OR($C154="",AQ154=""),"",IFERROR(IF(AND(IFERROR(--LEFT(AQ154,FIND("-",AQ154)-1),"")=AW154,IFERROR(--MID(AQ154,FIND("-",AQ154)+1,99),"")=AX154),10,5*(SIGN((IFERROR(--LEFT(AQ154,FIND("-",AQ154)-1),""))-(IFERROR(--MID(AQ154,FIND("-",AQ154)+1,99),"")))=SIGN((AW154)-(AX154)))+2*(((IFERROR(--LEFT(AQ154,FIND("-",AQ154)-1),""))-(IFERROR(--MID(AQ154,FIND("-",AQ154)+1,99),"")))=((AW154)-(AX154)))+2*((IFERROR(--LEFT(AQ154,FIND("-",AQ154)-1),""))=(AW154))+2*((IFERROR(--MID(AQ154,FIND("-",AQ154)+1,99),""))=(AX154))),""))</f>
        <v>7</v>
      </c>
      <c r="AS154" s="10" t="s">
        <v>35</v>
      </c>
      <c r="AT154" s="11">
        <f>IF(OR($C154="",AS154=""),"",IFERROR(IF(AND(IFERROR(--LEFT(AS154,FIND("-",AS154)-1),"")=AW154,IFERROR(--MID(AS154,FIND("-",AS154)+1,99),"")=AX154),10,5*(SIGN((IFERROR(--LEFT(AS154,FIND("-",AS154)-1),""))-(IFERROR(--MID(AS154,FIND("-",AS154)+1,99),"")))=SIGN((AW154)-(AX154)))+2*(((IFERROR(--LEFT(AS154,FIND("-",AS154)-1),""))-(IFERROR(--MID(AS154,FIND("-",AS154)+1,99),"")))=((AW154)-(AX154)))+2*((IFERROR(--LEFT(AS154,FIND("-",AS154)-1),""))=(AW154))+2*((IFERROR(--MID(AS154,FIND("-",AS154)+1,99),""))=(AX154))),""))</f>
        <v>0</v>
      </c>
      <c r="AU154" s="10" t="s">
        <v>48</v>
      </c>
      <c r="AV154" s="11">
        <f>IF(OR($C154="",AU154=""),"",IFERROR(IF(AND(IFERROR(--LEFT(AU154,FIND("-",AU154)-1),"")=AW154,IFERROR(--MID(AU154,FIND("-",AU154)+1,99),"")=AX154),10,5*(SIGN((IFERROR(--LEFT(AU154,FIND("-",AU154)-1),""))-(IFERROR(--MID(AU154,FIND("-",AU154)+1,99),"")))=SIGN((AW154)-(AX154)))+2*(((IFERROR(--LEFT(AU154,FIND("-",AU154)-1),""))-(IFERROR(--MID(AU154,FIND("-",AU154)+1,99),"")))=((AW154)-(AX154)))+2*((IFERROR(--LEFT(AU154,FIND("-",AU154)-1),""))=(AW154))+2*((IFERROR(--MID(AU154,FIND("-",AU154)+1,99),""))=(AX154))),""))</f>
        <v>5</v>
      </c>
      <c r="AW154" s="11">
        <f>IF($C154="","",IFERROR(--LEFT($C154,FIND("-",$C154)-1),""))</f>
        <v>2</v>
      </c>
      <c r="AX154" s="11">
        <f>IF($C154="","",IFERROR(--MID($C154,FIND("-",$C154)+1,99),""))</f>
        <v>3</v>
      </c>
    </row>
    <row r="155" spans="1:50" ht="18" customHeight="1" x14ac:dyDescent="0.3">
      <c r="A155" s="9">
        <v>1.875</v>
      </c>
      <c r="B155" s="18" t="s">
        <v>99</v>
      </c>
      <c r="C155" s="10" t="s">
        <v>45</v>
      </c>
      <c r="D155" s="1" t="s">
        <v>80</v>
      </c>
      <c r="E155" s="10" t="s">
        <v>37</v>
      </c>
      <c r="F155" s="11">
        <f>IF(OR($C155="",E155=""),"",IFERROR(IF(AND(IFERROR(--LEFT(E155,FIND("-",E155)-1),"")=AW155,IFERROR(--MID(E155,FIND("-",E155)+1,99),"")=AX155),10,5*(SIGN((IFERROR(--LEFT(E155,FIND("-",E155)-1),""))-(IFERROR(--MID(E155,FIND("-",E155)+1,99),"")))=SIGN((AW155)-(AX155)))+2*(((IFERROR(--LEFT(E155,FIND("-",E155)-1),""))-(IFERROR(--MID(E155,FIND("-",E155)+1,99),"")))=((AW155)-(AX155)))+2*((IFERROR(--LEFT(E155,FIND("-",E155)-1),""))=(AW155))+2*((IFERROR(--MID(E155,FIND("-",E155)+1,99),""))=(AX155))),""))</f>
        <v>7</v>
      </c>
      <c r="G155" s="10" t="s">
        <v>45</v>
      </c>
      <c r="H155" s="11">
        <f>IF(OR($C155="",G155=""),"",IFERROR(IF(AND(IFERROR(--LEFT(G155,FIND("-",G155)-1),"")=AW155,IFERROR(--MID(G155,FIND("-",G155)+1,99),"")=AX155),10,5*(SIGN((IFERROR(--LEFT(G155,FIND("-",G155)-1),""))-(IFERROR(--MID(G155,FIND("-",G155)+1,99),"")))=SIGN((AW155)-(AX155)))+2*(((IFERROR(--LEFT(G155,FIND("-",G155)-1),""))-(IFERROR(--MID(G155,FIND("-",G155)+1,99),"")))=((AW155)-(AX155)))+2*((IFERROR(--LEFT(G155,FIND("-",G155)-1),""))=(AW155))+2*((IFERROR(--MID(G155,FIND("-",G155)+1,99),""))=(AX155))),""))</f>
        <v>10</v>
      </c>
      <c r="I155" s="10" t="s">
        <v>35</v>
      </c>
      <c r="J155" s="11">
        <f>IF(OR($C155="",I155=""),"",IFERROR(IF(AND(IFERROR(--LEFT(I155,FIND("-",I155)-1),"")=AW155,IFERROR(--MID(I155,FIND("-",I155)+1,99),"")=AX155),10,5*(SIGN((IFERROR(--LEFT(I155,FIND("-",I155)-1),""))-(IFERROR(--MID(I155,FIND("-",I155)+1,99),"")))=SIGN((AW155)-(AX155)))+2*(((IFERROR(--LEFT(I155,FIND("-",I155)-1),""))-(IFERROR(--MID(I155,FIND("-",I155)+1,99),"")))=((AW155)-(AX155)))+2*((IFERROR(--LEFT(I155,FIND("-",I155)-1),""))=(AW155))+2*((IFERROR(--MID(I155,FIND("-",I155)+1,99),""))=(AX155))),""))</f>
        <v>2</v>
      </c>
      <c r="K155" s="10" t="s">
        <v>57</v>
      </c>
      <c r="L155" s="11">
        <f>IF(OR($C155="",K155=""),"",IFERROR(IF(AND(IFERROR(--LEFT(K155,FIND("-",K155)-1),"")=AW155,IFERROR(--MID(K155,FIND("-",K155)+1,99),"")=AX155),10,5*(SIGN((IFERROR(--LEFT(K155,FIND("-",K155)-1),""))-(IFERROR(--MID(K155,FIND("-",K155)+1,99),"")))=SIGN((AW155)-(AX155)))+2*(((IFERROR(--LEFT(K155,FIND("-",K155)-1),""))-(IFERROR(--MID(K155,FIND("-",K155)+1,99),"")))=((AW155)-(AX155)))+2*((IFERROR(--LEFT(K155,FIND("-",K155)-1),""))=(AW155))+2*((IFERROR(--MID(K155,FIND("-",K155)+1,99),""))=(AX155))),""))</f>
        <v>5</v>
      </c>
      <c r="M155" s="10" t="s">
        <v>49</v>
      </c>
      <c r="N155" s="11">
        <f>IF(OR($C155="",M155=""),"",IFERROR(IF(AND(IFERROR(--LEFT(M155,FIND("-",M155)-1),"")=AW155,IFERROR(--MID(M155,FIND("-",M155)+1,99),"")=AX155),10,5*(SIGN((IFERROR(--LEFT(M155,FIND("-",M155)-1),""))-(IFERROR(--MID(M155,FIND("-",M155)+1,99),"")))=SIGN((AW155)-(AX155)))+2*(((IFERROR(--LEFT(M155,FIND("-",M155)-1),""))-(IFERROR(--MID(M155,FIND("-",M155)+1,99),"")))=((AW155)-(AX155)))+2*((IFERROR(--LEFT(M155,FIND("-",M155)-1),""))=(AW155))+2*((IFERROR(--MID(M155,FIND("-",M155)+1,99),""))=(AX155))),""))</f>
        <v>0</v>
      </c>
      <c r="O155" s="10" t="s">
        <v>37</v>
      </c>
      <c r="P155" s="11">
        <f>IF(OR($C155="",O155=""),"",IFERROR(IF(AND(IFERROR(--LEFT(O155,FIND("-",O155)-1),"")=AW155,IFERROR(--MID(O155,FIND("-",O155)+1,99),"")=AX155),10,5*(SIGN((IFERROR(--LEFT(O155,FIND("-",O155)-1),""))-(IFERROR(--MID(O155,FIND("-",O155)+1,99),"")))=SIGN((AW155)-(AX155)))+2*(((IFERROR(--LEFT(O155,FIND("-",O155)-1),""))-(IFERROR(--MID(O155,FIND("-",O155)+1,99),"")))=((AW155)-(AX155)))+2*((IFERROR(--LEFT(O155,FIND("-",O155)-1),""))=(AW155))+2*((IFERROR(--MID(O155,FIND("-",O155)+1,99),""))=(AX155))),""))</f>
        <v>7</v>
      </c>
      <c r="Q155" s="10" t="s">
        <v>49</v>
      </c>
      <c r="R155" s="11">
        <f>IF(OR($C155="",Q155=""),"",IFERROR(IF(AND(IFERROR(--LEFT(Q155,FIND("-",Q155)-1),"")=AW155,IFERROR(--MID(Q155,FIND("-",Q155)+1,99),"")=AX155),10,5*(SIGN((IFERROR(--LEFT(Q155,FIND("-",Q155)-1),""))-(IFERROR(--MID(Q155,FIND("-",Q155)+1,99),"")))=SIGN((AW155)-(AX155)))+2*(((IFERROR(--LEFT(Q155,FIND("-",Q155)-1),""))-(IFERROR(--MID(Q155,FIND("-",Q155)+1,99),"")))=((AW155)-(AX155)))+2*((IFERROR(--LEFT(Q155,FIND("-",Q155)-1),""))=(AW155))+2*((IFERROR(--MID(Q155,FIND("-",Q155)+1,99),""))=(AX155))),""))</f>
        <v>0</v>
      </c>
      <c r="S155" s="10" t="s">
        <v>37</v>
      </c>
      <c r="T155" s="11">
        <f>IF(OR($C155="",S155=""),"",IFERROR(IF(AND(IFERROR(--LEFT(S155,FIND("-",S155)-1),"")=AW155,IFERROR(--MID(S155,FIND("-",S155)+1,99),"")=AX155),10,5*(SIGN((IFERROR(--LEFT(S155,FIND("-",S155)-1),""))-(IFERROR(--MID(S155,FIND("-",S155)+1,99),"")))=SIGN((AW155)-(AX155)))+2*(((IFERROR(--LEFT(S155,FIND("-",S155)-1),""))-(IFERROR(--MID(S155,FIND("-",S155)+1,99),"")))=((AW155)-(AX155)))+2*((IFERROR(--LEFT(S155,FIND("-",S155)-1),""))=(AW155))+2*((IFERROR(--MID(S155,FIND("-",S155)+1,99),""))=(AX155))),""))</f>
        <v>7</v>
      </c>
      <c r="U155" s="10" t="s">
        <v>57</v>
      </c>
      <c r="V155" s="11">
        <f>IF(OR($C155="",U155=""),"",IFERROR(IF(AND(IFERROR(--LEFT(U155,FIND("-",U155)-1),"")=AW155,IFERROR(--MID(U155,FIND("-",U155)+1,99),"")=AX155),10,5*(SIGN((IFERROR(--LEFT(U155,FIND("-",U155)-1),""))-(IFERROR(--MID(U155,FIND("-",U155)+1,99),"")))=SIGN((AW155)-(AX155)))+2*(((IFERROR(--LEFT(U155,FIND("-",U155)-1),""))-(IFERROR(--MID(U155,FIND("-",U155)+1,99),"")))=((AW155)-(AX155)))+2*((IFERROR(--LEFT(U155,FIND("-",U155)-1),""))=(AW155))+2*((IFERROR(--MID(U155,FIND("-",U155)+1,99),""))=(AX155))),""))</f>
        <v>5</v>
      </c>
      <c r="W155" s="10" t="s">
        <v>37</v>
      </c>
      <c r="X155" s="11">
        <f>IF(OR($C155="",W155=""),"",IFERROR(IF(AND(IFERROR(--LEFT(W155,FIND("-",W155)-1),"")=AW155,IFERROR(--MID(W155,FIND("-",W155)+1,99),"")=AX155),10,5*(SIGN((IFERROR(--LEFT(W155,FIND("-",W155)-1),""))-(IFERROR(--MID(W155,FIND("-",W155)+1,99),"")))=SIGN((AW155)-(AX155)))+2*(((IFERROR(--LEFT(W155,FIND("-",W155)-1),""))-(IFERROR(--MID(W155,FIND("-",W155)+1,99),"")))=((AW155)-(AX155)))+2*((IFERROR(--LEFT(W155,FIND("-",W155)-1),""))=(AW155))+2*((IFERROR(--MID(W155,FIND("-",W155)+1,99),""))=(AX155))),""))</f>
        <v>7</v>
      </c>
      <c r="Y155" s="10" t="s">
        <v>50</v>
      </c>
      <c r="Z155" s="11">
        <f>IF(OR($C155="",Y155=""),"",IFERROR(IF(AND(IFERROR(--LEFT(Y155,FIND("-",Y155)-1),"")=AW155,IFERROR(--MID(Y155,FIND("-",Y155)+1,99),"")=AX155),10,5*(SIGN((IFERROR(--LEFT(Y155,FIND("-",Y155)-1),""))-(IFERROR(--MID(Y155,FIND("-",Y155)+1,99),"")))=SIGN((AW155)-(AX155)))+2*(((IFERROR(--LEFT(Y155,FIND("-",Y155)-1),""))-(IFERROR(--MID(Y155,FIND("-",Y155)+1,99),"")))=((AW155)-(AX155)))+2*((IFERROR(--LEFT(Y155,FIND("-",Y155)-1),""))=(AW155))+2*((IFERROR(--MID(Y155,FIND("-",Y155)+1,99),""))=(AX155))),""))</f>
        <v>2</v>
      </c>
      <c r="AA155" s="10" t="s">
        <v>33</v>
      </c>
      <c r="AB155" s="11">
        <f>IF(OR($C155="",AA155=""),"",IFERROR(IF(AND(IFERROR(--LEFT(AA155,FIND("-",AA155)-1),"")=AW155,IFERROR(--MID(AA155,FIND("-",AA155)+1,99),"")=AX155),10,5*(SIGN((IFERROR(--LEFT(AA155,FIND("-",AA155)-1),""))-(IFERROR(--MID(AA155,FIND("-",AA155)+1,99),"")))=SIGN((AW155)-(AX155)))+2*(((IFERROR(--LEFT(AA155,FIND("-",AA155)-1),""))-(IFERROR(--MID(AA155,FIND("-",AA155)+1,99),"")))=((AW155)-(AX155)))+2*((IFERROR(--LEFT(AA155,FIND("-",AA155)-1),""))=(AW155))+2*((IFERROR(--MID(AA155,FIND("-",AA155)+1,99),""))=(AX155))),""))</f>
        <v>2</v>
      </c>
      <c r="AC155" s="10" t="s">
        <v>44</v>
      </c>
      <c r="AD155" s="11">
        <f>IF(OR($C155="",AC155=""),"",IFERROR(IF(AND(IFERROR(--LEFT(AC155,FIND("-",AC155)-1),"")=AW155,IFERROR(--MID(AC155,FIND("-",AC155)+1,99),"")=AX155),10,5*(SIGN((IFERROR(--LEFT(AC155,FIND("-",AC155)-1),""))-(IFERROR(--MID(AC155,FIND("-",AC155)+1,99),"")))=SIGN((AW155)-(AX155)))+2*(((IFERROR(--LEFT(AC155,FIND("-",AC155)-1),""))-(IFERROR(--MID(AC155,FIND("-",AC155)+1,99),"")))=((AW155)-(AX155)))+2*((IFERROR(--LEFT(AC155,FIND("-",AC155)-1),""))=(AW155))+2*((IFERROR(--MID(AC155,FIND("-",AC155)+1,99),""))=(AX155))),""))</f>
        <v>7</v>
      </c>
      <c r="AE155" s="10" t="s">
        <v>44</v>
      </c>
      <c r="AF155" s="11">
        <f>IF(OR($C155="",AE155=""),"",IFERROR(IF(AND(IFERROR(--LEFT(AE155,FIND("-",AE155)-1),"")=AW155,IFERROR(--MID(AE155,FIND("-",AE155)+1,99),"")=AX155),10,5*(SIGN((IFERROR(--LEFT(AE155,FIND("-",AE155)-1),""))-(IFERROR(--MID(AE155,FIND("-",AE155)+1,99),"")))=SIGN((AW155)-(AX155)))+2*(((IFERROR(--LEFT(AE155,FIND("-",AE155)-1),""))-(IFERROR(--MID(AE155,FIND("-",AE155)+1,99),"")))=((AW155)-(AX155)))+2*((IFERROR(--LEFT(AE155,FIND("-",AE155)-1),""))=(AW155))+2*((IFERROR(--MID(AE155,FIND("-",AE155)+1,99),""))=(AX155))),""))</f>
        <v>7</v>
      </c>
      <c r="AG155" s="10" t="s">
        <v>37</v>
      </c>
      <c r="AH155" s="11">
        <f>IF(OR($C155="",AG155=""),"",IFERROR(IF(AND(IFERROR(--LEFT(AG155,FIND("-",AG155)-1),"")=AW155,IFERROR(--MID(AG155,FIND("-",AG155)+1,99),"")=AX155),10,5*(SIGN((IFERROR(--LEFT(AG155,FIND("-",AG155)-1),""))-(IFERROR(--MID(AG155,FIND("-",AG155)+1,99),"")))=SIGN((AW155)-(AX155)))+2*(((IFERROR(--LEFT(AG155,FIND("-",AG155)-1),""))-(IFERROR(--MID(AG155,FIND("-",AG155)+1,99),"")))=((AW155)-(AX155)))+2*((IFERROR(--LEFT(AG155,FIND("-",AG155)-1),""))=(AW155))+2*((IFERROR(--MID(AG155,FIND("-",AG155)+1,99),""))=(AX155))),""))</f>
        <v>7</v>
      </c>
      <c r="AI155" s="10" t="s">
        <v>37</v>
      </c>
      <c r="AJ155" s="11">
        <f>IF(OR($C155="",AI155=""),"",IFERROR(IF(AND(IFERROR(--LEFT(AI155,FIND("-",AI155)-1),"")=AW155,IFERROR(--MID(AI155,FIND("-",AI155)+1,99),"")=AX155),10,5*(SIGN((IFERROR(--LEFT(AI155,FIND("-",AI155)-1),""))-(IFERROR(--MID(AI155,FIND("-",AI155)+1,99),"")))=SIGN((AW155)-(AX155)))+2*(((IFERROR(--LEFT(AI155,FIND("-",AI155)-1),""))-(IFERROR(--MID(AI155,FIND("-",AI155)+1,99),"")))=((AW155)-(AX155)))+2*((IFERROR(--LEFT(AI155,FIND("-",AI155)-1),""))=(AW155))+2*((IFERROR(--MID(AI155,FIND("-",AI155)+1,99),""))=(AX155))),""))</f>
        <v>7</v>
      </c>
      <c r="AK155" s="10" t="s">
        <v>37</v>
      </c>
      <c r="AL155" s="11">
        <f>IF(OR($C155="",AK155=""),"",IFERROR(IF(AND(IFERROR(--LEFT(AK155,FIND("-",AK155)-1),"")=AW155,IFERROR(--MID(AK155,FIND("-",AK155)+1,99),"")=AX155),10,5*(SIGN((IFERROR(--LEFT(AK155,FIND("-",AK155)-1),""))-(IFERROR(--MID(AK155,FIND("-",AK155)+1,99),"")))=SIGN((AW155)-(AX155)))+2*(((IFERROR(--LEFT(AK155,FIND("-",AK155)-1),""))-(IFERROR(--MID(AK155,FIND("-",AK155)+1,99),"")))=((AW155)-(AX155)))+2*((IFERROR(--LEFT(AK155,FIND("-",AK155)-1),""))=(AW155))+2*((IFERROR(--MID(AK155,FIND("-",AK155)+1,99),""))=(AX155))),""))</f>
        <v>7</v>
      </c>
      <c r="AM155" s="10" t="s">
        <v>37</v>
      </c>
      <c r="AN155" s="11">
        <f>IF(OR($C155="",AM155=""),"",IFERROR(IF(AND(IFERROR(--LEFT(AM155,FIND("-",AM155)-1),"")=AW155,IFERROR(--MID(AM155,FIND("-",AM155)+1,99),"")=AX155),10,5*(SIGN((IFERROR(--LEFT(AM155,FIND("-",AM155)-1),""))-(IFERROR(--MID(AM155,FIND("-",AM155)+1,99),"")))=SIGN((AW155)-(AX155)))+2*(((IFERROR(--LEFT(AM155,FIND("-",AM155)-1),""))-(IFERROR(--MID(AM155,FIND("-",AM155)+1,99),"")))=((AW155)-(AX155)))+2*((IFERROR(--LEFT(AM155,FIND("-",AM155)-1),""))=(AW155))+2*((IFERROR(--MID(AM155,FIND("-",AM155)+1,99),""))=(AX155))),""))</f>
        <v>7</v>
      </c>
      <c r="AO155" s="10" t="s">
        <v>48</v>
      </c>
      <c r="AP155" s="11">
        <f>IF(OR($C155="",AO155=""),"",IFERROR(IF(AND(IFERROR(--LEFT(AO155,FIND("-",AO155)-1),"")=AW155,IFERROR(--MID(AO155,FIND("-",AO155)+1,99),"")=AX155),10,5*(SIGN((IFERROR(--LEFT(AO155,FIND("-",AO155)-1),""))-(IFERROR(--MID(AO155,FIND("-",AO155)+1,99),"")))=SIGN((AW155)-(AX155)))+2*(((IFERROR(--LEFT(AO155,FIND("-",AO155)-1),""))-(IFERROR(--MID(AO155,FIND("-",AO155)+1,99),"")))=((AW155)-(AX155)))+2*((IFERROR(--LEFT(AO155,FIND("-",AO155)-1),""))=(AW155))+2*((IFERROR(--MID(AO155,FIND("-",AO155)+1,99),""))=(AX155))),""))</f>
        <v>7</v>
      </c>
      <c r="AQ155" s="10" t="s">
        <v>37</v>
      </c>
      <c r="AR155" s="11">
        <f>IF(OR($C155="",AQ155=""),"",IFERROR(IF(AND(IFERROR(--LEFT(AQ155,FIND("-",AQ155)-1),"")=AW155,IFERROR(--MID(AQ155,FIND("-",AQ155)+1,99),"")=AX155),10,5*(SIGN((IFERROR(--LEFT(AQ155,FIND("-",AQ155)-1),""))-(IFERROR(--MID(AQ155,FIND("-",AQ155)+1,99),"")))=SIGN((AW155)-(AX155)))+2*(((IFERROR(--LEFT(AQ155,FIND("-",AQ155)-1),""))-(IFERROR(--MID(AQ155,FIND("-",AQ155)+1,99),"")))=((AW155)-(AX155)))+2*((IFERROR(--LEFT(AQ155,FIND("-",AQ155)-1),""))=(AW155))+2*((IFERROR(--MID(AQ155,FIND("-",AQ155)+1,99),""))=(AX155))),""))</f>
        <v>7</v>
      </c>
      <c r="AS155" s="10" t="s">
        <v>39</v>
      </c>
      <c r="AT155" s="11">
        <f>IF(OR($C155="",AS155=""),"",IFERROR(IF(AND(IFERROR(--LEFT(AS155,FIND("-",AS155)-1),"")=AW155,IFERROR(--MID(AS155,FIND("-",AS155)+1,99),"")=AX155),10,5*(SIGN((IFERROR(--LEFT(AS155,FIND("-",AS155)-1),""))-(IFERROR(--MID(AS155,FIND("-",AS155)+1,99),"")))=SIGN((AW155)-(AX155)))+2*(((IFERROR(--LEFT(AS155,FIND("-",AS155)-1),""))-(IFERROR(--MID(AS155,FIND("-",AS155)+1,99),"")))=((AW155)-(AX155)))+2*((IFERROR(--LEFT(AS155,FIND("-",AS155)-1),""))=(AW155))+2*((IFERROR(--MID(AS155,FIND("-",AS155)+1,99),""))=(AX155))),""))</f>
        <v>0</v>
      </c>
      <c r="AU155" s="10" t="s">
        <v>33</v>
      </c>
      <c r="AV155" s="11">
        <f>IF(OR($C155="",AU155=""),"",IFERROR(IF(AND(IFERROR(--LEFT(AU155,FIND("-",AU155)-1),"")=AW155,IFERROR(--MID(AU155,FIND("-",AU155)+1,99),"")=AX155),10,5*(SIGN((IFERROR(--LEFT(AU155,FIND("-",AU155)-1),""))-(IFERROR(--MID(AU155,FIND("-",AU155)+1,99),"")))=SIGN((AW155)-(AX155)))+2*(((IFERROR(--LEFT(AU155,FIND("-",AU155)-1),""))-(IFERROR(--MID(AU155,FIND("-",AU155)+1,99),"")))=((AW155)-(AX155)))+2*((IFERROR(--LEFT(AU155,FIND("-",AU155)-1),""))=(AW155))+2*((IFERROR(--MID(AU155,FIND("-",AU155)+1,99),""))=(AX155))),""))</f>
        <v>2</v>
      </c>
      <c r="AW155" s="11">
        <f>IF($C155="","",IFERROR(--LEFT($C155,FIND("-",$C155)-1),""))</f>
        <v>0</v>
      </c>
      <c r="AX155" s="11">
        <f>IF($C155="","",IFERROR(--MID($C155,FIND("-",$C155)+1,99),""))</f>
        <v>1</v>
      </c>
    </row>
    <row r="156" spans="1:50" ht="18" customHeight="1" x14ac:dyDescent="0.3">
      <c r="A156" s="12"/>
      <c r="B156" s="18"/>
      <c r="C156" s="13"/>
      <c r="D156" s="1"/>
      <c r="E156" s="22"/>
      <c r="F156" s="12"/>
      <c r="G156" s="22"/>
      <c r="H156" s="12"/>
      <c r="I156" s="22"/>
      <c r="J156" s="12"/>
      <c r="K156" s="22"/>
      <c r="L156" s="12"/>
      <c r="M156" s="22"/>
      <c r="N156" s="12"/>
      <c r="O156" s="22"/>
      <c r="P156" s="12"/>
      <c r="Q156" s="22"/>
      <c r="R156" s="12"/>
      <c r="S156" s="22"/>
      <c r="T156" s="12"/>
      <c r="U156" s="13"/>
      <c r="V156" s="12"/>
      <c r="W156" s="22"/>
      <c r="X156" s="12"/>
      <c r="Y156" s="22"/>
      <c r="Z156" s="12"/>
      <c r="AA156" s="22"/>
      <c r="AB156" s="12"/>
      <c r="AC156" s="22"/>
      <c r="AD156" s="12"/>
      <c r="AE156" s="22"/>
      <c r="AF156" s="12"/>
      <c r="AG156" s="22"/>
      <c r="AH156" s="12"/>
      <c r="AI156" s="22"/>
      <c r="AJ156" s="12"/>
      <c r="AK156" s="22"/>
      <c r="AL156" s="12"/>
      <c r="AM156" s="22"/>
      <c r="AN156" s="12"/>
      <c r="AO156" s="22"/>
      <c r="AP156" s="12"/>
      <c r="AQ156" s="22"/>
      <c r="AR156" s="12" t="str">
        <f>IF(OR($C156="",AQ156=""),"",IFERROR(IF(AND(IFERROR(--LEFT(AQ156,FIND("-",AQ156)-1),"")=AW156,IFERROR(--MID(AQ156,FIND("-",AQ156)+1,99),"")=AX156),10,5*(SIGN((IFERROR(--LEFT(AQ156,FIND("-",AQ156)-1),""))-(IFERROR(--MID(AQ156,FIND("-",AQ156)+1,99),"")))=SIGN((AW156)-(AX156)))+2*(((IFERROR(--LEFT(AQ156,FIND("-",AQ156)-1),""))-(IFERROR(--MID(AQ156,FIND("-",AQ156)+1,99),"")))=((AW156)-(AX156)))+2*((IFERROR(--LEFT(AQ156,FIND("-",AQ156)-1),""))=(AW156))+2*((IFERROR(--MID(AQ156,FIND("-",AQ156)+1,99),""))=(AX156))),""))</f>
        <v/>
      </c>
      <c r="AS156" s="22"/>
      <c r="AT156" s="12" t="str">
        <f>IF(OR($C156="",AS156=""),"",IFERROR(IF(AND(IFERROR(--LEFT(AS156,FIND("-",AS156)-1),"")=AW156,IFERROR(--MID(AS156,FIND("-",AS156)+1,99),"")=AX156),10,5*(SIGN((IFERROR(--LEFT(AS156,FIND("-",AS156)-1),""))-(IFERROR(--MID(AS156,FIND("-",AS156)+1,99),"")))=SIGN((AW156)-(AX156)))+2*(((IFERROR(--LEFT(AS156,FIND("-",AS156)-1),""))-(IFERROR(--MID(AS156,FIND("-",AS156)+1,99),"")))=((AW156)-(AX156)))+2*((IFERROR(--LEFT(AS156,FIND("-",AS156)-1),""))=(AW156))+2*((IFERROR(--MID(AS156,FIND("-",AS156)+1,99),""))=(AX156))),""))</f>
        <v/>
      </c>
      <c r="AU156" s="22"/>
      <c r="AV156" s="12"/>
      <c r="AW156" s="12"/>
      <c r="AX156" s="12"/>
    </row>
    <row r="157" spans="1:50" ht="20.100000000000001" customHeight="1" x14ac:dyDescent="0.3">
      <c r="A157" s="36">
        <v>0</v>
      </c>
      <c r="B157" s="37"/>
      <c r="C157" s="38"/>
      <c r="D157" s="37"/>
      <c r="E157" s="38"/>
      <c r="F157" s="37"/>
      <c r="G157" s="38"/>
      <c r="H157" s="37"/>
      <c r="I157" s="38"/>
      <c r="J157" s="37"/>
      <c r="K157" s="38"/>
      <c r="L157" s="37"/>
      <c r="M157" s="38"/>
      <c r="N157" s="37"/>
      <c r="O157" s="38"/>
      <c r="P157" s="37"/>
      <c r="Q157" s="38"/>
      <c r="R157" s="37"/>
      <c r="S157" s="38"/>
      <c r="T157" s="37"/>
      <c r="U157" s="38"/>
      <c r="V157" s="37"/>
      <c r="W157" s="38"/>
      <c r="X157" s="37"/>
      <c r="Y157" s="38"/>
      <c r="Z157" s="37"/>
      <c r="AA157" s="38"/>
      <c r="AB157" s="37"/>
      <c r="AC157" s="38"/>
      <c r="AD157" s="37"/>
      <c r="AE157" s="38"/>
      <c r="AF157" s="37"/>
      <c r="AG157" s="38"/>
      <c r="AH157" s="37"/>
      <c r="AI157" s="38"/>
      <c r="AJ157" s="37"/>
      <c r="AK157" s="38"/>
      <c r="AL157" s="37"/>
      <c r="AM157" s="38"/>
      <c r="AN157" s="37"/>
      <c r="AO157" s="38"/>
      <c r="AP157" s="37"/>
      <c r="AQ157" s="37"/>
      <c r="AR157" s="37"/>
      <c r="AS157" s="37"/>
      <c r="AT157" s="37"/>
      <c r="AU157" s="38"/>
      <c r="AV157" s="39"/>
      <c r="AW157" s="8"/>
      <c r="AX157" s="8"/>
    </row>
    <row r="158" spans="1:50" ht="18" customHeight="1" x14ac:dyDescent="0.3">
      <c r="A158" s="9">
        <v>1.083333333333333</v>
      </c>
      <c r="B158" s="18" t="s">
        <v>52</v>
      </c>
      <c r="C158" s="10" t="s">
        <v>115</v>
      </c>
      <c r="D158" s="1" t="s">
        <v>82</v>
      </c>
      <c r="E158" s="10" t="s">
        <v>35</v>
      </c>
      <c r="F158" s="11">
        <f>IF(OR($C158="",E158=""),"",IFERROR(IF(AND(IFERROR(--LEFT(E158,FIND("-",E158)-1),"")=AW158,IFERROR(--MID(E158,FIND("-",E158)+1,99),"")=AX158),10,5*(SIGN((IFERROR(--LEFT(E158,FIND("-",E158)-1),""))-(IFERROR(--MID(E158,FIND("-",E158)+1,99),"")))=SIGN((AW158)-(AX158)))+2*(((IFERROR(--LEFT(E158,FIND("-",E158)-1),""))-(IFERROR(--MID(E158,FIND("-",E158)+1,99),"")))=((AW158)-(AX158)))+2*((IFERROR(--LEFT(E158,FIND("-",E158)-1),""))=(AW158))+2*((IFERROR(--MID(E158,FIND("-",E158)+1,99),""))=(AX158))),""))</f>
        <v>2</v>
      </c>
      <c r="G158" s="10" t="s">
        <v>50</v>
      </c>
      <c r="H158" s="11">
        <f>IF(OR($C158="",G158=""),"",IFERROR(IF(AND(IFERROR(--LEFT(G158,FIND("-",G158)-1),"")=AW158,IFERROR(--MID(G158,FIND("-",G158)+1,99),"")=AX158),10,5*(SIGN((IFERROR(--LEFT(G158,FIND("-",G158)-1),""))-(IFERROR(--MID(G158,FIND("-",G158)+1,99),"")))=SIGN((AW158)-(AX158)))+2*(((IFERROR(--LEFT(G158,FIND("-",G158)-1),""))-(IFERROR(--MID(G158,FIND("-",G158)+1,99),"")))=((AW158)-(AX158)))+2*((IFERROR(--LEFT(G158,FIND("-",G158)-1),""))=(AW158))+2*((IFERROR(--MID(G158,FIND("-",G158)+1,99),""))=(AX158))),""))</f>
        <v>0</v>
      </c>
      <c r="I158" s="10" t="s">
        <v>37</v>
      </c>
      <c r="J158" s="11">
        <f>IF(OR($C158="",I158=""),"",IFERROR(IF(AND(IFERROR(--LEFT(I158,FIND("-",I158)-1),"")=AW158,IFERROR(--MID(I158,FIND("-",I158)+1,99),"")=AX158),10,5*(SIGN((IFERROR(--LEFT(I158,FIND("-",I158)-1),""))-(IFERROR(--MID(I158,FIND("-",I158)+1,99),"")))=SIGN((AW158)-(AX158)))+2*(((IFERROR(--LEFT(I158,FIND("-",I158)-1),""))-(IFERROR(--MID(I158,FIND("-",I158)+1,99),"")))=((AW158)-(AX158)))+2*((IFERROR(--LEFT(I158,FIND("-",I158)-1),""))=(AW158))+2*((IFERROR(--MID(I158,FIND("-",I158)+1,99),""))=(AX158))),""))</f>
        <v>7</v>
      </c>
      <c r="K158" s="10" t="s">
        <v>37</v>
      </c>
      <c r="L158" s="11">
        <f>IF(OR($C158="",K158=""),"",IFERROR(IF(AND(IFERROR(--LEFT(K158,FIND("-",K158)-1),"")=AW158,IFERROR(--MID(K158,FIND("-",K158)+1,99),"")=AX158),10,5*(SIGN((IFERROR(--LEFT(K158,FIND("-",K158)-1),""))-(IFERROR(--MID(K158,FIND("-",K158)+1,99),"")))=SIGN((AW158)-(AX158)))+2*(((IFERROR(--LEFT(K158,FIND("-",K158)-1),""))-(IFERROR(--MID(K158,FIND("-",K158)+1,99),"")))=((AW158)-(AX158)))+2*((IFERROR(--LEFT(K158,FIND("-",K158)-1),""))=(AW158))+2*((IFERROR(--MID(K158,FIND("-",K158)+1,99),""))=(AX158))),""))</f>
        <v>7</v>
      </c>
      <c r="M158" s="10" t="s">
        <v>56</v>
      </c>
      <c r="N158" s="11">
        <f>IF(OR($C158="",M158=""),"",IFERROR(IF(AND(IFERROR(--LEFT(M158,FIND("-",M158)-1),"")=AW158,IFERROR(--MID(M158,FIND("-",M158)+1,99),"")=AX158),10,5*(SIGN((IFERROR(--LEFT(M158,FIND("-",M158)-1),""))-(IFERROR(--MID(M158,FIND("-",M158)+1,99),"")))=SIGN((AW158)-(AX158)))+2*(((IFERROR(--LEFT(M158,FIND("-",M158)-1),""))-(IFERROR(--MID(M158,FIND("-",M158)+1,99),"")))=((AW158)-(AX158)))+2*((IFERROR(--LEFT(M158,FIND("-",M158)-1),""))=(AW158))+2*((IFERROR(--MID(M158,FIND("-",M158)+1,99),""))=(AX158))),""))</f>
        <v>7</v>
      </c>
      <c r="O158" s="10" t="s">
        <v>36</v>
      </c>
      <c r="P158" s="11">
        <f>IF(OR($C158="",O158=""),"",IFERROR(IF(AND(IFERROR(--LEFT(O158,FIND("-",O158)-1),"")=AW158,IFERROR(--MID(O158,FIND("-",O158)+1,99),"")=AX158),10,5*(SIGN((IFERROR(--LEFT(O158,FIND("-",O158)-1),""))-(IFERROR(--MID(O158,FIND("-",O158)+1,99),"")))=SIGN((AW158)-(AX158)))+2*(((IFERROR(--LEFT(O158,FIND("-",O158)-1),""))-(IFERROR(--MID(O158,FIND("-",O158)+1,99),"")))=((AW158)-(AX158)))+2*((IFERROR(--LEFT(O158,FIND("-",O158)-1),""))=(AW158))+2*((IFERROR(--MID(O158,FIND("-",O158)+1,99),""))=(AX158))),""))</f>
        <v>0</v>
      </c>
      <c r="Q158" s="10" t="s">
        <v>35</v>
      </c>
      <c r="R158" s="11">
        <f>IF(OR($C158="",Q158=""),"",IFERROR(IF(AND(IFERROR(--LEFT(Q158,FIND("-",Q158)-1),"")=AW158,IFERROR(--MID(Q158,FIND("-",Q158)+1,99),"")=AX158),10,5*(SIGN((IFERROR(--LEFT(Q158,FIND("-",Q158)-1),""))-(IFERROR(--MID(Q158,FIND("-",Q158)+1,99),"")))=SIGN((AW158)-(AX158)))+2*(((IFERROR(--LEFT(Q158,FIND("-",Q158)-1),""))-(IFERROR(--MID(Q158,FIND("-",Q158)+1,99),"")))=((AW158)-(AX158)))+2*((IFERROR(--LEFT(Q158,FIND("-",Q158)-1),""))=(AW158))+2*((IFERROR(--MID(Q158,FIND("-",Q158)+1,99),""))=(AX158))),""))</f>
        <v>2</v>
      </c>
      <c r="S158" s="10" t="s">
        <v>33</v>
      </c>
      <c r="T158" s="11">
        <f>IF(OR($C158="",S158=""),"",IFERROR(IF(AND(IFERROR(--LEFT(S158,FIND("-",S158)-1),"")=AW158,IFERROR(--MID(S158,FIND("-",S158)+1,99),"")=AX158),10,5*(SIGN((IFERROR(--LEFT(S158,FIND("-",S158)-1),""))-(IFERROR(--MID(S158,FIND("-",S158)+1,99),"")))=SIGN((AW158)-(AX158)))+2*(((IFERROR(--LEFT(S158,FIND("-",S158)-1),""))-(IFERROR(--MID(S158,FIND("-",S158)+1,99),"")))=((AW158)-(AX158)))+2*((IFERROR(--LEFT(S158,FIND("-",S158)-1),""))=(AW158))+2*((IFERROR(--MID(S158,FIND("-",S158)+1,99),""))=(AX158))),""))</f>
        <v>0</v>
      </c>
      <c r="U158" s="10" t="s">
        <v>49</v>
      </c>
      <c r="V158" s="11">
        <f>IF(OR($C158="",U158=""),"",IFERROR(IF(AND(IFERROR(--LEFT(U158,FIND("-",U158)-1),"")=AW158,IFERROR(--MID(U158,FIND("-",U158)+1,99),"")=AX158),10,5*(SIGN((IFERROR(--LEFT(U158,FIND("-",U158)-1),""))-(IFERROR(--MID(U158,FIND("-",U158)+1,99),"")))=SIGN((AW158)-(AX158)))+2*(((IFERROR(--LEFT(U158,FIND("-",U158)-1),""))-(IFERROR(--MID(U158,FIND("-",U158)+1,99),"")))=((AW158)-(AX158)))+2*((IFERROR(--LEFT(U158,FIND("-",U158)-1),""))=(AW158))+2*((IFERROR(--MID(U158,FIND("-",U158)+1,99),""))=(AX158))),""))</f>
        <v>0</v>
      </c>
      <c r="W158" s="10" t="s">
        <v>35</v>
      </c>
      <c r="X158" s="11">
        <f>IF(OR($C158="",W158=""),"",IFERROR(IF(AND(IFERROR(--LEFT(W158,FIND("-",W158)-1),"")=AW158,IFERROR(--MID(W158,FIND("-",W158)+1,99),"")=AX158),10,5*(SIGN((IFERROR(--LEFT(W158,FIND("-",W158)-1),""))-(IFERROR(--MID(W158,FIND("-",W158)+1,99),"")))=SIGN((AW158)-(AX158)))+2*(((IFERROR(--LEFT(W158,FIND("-",W158)-1),""))-(IFERROR(--MID(W158,FIND("-",W158)+1,99),"")))=((AW158)-(AX158)))+2*((IFERROR(--LEFT(W158,FIND("-",W158)-1),""))=(AW158))+2*((IFERROR(--MID(W158,FIND("-",W158)+1,99),""))=(AX158))),""))</f>
        <v>2</v>
      </c>
      <c r="Y158" s="10" t="s">
        <v>50</v>
      </c>
      <c r="Z158" s="11">
        <f>IF(OR($C158="",Y158=""),"",IFERROR(IF(AND(IFERROR(--LEFT(Y158,FIND("-",Y158)-1),"")=AW158,IFERROR(--MID(Y158,FIND("-",Y158)+1,99),"")=AX158),10,5*(SIGN((IFERROR(--LEFT(Y158,FIND("-",Y158)-1),""))-(IFERROR(--MID(Y158,FIND("-",Y158)+1,99),"")))=SIGN((AW158)-(AX158)))+2*(((IFERROR(--LEFT(Y158,FIND("-",Y158)-1),""))-(IFERROR(--MID(Y158,FIND("-",Y158)+1,99),"")))=((AW158)-(AX158)))+2*((IFERROR(--LEFT(Y158,FIND("-",Y158)-1),""))=(AW158))+2*((IFERROR(--MID(Y158,FIND("-",Y158)+1,99),""))=(AX158))),""))</f>
        <v>0</v>
      </c>
      <c r="AA158" s="10" t="s">
        <v>49</v>
      </c>
      <c r="AB158" s="11">
        <f>IF(OR($C158="",AA158=""),"",IFERROR(IF(AND(IFERROR(--LEFT(AA158,FIND("-",AA158)-1),"")=AW158,IFERROR(--MID(AA158,FIND("-",AA158)+1,99),"")=AX158),10,5*(SIGN((IFERROR(--LEFT(AA158,FIND("-",AA158)-1),""))-(IFERROR(--MID(AA158,FIND("-",AA158)+1,99),"")))=SIGN((AW158)-(AX158)))+2*(((IFERROR(--LEFT(AA158,FIND("-",AA158)-1),""))-(IFERROR(--MID(AA158,FIND("-",AA158)+1,99),"")))=((AW158)-(AX158)))+2*((IFERROR(--LEFT(AA158,FIND("-",AA158)-1),""))=(AW158))+2*((IFERROR(--MID(AA158,FIND("-",AA158)+1,99),""))=(AX158))),""))</f>
        <v>0</v>
      </c>
      <c r="AC158" s="10" t="s">
        <v>37</v>
      </c>
      <c r="AD158" s="11">
        <f>IF(OR($C158="",AC158=""),"",IFERROR(IF(AND(IFERROR(--LEFT(AC158,FIND("-",AC158)-1),"")=AW158,IFERROR(--MID(AC158,FIND("-",AC158)+1,99),"")=AX158),10,5*(SIGN((IFERROR(--LEFT(AC158,FIND("-",AC158)-1),""))-(IFERROR(--MID(AC158,FIND("-",AC158)+1,99),"")))=SIGN((AW158)-(AX158)))+2*(((IFERROR(--LEFT(AC158,FIND("-",AC158)-1),""))-(IFERROR(--MID(AC158,FIND("-",AC158)+1,99),"")))=((AW158)-(AX158)))+2*((IFERROR(--LEFT(AC158,FIND("-",AC158)-1),""))=(AW158))+2*((IFERROR(--MID(AC158,FIND("-",AC158)+1,99),""))=(AX158))),""))</f>
        <v>7</v>
      </c>
      <c r="AE158" s="10" t="s">
        <v>49</v>
      </c>
      <c r="AF158" s="11">
        <f>IF(OR($C158="",AE158=""),"",IFERROR(IF(AND(IFERROR(--LEFT(AE158,FIND("-",AE158)-1),"")=AW158,IFERROR(--MID(AE158,FIND("-",AE158)+1,99),"")=AX158),10,5*(SIGN((IFERROR(--LEFT(AE158,FIND("-",AE158)-1),""))-(IFERROR(--MID(AE158,FIND("-",AE158)+1,99),"")))=SIGN((AW158)-(AX158)))+2*(((IFERROR(--LEFT(AE158,FIND("-",AE158)-1),""))-(IFERROR(--MID(AE158,FIND("-",AE158)+1,99),"")))=((AW158)-(AX158)))+2*((IFERROR(--LEFT(AE158,FIND("-",AE158)-1),""))=(AW158))+2*((IFERROR(--MID(AE158,FIND("-",AE158)+1,99),""))=(AX158))),""))</f>
        <v>0</v>
      </c>
      <c r="AG158" s="10" t="s">
        <v>35</v>
      </c>
      <c r="AH158" s="11">
        <f>IF(OR($C158="",AG158=""),"",IFERROR(IF(AND(IFERROR(--LEFT(AG158,FIND("-",AG158)-1),"")=AW158,IFERROR(--MID(AG158,FIND("-",AG158)+1,99),"")=AX158),10,5*(SIGN((IFERROR(--LEFT(AG158,FIND("-",AG158)-1),""))-(IFERROR(--MID(AG158,FIND("-",AG158)+1,99),"")))=SIGN((AW158)-(AX158)))+2*(((IFERROR(--LEFT(AG158,FIND("-",AG158)-1),""))-(IFERROR(--MID(AG158,FIND("-",AG158)+1,99),"")))=((AW158)-(AX158)))+2*((IFERROR(--LEFT(AG158,FIND("-",AG158)-1),""))=(AW158))+2*((IFERROR(--MID(AG158,FIND("-",AG158)+1,99),""))=(AX158))),""))</f>
        <v>2</v>
      </c>
      <c r="AI158" s="10" t="s">
        <v>35</v>
      </c>
      <c r="AJ158" s="11">
        <f>IF(OR($C158="",AI158=""),"",IFERROR(IF(AND(IFERROR(--LEFT(AI158,FIND("-",AI158)-1),"")=AW158,IFERROR(--MID(AI158,FIND("-",AI158)+1,99),"")=AX158),10,5*(SIGN((IFERROR(--LEFT(AI158,FIND("-",AI158)-1),""))-(IFERROR(--MID(AI158,FIND("-",AI158)+1,99),"")))=SIGN((AW158)-(AX158)))+2*(((IFERROR(--LEFT(AI158,FIND("-",AI158)-1),""))-(IFERROR(--MID(AI158,FIND("-",AI158)+1,99),"")))=((AW158)-(AX158)))+2*((IFERROR(--LEFT(AI158,FIND("-",AI158)-1),""))=(AW158))+2*((IFERROR(--MID(AI158,FIND("-",AI158)+1,99),""))=(AX158))),""))</f>
        <v>2</v>
      </c>
      <c r="AK158" s="10" t="s">
        <v>35</v>
      </c>
      <c r="AL158" s="11">
        <f>IF(OR($C158="",AK158=""),"",IFERROR(IF(AND(IFERROR(--LEFT(AK158,FIND("-",AK158)-1),"")=AW158,IFERROR(--MID(AK158,FIND("-",AK158)+1,99),"")=AX158),10,5*(SIGN((IFERROR(--LEFT(AK158,FIND("-",AK158)-1),""))-(IFERROR(--MID(AK158,FIND("-",AK158)+1,99),"")))=SIGN((AW158)-(AX158)))+2*(((IFERROR(--LEFT(AK158,FIND("-",AK158)-1),""))-(IFERROR(--MID(AK158,FIND("-",AK158)+1,99),"")))=((AW158)-(AX158)))+2*((IFERROR(--LEFT(AK158,FIND("-",AK158)-1),""))=(AW158))+2*((IFERROR(--MID(AK158,FIND("-",AK158)+1,99),""))=(AX158))),""))</f>
        <v>2</v>
      </c>
      <c r="AM158" s="10" t="s">
        <v>33</v>
      </c>
      <c r="AN158" s="11">
        <f>IF(OR($C158="",AM158=""),"",IFERROR(IF(AND(IFERROR(--LEFT(AM158,FIND("-",AM158)-1),"")=AW158,IFERROR(--MID(AM158,FIND("-",AM158)+1,99),"")=AX158),10,5*(SIGN((IFERROR(--LEFT(AM158,FIND("-",AM158)-1),""))-(IFERROR(--MID(AM158,FIND("-",AM158)+1,99),"")))=SIGN((AW158)-(AX158)))+2*(((IFERROR(--LEFT(AM158,FIND("-",AM158)-1),""))-(IFERROR(--MID(AM158,FIND("-",AM158)+1,99),"")))=((AW158)-(AX158)))+2*((IFERROR(--LEFT(AM158,FIND("-",AM158)-1),""))=(AW158))+2*((IFERROR(--MID(AM158,FIND("-",AM158)+1,99),""))=(AX158))),""))</f>
        <v>0</v>
      </c>
      <c r="AO158" s="10" t="s">
        <v>39</v>
      </c>
      <c r="AP158" s="11">
        <f>IF(OR($C158="",AO158=""),"",IFERROR(IF(AND(IFERROR(--LEFT(AO158,FIND("-",AO158)-1),"")=AW158,IFERROR(--MID(AO158,FIND("-",AO158)+1,99),"")=AX158),10,5*(SIGN((IFERROR(--LEFT(AO158,FIND("-",AO158)-1),""))-(IFERROR(--MID(AO158,FIND("-",AO158)+1,99),"")))=SIGN((AW158)-(AX158)))+2*(((IFERROR(--LEFT(AO158,FIND("-",AO158)-1),""))-(IFERROR(--MID(AO158,FIND("-",AO158)+1,99),"")))=((AW158)-(AX158)))+2*((IFERROR(--LEFT(AO158,FIND("-",AO158)-1),""))=(AW158))+2*((IFERROR(--MID(AO158,FIND("-",AO158)+1,99),""))=(AX158))),""))</f>
        <v>2</v>
      </c>
      <c r="AQ158" s="10" t="s">
        <v>57</v>
      </c>
      <c r="AR158" s="11">
        <f>IF(OR($C158="",AQ158=""),"",IFERROR(IF(AND(IFERROR(--LEFT(AQ158,FIND("-",AQ158)-1),"")=AW158,IFERROR(--MID(AQ158,FIND("-",AQ158)+1,99),"")=AX158),10,5*(SIGN((IFERROR(--LEFT(AQ158,FIND("-",AQ158)-1),""))-(IFERROR(--MID(AQ158,FIND("-",AQ158)+1,99),"")))=SIGN((AW158)-(AX158)))+2*(((IFERROR(--LEFT(AQ158,FIND("-",AQ158)-1),""))-(IFERROR(--MID(AQ158,FIND("-",AQ158)+1,99),"")))=((AW158)-(AX158)))+2*((IFERROR(--LEFT(AQ158,FIND("-",AQ158)-1),""))=(AW158))+2*((IFERROR(--MID(AQ158,FIND("-",AQ158)+1,99),""))=(AX158))),""))</f>
        <v>7</v>
      </c>
      <c r="AS158" s="10" t="s">
        <v>45</v>
      </c>
      <c r="AT158" s="11">
        <f>IF(OR($C158="",AS158=""),"",IFERROR(IF(AND(IFERROR(--LEFT(AS158,FIND("-",AS158)-1),"")=AW158,IFERROR(--MID(AS158,FIND("-",AS158)+1,99),"")=AX158),10,5*(SIGN((IFERROR(--LEFT(AS158,FIND("-",AS158)-1),""))-(IFERROR(--MID(AS158,FIND("-",AS158)+1,99),"")))=SIGN((AW158)-(AX158)))+2*(((IFERROR(--LEFT(AS158,FIND("-",AS158)-1),""))-(IFERROR(--MID(AS158,FIND("-",AS158)+1,99),"")))=((AW158)-(AX158)))+2*((IFERROR(--LEFT(AS158,FIND("-",AS158)-1),""))=(AW158))+2*((IFERROR(--MID(AS158,FIND("-",AS158)+1,99),""))=(AX158))),""))</f>
        <v>5</v>
      </c>
      <c r="AU158" s="10" t="s">
        <v>48</v>
      </c>
      <c r="AV158" s="11">
        <f>IF(OR($C158="",AU158=""),"",IFERROR(IF(AND(IFERROR(--LEFT(AU158,FIND("-",AU158)-1),"")=AW158,IFERROR(--MID(AU158,FIND("-",AU158)+1,99),"")=AX158),10,5*(SIGN((IFERROR(--LEFT(AU158,FIND("-",AU158)-1),""))-(IFERROR(--MID(AU158,FIND("-",AU158)+1,99),"")))=SIGN((AW158)-(AX158)))+2*(((IFERROR(--LEFT(AU158,FIND("-",AU158)-1),""))-(IFERROR(--MID(AU158,FIND("-",AU158)+1,99),"")))=((AW158)-(AX158)))+2*((IFERROR(--LEFT(AU158,FIND("-",AU158)-1),""))=(AW158))+2*((IFERROR(--MID(AU158,FIND("-",AU158)+1,99),""))=(AX158))),""))</f>
        <v>5</v>
      </c>
      <c r="AW158" s="11">
        <f>IF($C158="","",IFERROR(--LEFT($C158,FIND("-",$C158)-1),""))</f>
        <v>1</v>
      </c>
      <c r="AX158" s="11">
        <f>IF($C158="","",IFERROR(--MID($C158,FIND("-",$C158)+1,99),""))</f>
        <v>4</v>
      </c>
    </row>
    <row r="159" spans="1:50" ht="18" customHeight="1" x14ac:dyDescent="0.3">
      <c r="A159" s="9">
        <v>1.75</v>
      </c>
      <c r="B159" s="18" t="s">
        <v>95</v>
      </c>
      <c r="C159" s="10" t="s">
        <v>61</v>
      </c>
      <c r="D159" s="1" t="s">
        <v>83</v>
      </c>
      <c r="E159" s="10" t="s">
        <v>36</v>
      </c>
      <c r="F159" s="11">
        <f>IF(OR($C159="",E159=""),"",IFERROR(IF(AND(IFERROR(--LEFT(E159,FIND("-",E159)-1),"")=AW159,IFERROR(--MID(E159,FIND("-",E159)+1,99),"")=AX159),10,5*(SIGN((IFERROR(--LEFT(E159,FIND("-",E159)-1),""))-(IFERROR(--MID(E159,FIND("-",E159)+1,99),"")))=SIGN((AW159)-(AX159)))+2*(((IFERROR(--LEFT(E159,FIND("-",E159)-1),""))-(IFERROR(--MID(E159,FIND("-",E159)+1,99),"")))=((AW159)-(AX159)))+2*((IFERROR(--LEFT(E159,FIND("-",E159)-1),""))=(AW159))+2*((IFERROR(--MID(E159,FIND("-",E159)+1,99),""))=(AX159))),""))</f>
        <v>5</v>
      </c>
      <c r="G159" s="10" t="s">
        <v>36</v>
      </c>
      <c r="H159" s="11">
        <f>IF(OR($C159="",G159=""),"",IFERROR(IF(AND(IFERROR(--LEFT(G159,FIND("-",G159)-1),"")=AW159,IFERROR(--MID(G159,FIND("-",G159)+1,99),"")=AX159),10,5*(SIGN((IFERROR(--LEFT(G159,FIND("-",G159)-1),""))-(IFERROR(--MID(G159,FIND("-",G159)+1,99),"")))=SIGN((AW159)-(AX159)))+2*(((IFERROR(--LEFT(G159,FIND("-",G159)-1),""))-(IFERROR(--MID(G159,FIND("-",G159)+1,99),"")))=((AW159)-(AX159)))+2*((IFERROR(--LEFT(G159,FIND("-",G159)-1),""))=(AW159))+2*((IFERROR(--MID(G159,FIND("-",G159)+1,99),""))=(AX159))),""))</f>
        <v>5</v>
      </c>
      <c r="I159" s="10" t="s">
        <v>39</v>
      </c>
      <c r="J159" s="11">
        <f>IF(OR($C159="",I159=""),"",IFERROR(IF(AND(IFERROR(--LEFT(I159,FIND("-",I159)-1),"")=AW159,IFERROR(--MID(I159,FIND("-",I159)+1,99),"")=AX159),10,5*(SIGN((IFERROR(--LEFT(I159,FIND("-",I159)-1),""))-(IFERROR(--MID(I159,FIND("-",I159)+1,99),"")))=SIGN((AW159)-(AX159)))+2*(((IFERROR(--LEFT(I159,FIND("-",I159)-1),""))-(IFERROR(--MID(I159,FIND("-",I159)+1,99),"")))=((AW159)-(AX159)))+2*((IFERROR(--LEFT(I159,FIND("-",I159)-1),""))=(AW159))+2*((IFERROR(--MID(I159,FIND("-",I159)+1,99),""))=(AX159))),""))</f>
        <v>7</v>
      </c>
      <c r="K159" s="10" t="s">
        <v>38</v>
      </c>
      <c r="L159" s="11">
        <f>IF(OR($C159="",K159=""),"",IFERROR(IF(AND(IFERROR(--LEFT(K159,FIND("-",K159)-1),"")=AW159,IFERROR(--MID(K159,FIND("-",K159)+1,99),"")=AX159),10,5*(SIGN((IFERROR(--LEFT(K159,FIND("-",K159)-1),""))-(IFERROR(--MID(K159,FIND("-",K159)+1,99),"")))=SIGN((AW159)-(AX159)))+2*(((IFERROR(--LEFT(K159,FIND("-",K159)-1),""))-(IFERROR(--MID(K159,FIND("-",K159)+1,99),"")))=((AW159)-(AX159)))+2*((IFERROR(--LEFT(K159,FIND("-",K159)-1),""))=(AW159))+2*((IFERROR(--MID(K159,FIND("-",K159)+1,99),""))=(AX159))),""))</f>
        <v>7</v>
      </c>
      <c r="M159" s="10" t="s">
        <v>37</v>
      </c>
      <c r="N159" s="11">
        <f>IF(OR($C159="",M159=""),"",IFERROR(IF(AND(IFERROR(--LEFT(M159,FIND("-",M159)-1),"")=AW159,IFERROR(--MID(M159,FIND("-",M159)+1,99),"")=AX159),10,5*(SIGN((IFERROR(--LEFT(M159,FIND("-",M159)-1),""))-(IFERROR(--MID(M159,FIND("-",M159)+1,99),"")))=SIGN((AW159)-(AX159)))+2*(((IFERROR(--LEFT(M159,FIND("-",M159)-1),""))-(IFERROR(--MID(M159,FIND("-",M159)+1,99),"")))=((AW159)-(AX159)))+2*((IFERROR(--LEFT(M159,FIND("-",M159)-1),""))=(AW159))+2*((IFERROR(--MID(M159,FIND("-",M159)+1,99),""))=(AX159))),""))</f>
        <v>2</v>
      </c>
      <c r="O159" s="10" t="s">
        <v>34</v>
      </c>
      <c r="P159" s="11">
        <f>IF(OR($C159="",O159=""),"",IFERROR(IF(AND(IFERROR(--LEFT(O159,FIND("-",O159)-1),"")=AW159,IFERROR(--MID(O159,FIND("-",O159)+1,99),"")=AX159),10,5*(SIGN((IFERROR(--LEFT(O159,FIND("-",O159)-1),""))-(IFERROR(--MID(O159,FIND("-",O159)+1,99),"")))=SIGN((AW159)-(AX159)))+2*(((IFERROR(--LEFT(O159,FIND("-",O159)-1),""))-(IFERROR(--MID(O159,FIND("-",O159)+1,99),"")))=((AW159)-(AX159)))+2*((IFERROR(--LEFT(O159,FIND("-",O159)-1),""))=(AW159))+2*((IFERROR(--MID(O159,FIND("-",O159)+1,99),""))=(AX159))),""))</f>
        <v>7</v>
      </c>
      <c r="Q159" s="10" t="s">
        <v>37</v>
      </c>
      <c r="R159" s="11">
        <f>IF(OR($C159="",Q159=""),"",IFERROR(IF(AND(IFERROR(--LEFT(Q159,FIND("-",Q159)-1),"")=AW159,IFERROR(--MID(Q159,FIND("-",Q159)+1,99),"")=AX159),10,5*(SIGN((IFERROR(--LEFT(Q159,FIND("-",Q159)-1),""))-(IFERROR(--MID(Q159,FIND("-",Q159)+1,99),"")))=SIGN((AW159)-(AX159)))+2*(((IFERROR(--LEFT(Q159,FIND("-",Q159)-1),""))-(IFERROR(--MID(Q159,FIND("-",Q159)+1,99),"")))=((AW159)-(AX159)))+2*((IFERROR(--LEFT(Q159,FIND("-",Q159)-1),""))=(AW159))+2*((IFERROR(--MID(Q159,FIND("-",Q159)+1,99),""))=(AX159))),""))</f>
        <v>2</v>
      </c>
      <c r="S159" s="10" t="s">
        <v>33</v>
      </c>
      <c r="T159" s="11">
        <f>IF(OR($C159="",S159=""),"",IFERROR(IF(AND(IFERROR(--LEFT(S159,FIND("-",S159)-1),"")=AW159,IFERROR(--MID(S159,FIND("-",S159)+1,99),"")=AX159),10,5*(SIGN((IFERROR(--LEFT(S159,FIND("-",S159)-1),""))-(IFERROR(--MID(S159,FIND("-",S159)+1,99),"")))=SIGN((AW159)-(AX159)))+2*(((IFERROR(--LEFT(S159,FIND("-",S159)-1),""))-(IFERROR(--MID(S159,FIND("-",S159)+1,99),"")))=((AW159)-(AX159)))+2*((IFERROR(--LEFT(S159,FIND("-",S159)-1),""))=(AW159))+2*((IFERROR(--MID(S159,FIND("-",S159)+1,99),""))=(AX159))),""))</f>
        <v>7</v>
      </c>
      <c r="U159" s="10" t="s">
        <v>36</v>
      </c>
      <c r="V159" s="11">
        <f>IF(OR($C159="",U159=""),"",IFERROR(IF(AND(IFERROR(--LEFT(U159,FIND("-",U159)-1),"")=AW159,IFERROR(--MID(U159,FIND("-",U159)+1,99),"")=AX159),10,5*(SIGN((IFERROR(--LEFT(U159,FIND("-",U159)-1),""))-(IFERROR(--MID(U159,FIND("-",U159)+1,99),"")))=SIGN((AW159)-(AX159)))+2*(((IFERROR(--LEFT(U159,FIND("-",U159)-1),""))-(IFERROR(--MID(U159,FIND("-",U159)+1,99),"")))=((AW159)-(AX159)))+2*((IFERROR(--LEFT(U159,FIND("-",U159)-1),""))=(AW159))+2*((IFERROR(--MID(U159,FIND("-",U159)+1,99),""))=(AX159))),""))</f>
        <v>5</v>
      </c>
      <c r="W159" s="10" t="s">
        <v>33</v>
      </c>
      <c r="X159" s="11">
        <f>IF(OR($C159="",W159=""),"",IFERROR(IF(AND(IFERROR(--LEFT(W159,FIND("-",W159)-1),"")=AW159,IFERROR(--MID(W159,FIND("-",W159)+1,99),"")=AX159),10,5*(SIGN((IFERROR(--LEFT(W159,FIND("-",W159)-1),""))-(IFERROR(--MID(W159,FIND("-",W159)+1,99),"")))=SIGN((AW159)-(AX159)))+2*(((IFERROR(--LEFT(W159,FIND("-",W159)-1),""))-(IFERROR(--MID(W159,FIND("-",W159)+1,99),"")))=((AW159)-(AX159)))+2*((IFERROR(--LEFT(W159,FIND("-",W159)-1),""))=(AW159))+2*((IFERROR(--MID(W159,FIND("-",W159)+1,99),""))=(AX159))),""))</f>
        <v>7</v>
      </c>
      <c r="Y159" s="10" t="s">
        <v>50</v>
      </c>
      <c r="Z159" s="11">
        <f>IF(OR($C159="",Y159=""),"",IFERROR(IF(AND(IFERROR(--LEFT(Y159,FIND("-",Y159)-1),"")=AW159,IFERROR(--MID(Y159,FIND("-",Y159)+1,99),"")=AX159),10,5*(SIGN((IFERROR(--LEFT(Y159,FIND("-",Y159)-1),""))-(IFERROR(--MID(Y159,FIND("-",Y159)+1,99),"")))=SIGN((AW159)-(AX159)))+2*(((IFERROR(--LEFT(Y159,FIND("-",Y159)-1),""))-(IFERROR(--MID(Y159,FIND("-",Y159)+1,99),"")))=((AW159)-(AX159)))+2*((IFERROR(--LEFT(Y159,FIND("-",Y159)-1),""))=(AW159))+2*((IFERROR(--MID(Y159,FIND("-",Y159)+1,99),""))=(AX159))),""))</f>
        <v>0</v>
      </c>
      <c r="AA159" s="10" t="s">
        <v>38</v>
      </c>
      <c r="AB159" s="11">
        <f>IF(OR($C159="",AA159=""),"",IFERROR(IF(AND(IFERROR(--LEFT(AA159,FIND("-",AA159)-1),"")=AW159,IFERROR(--MID(AA159,FIND("-",AA159)+1,99),"")=AX159),10,5*(SIGN((IFERROR(--LEFT(AA159,FIND("-",AA159)-1),""))-(IFERROR(--MID(AA159,FIND("-",AA159)+1,99),"")))=SIGN((AW159)-(AX159)))+2*(((IFERROR(--LEFT(AA159,FIND("-",AA159)-1),""))-(IFERROR(--MID(AA159,FIND("-",AA159)+1,99),"")))=((AW159)-(AX159)))+2*((IFERROR(--LEFT(AA159,FIND("-",AA159)-1),""))=(AW159))+2*((IFERROR(--MID(AA159,FIND("-",AA159)+1,99),""))=(AX159))),""))</f>
        <v>7</v>
      </c>
      <c r="AC159" s="10" t="s">
        <v>50</v>
      </c>
      <c r="AD159" s="11">
        <f>IF(OR($C159="",AC159=""),"",IFERROR(IF(AND(IFERROR(--LEFT(AC159,FIND("-",AC159)-1),"")=AW159,IFERROR(--MID(AC159,FIND("-",AC159)+1,99),"")=AX159),10,5*(SIGN((IFERROR(--LEFT(AC159,FIND("-",AC159)-1),""))-(IFERROR(--MID(AC159,FIND("-",AC159)+1,99),"")))=SIGN((AW159)-(AX159)))+2*(((IFERROR(--LEFT(AC159,FIND("-",AC159)-1),""))-(IFERROR(--MID(AC159,FIND("-",AC159)+1,99),"")))=((AW159)-(AX159)))+2*((IFERROR(--LEFT(AC159,FIND("-",AC159)-1),""))=(AW159))+2*((IFERROR(--MID(AC159,FIND("-",AC159)+1,99),""))=(AX159))),""))</f>
        <v>0</v>
      </c>
      <c r="AE159" s="10" t="s">
        <v>36</v>
      </c>
      <c r="AF159" s="11">
        <f>IF(OR($C159="",AE159=""),"",IFERROR(IF(AND(IFERROR(--LEFT(AE159,FIND("-",AE159)-1),"")=AW159,IFERROR(--MID(AE159,FIND("-",AE159)+1,99),"")=AX159),10,5*(SIGN((IFERROR(--LEFT(AE159,FIND("-",AE159)-1),""))-(IFERROR(--MID(AE159,FIND("-",AE159)+1,99),"")))=SIGN((AW159)-(AX159)))+2*(((IFERROR(--LEFT(AE159,FIND("-",AE159)-1),""))-(IFERROR(--MID(AE159,FIND("-",AE159)+1,99),"")))=((AW159)-(AX159)))+2*((IFERROR(--LEFT(AE159,FIND("-",AE159)-1),""))=(AW159))+2*((IFERROR(--MID(AE159,FIND("-",AE159)+1,99),""))=(AX159))),""))</f>
        <v>5</v>
      </c>
      <c r="AG159" s="10" t="s">
        <v>36</v>
      </c>
      <c r="AH159" s="11">
        <f>IF(OR($C159="",AG159=""),"",IFERROR(IF(AND(IFERROR(--LEFT(AG159,FIND("-",AG159)-1),"")=AW159,IFERROR(--MID(AG159,FIND("-",AG159)+1,99),"")=AX159),10,5*(SIGN((IFERROR(--LEFT(AG159,FIND("-",AG159)-1),""))-(IFERROR(--MID(AG159,FIND("-",AG159)+1,99),"")))=SIGN((AW159)-(AX159)))+2*(((IFERROR(--LEFT(AG159,FIND("-",AG159)-1),""))-(IFERROR(--MID(AG159,FIND("-",AG159)+1,99),"")))=((AW159)-(AX159)))+2*((IFERROR(--LEFT(AG159,FIND("-",AG159)-1),""))=(AW159))+2*((IFERROR(--MID(AG159,FIND("-",AG159)+1,99),""))=(AX159))),""))</f>
        <v>5</v>
      </c>
      <c r="AI159" s="10" t="s">
        <v>36</v>
      </c>
      <c r="AJ159" s="11">
        <f>IF(OR($C159="",AI159=""),"",IFERROR(IF(AND(IFERROR(--LEFT(AI159,FIND("-",AI159)-1),"")=AW159,IFERROR(--MID(AI159,FIND("-",AI159)+1,99),"")=AX159),10,5*(SIGN((IFERROR(--LEFT(AI159,FIND("-",AI159)-1),""))-(IFERROR(--MID(AI159,FIND("-",AI159)+1,99),"")))=SIGN((AW159)-(AX159)))+2*(((IFERROR(--LEFT(AI159,FIND("-",AI159)-1),""))-(IFERROR(--MID(AI159,FIND("-",AI159)+1,99),"")))=((AW159)-(AX159)))+2*((IFERROR(--LEFT(AI159,FIND("-",AI159)-1),""))=(AW159))+2*((IFERROR(--MID(AI159,FIND("-",AI159)+1,99),""))=(AX159))),""))</f>
        <v>5</v>
      </c>
      <c r="AK159" s="10" t="s">
        <v>39</v>
      </c>
      <c r="AL159" s="11">
        <f>IF(OR($C159="",AK159=""),"",IFERROR(IF(AND(IFERROR(--LEFT(AK159,FIND("-",AK159)-1),"")=AW159,IFERROR(--MID(AK159,FIND("-",AK159)+1,99),"")=AX159),10,5*(SIGN((IFERROR(--LEFT(AK159,FIND("-",AK159)-1),""))-(IFERROR(--MID(AK159,FIND("-",AK159)+1,99),"")))=SIGN((AW159)-(AX159)))+2*(((IFERROR(--LEFT(AK159,FIND("-",AK159)-1),""))-(IFERROR(--MID(AK159,FIND("-",AK159)+1,99),"")))=((AW159)-(AX159)))+2*((IFERROR(--LEFT(AK159,FIND("-",AK159)-1),""))=(AW159))+2*((IFERROR(--MID(AK159,FIND("-",AK159)+1,99),""))=(AX159))),""))</f>
        <v>7</v>
      </c>
      <c r="AM159" s="10" t="s">
        <v>36</v>
      </c>
      <c r="AN159" s="11">
        <f>IF(OR($C159="",AM159=""),"",IFERROR(IF(AND(IFERROR(--LEFT(AM159,FIND("-",AM159)-1),"")=AW159,IFERROR(--MID(AM159,FIND("-",AM159)+1,99),"")=AX159),10,5*(SIGN((IFERROR(--LEFT(AM159,FIND("-",AM159)-1),""))-(IFERROR(--MID(AM159,FIND("-",AM159)+1,99),"")))=SIGN((AW159)-(AX159)))+2*(((IFERROR(--LEFT(AM159,FIND("-",AM159)-1),""))-(IFERROR(--MID(AM159,FIND("-",AM159)+1,99),"")))=((AW159)-(AX159)))+2*((IFERROR(--LEFT(AM159,FIND("-",AM159)-1),""))=(AW159))+2*((IFERROR(--MID(AM159,FIND("-",AM159)+1,99),""))=(AX159))),""))</f>
        <v>5</v>
      </c>
      <c r="AO159" s="10" t="s">
        <v>36</v>
      </c>
      <c r="AP159" s="11">
        <f>IF(OR($C159="",AO159=""),"",IFERROR(IF(AND(IFERROR(--LEFT(AO159,FIND("-",AO159)-1),"")=AW159,IFERROR(--MID(AO159,FIND("-",AO159)+1,99),"")=AX159),10,5*(SIGN((IFERROR(--LEFT(AO159,FIND("-",AO159)-1),""))-(IFERROR(--MID(AO159,FIND("-",AO159)+1,99),"")))=SIGN((AW159)-(AX159)))+2*(((IFERROR(--LEFT(AO159,FIND("-",AO159)-1),""))-(IFERROR(--MID(AO159,FIND("-",AO159)+1,99),"")))=((AW159)-(AX159)))+2*((IFERROR(--LEFT(AO159,FIND("-",AO159)-1),""))=(AW159))+2*((IFERROR(--MID(AO159,FIND("-",AO159)+1,99),""))=(AX159))),""))</f>
        <v>5</v>
      </c>
      <c r="AQ159" s="10" t="s">
        <v>33</v>
      </c>
      <c r="AR159" s="11">
        <f>IF(OR($C159="",AQ159=""),"",IFERROR(IF(AND(IFERROR(--LEFT(AQ159,FIND("-",AQ159)-1),"")=AW159,IFERROR(--MID(AQ159,FIND("-",AQ159)+1,99),"")=AX159),10,5*(SIGN((IFERROR(--LEFT(AQ159,FIND("-",AQ159)-1),""))-(IFERROR(--MID(AQ159,FIND("-",AQ159)+1,99),"")))=SIGN((AW159)-(AX159)))+2*(((IFERROR(--LEFT(AQ159,FIND("-",AQ159)-1),""))-(IFERROR(--MID(AQ159,FIND("-",AQ159)+1,99),"")))=((AW159)-(AX159)))+2*((IFERROR(--LEFT(AQ159,FIND("-",AQ159)-1),""))=(AW159))+2*((IFERROR(--MID(AQ159,FIND("-",AQ159)+1,99),""))=(AX159))),""))</f>
        <v>7</v>
      </c>
      <c r="AS159" s="10" t="s">
        <v>35</v>
      </c>
      <c r="AT159" s="11">
        <f>IF(OR($C159="",AS159=""),"",IFERROR(IF(AND(IFERROR(--LEFT(AS159,FIND("-",AS159)-1),"")=AW159,IFERROR(--MID(AS159,FIND("-",AS159)+1,99),"")=AX159),10,5*(SIGN((IFERROR(--LEFT(AS159,FIND("-",AS159)-1),""))-(IFERROR(--MID(AS159,FIND("-",AS159)+1,99),"")))=SIGN((AW159)-(AX159)))+2*(((IFERROR(--LEFT(AS159,FIND("-",AS159)-1),""))-(IFERROR(--MID(AS159,FIND("-",AS159)+1,99),"")))=((AW159)-(AX159)))+2*((IFERROR(--LEFT(AS159,FIND("-",AS159)-1),""))=(AW159))+2*((IFERROR(--MID(AS159,FIND("-",AS159)+1,99),""))=(AX159))),""))</f>
        <v>0</v>
      </c>
      <c r="AU159" s="10" t="s">
        <v>33</v>
      </c>
      <c r="AV159" s="11">
        <f>IF(OR($C159="",AU159=""),"",IFERROR(IF(AND(IFERROR(--LEFT(AU159,FIND("-",AU159)-1),"")=AW159,IFERROR(--MID(AU159,FIND("-",AU159)+1,99),"")=AX159),10,5*(SIGN((IFERROR(--LEFT(AU159,FIND("-",AU159)-1),""))-(IFERROR(--MID(AU159,FIND("-",AU159)+1,99),"")))=SIGN((AW159)-(AX159)))+2*(((IFERROR(--LEFT(AU159,FIND("-",AU159)-1),""))-(IFERROR(--MID(AU159,FIND("-",AU159)+1,99),"")))=((AW159)-(AX159)))+2*((IFERROR(--LEFT(AU159,FIND("-",AU159)-1),""))=(AW159))+2*((IFERROR(--MID(AU159,FIND("-",AU159)+1,99),""))=(AX159))),""))</f>
        <v>7</v>
      </c>
      <c r="AW159" s="11">
        <f>IF($C159="","",IFERROR(--LEFT($C159,FIND("-",$C159)-1),""))</f>
        <v>3</v>
      </c>
      <c r="AX159" s="11">
        <f>IF($C159="","",IFERROR(--MID($C159,FIND("-",$C159)+1,99),""))</f>
        <v>2</v>
      </c>
    </row>
    <row r="160" spans="1:50" ht="18" customHeight="1" x14ac:dyDescent="0.3">
      <c r="A160" s="9">
        <v>1.916666666666667</v>
      </c>
      <c r="B160" s="18" t="s">
        <v>55</v>
      </c>
      <c r="C160" s="10" t="s">
        <v>50</v>
      </c>
      <c r="D160" s="1" t="s">
        <v>108</v>
      </c>
      <c r="E160" s="10" t="s">
        <v>37</v>
      </c>
      <c r="F160" s="11">
        <f>IF(OR($C160="",E160=""),"",IFERROR(IF(AND(IFERROR(--LEFT(E160,FIND("-",E160)-1),"")=AW160,IFERROR(--MID(E160,FIND("-",E160)+1,99),"")=AX160),10,5*(SIGN((IFERROR(--LEFT(E160,FIND("-",E160)-1),""))-(IFERROR(--MID(E160,FIND("-",E160)+1,99),"")))=SIGN((AW160)-(AX160)))+2*(((IFERROR(--LEFT(E160,FIND("-",E160)-1),""))-(IFERROR(--MID(E160,FIND("-",E160)+1,99),"")))=((AW160)-(AX160)))+2*((IFERROR(--LEFT(E160,FIND("-",E160)-1),""))=(AW160))+2*((IFERROR(--MID(E160,FIND("-",E160)+1,99),""))=(AX160))),""))</f>
        <v>0</v>
      </c>
      <c r="G160" s="10" t="s">
        <v>36</v>
      </c>
      <c r="H160" s="11">
        <f>IF(OR($C160="",G160=""),"",IFERROR(IF(AND(IFERROR(--LEFT(G160,FIND("-",G160)-1),"")=AW160,IFERROR(--MID(G160,FIND("-",G160)+1,99),"")=AX160),10,5*(SIGN((IFERROR(--LEFT(G160,FIND("-",G160)-1),""))-(IFERROR(--MID(G160,FIND("-",G160)+1,99),"")))=SIGN((AW160)-(AX160)))+2*(((IFERROR(--LEFT(G160,FIND("-",G160)-1),""))-(IFERROR(--MID(G160,FIND("-",G160)+1,99),"")))=((AW160)-(AX160)))+2*((IFERROR(--LEFT(G160,FIND("-",G160)-1),""))=(AW160))+2*((IFERROR(--MID(G160,FIND("-",G160)+1,99),""))=(AX160))),""))</f>
        <v>2</v>
      </c>
      <c r="I160" s="10" t="s">
        <v>35</v>
      </c>
      <c r="J160" s="11">
        <f>IF(OR($C160="",I160=""),"",IFERROR(IF(AND(IFERROR(--LEFT(I160,FIND("-",I160)-1),"")=AW160,IFERROR(--MID(I160,FIND("-",I160)+1,99),"")=AX160),10,5*(SIGN((IFERROR(--LEFT(I160,FIND("-",I160)-1),""))-(IFERROR(--MID(I160,FIND("-",I160)+1,99),"")))=SIGN((AW160)-(AX160)))+2*(((IFERROR(--LEFT(I160,FIND("-",I160)-1),""))-(IFERROR(--MID(I160,FIND("-",I160)+1,99),"")))=((AW160)-(AX160)))+2*((IFERROR(--LEFT(I160,FIND("-",I160)-1),""))=(AW160))+2*((IFERROR(--MID(I160,FIND("-",I160)+1,99),""))=(AX160))),""))</f>
        <v>7</v>
      </c>
      <c r="K160" s="10" t="s">
        <v>57</v>
      </c>
      <c r="L160" s="11">
        <f>IF(OR($C160="",K160=""),"",IFERROR(IF(AND(IFERROR(--LEFT(K160,FIND("-",K160)-1),"")=AW160,IFERROR(--MID(K160,FIND("-",K160)+1,99),"")=AX160),10,5*(SIGN((IFERROR(--LEFT(K160,FIND("-",K160)-1),""))-(IFERROR(--MID(K160,FIND("-",K160)+1,99),"")))=SIGN((AW160)-(AX160)))+2*(((IFERROR(--LEFT(K160,FIND("-",K160)-1),""))-(IFERROR(--MID(K160,FIND("-",K160)+1,99),"")))=((AW160)-(AX160)))+2*((IFERROR(--LEFT(K160,FIND("-",K160)-1),""))=(AW160))+2*((IFERROR(--MID(K160,FIND("-",K160)+1,99),""))=(AX160))),""))</f>
        <v>0</v>
      </c>
      <c r="M160" s="10" t="s">
        <v>33</v>
      </c>
      <c r="N160" s="11">
        <f>IF(OR($C160="",M160=""),"",IFERROR(IF(AND(IFERROR(--LEFT(M160,FIND("-",M160)-1),"")=AW160,IFERROR(--MID(M160,FIND("-",M160)+1,99),"")=AX160),10,5*(SIGN((IFERROR(--LEFT(M160,FIND("-",M160)-1),""))-(IFERROR(--MID(M160,FIND("-",M160)+1,99),"")))=SIGN((AW160)-(AX160)))+2*(((IFERROR(--LEFT(M160,FIND("-",M160)-1),""))-(IFERROR(--MID(M160,FIND("-",M160)+1,99),"")))=((AW160)-(AX160)))+2*((IFERROR(--LEFT(M160,FIND("-",M160)-1),""))=(AW160))+2*((IFERROR(--MID(M160,FIND("-",M160)+1,99),""))=(AX160))),""))</f>
        <v>0</v>
      </c>
      <c r="O160" s="10" t="s">
        <v>35</v>
      </c>
      <c r="P160" s="11">
        <f>IF(OR($C160="",O160=""),"",IFERROR(IF(AND(IFERROR(--LEFT(O160,FIND("-",O160)-1),"")=AW160,IFERROR(--MID(O160,FIND("-",O160)+1,99),"")=AX160),10,5*(SIGN((IFERROR(--LEFT(O160,FIND("-",O160)-1),""))-(IFERROR(--MID(O160,FIND("-",O160)+1,99),"")))=SIGN((AW160)-(AX160)))+2*(((IFERROR(--LEFT(O160,FIND("-",O160)-1),""))-(IFERROR(--MID(O160,FIND("-",O160)+1,99),"")))=((AW160)-(AX160)))+2*((IFERROR(--LEFT(O160,FIND("-",O160)-1),""))=(AW160))+2*((IFERROR(--MID(O160,FIND("-",O160)+1,99),""))=(AX160))),""))</f>
        <v>7</v>
      </c>
      <c r="Q160" s="10" t="s">
        <v>49</v>
      </c>
      <c r="R160" s="11">
        <f>IF(OR($C160="",Q160=""),"",IFERROR(IF(AND(IFERROR(--LEFT(Q160,FIND("-",Q160)-1),"")=AW160,IFERROR(--MID(Q160,FIND("-",Q160)+1,99),"")=AX160),10,5*(SIGN((IFERROR(--LEFT(Q160,FIND("-",Q160)-1),""))-(IFERROR(--MID(Q160,FIND("-",Q160)+1,99),"")))=SIGN((AW160)-(AX160)))+2*(((IFERROR(--LEFT(Q160,FIND("-",Q160)-1),""))-(IFERROR(--MID(Q160,FIND("-",Q160)+1,99),"")))=((AW160)-(AX160)))+2*((IFERROR(--LEFT(Q160,FIND("-",Q160)-1),""))=(AW160))+2*((IFERROR(--MID(Q160,FIND("-",Q160)+1,99),""))=(AX160))),""))</f>
        <v>7</v>
      </c>
      <c r="S160" s="10" t="s">
        <v>45</v>
      </c>
      <c r="T160" s="11">
        <f>IF(OR($C160="",S160=""),"",IFERROR(IF(AND(IFERROR(--LEFT(S160,FIND("-",S160)-1),"")=AW160,IFERROR(--MID(S160,FIND("-",S160)+1,99),"")=AX160),10,5*(SIGN((IFERROR(--LEFT(S160,FIND("-",S160)-1),""))-(IFERROR(--MID(S160,FIND("-",S160)+1,99),"")))=SIGN((AW160)-(AX160)))+2*(((IFERROR(--LEFT(S160,FIND("-",S160)-1),""))-(IFERROR(--MID(S160,FIND("-",S160)+1,99),"")))=((AW160)-(AX160)))+2*((IFERROR(--LEFT(S160,FIND("-",S160)-1),""))=(AW160))+2*((IFERROR(--MID(S160,FIND("-",S160)+1,99),""))=(AX160))),""))</f>
        <v>2</v>
      </c>
      <c r="U160" s="10" t="s">
        <v>37</v>
      </c>
      <c r="V160" s="11">
        <f>IF(OR($C160="",U160=""),"",IFERROR(IF(AND(IFERROR(--LEFT(U160,FIND("-",U160)-1),"")=AW160,IFERROR(--MID(U160,FIND("-",U160)+1,99),"")=AX160),10,5*(SIGN((IFERROR(--LEFT(U160,FIND("-",U160)-1),""))-(IFERROR(--MID(U160,FIND("-",U160)+1,99),"")))=SIGN((AW160)-(AX160)))+2*(((IFERROR(--LEFT(U160,FIND("-",U160)-1),""))-(IFERROR(--MID(U160,FIND("-",U160)+1,99),"")))=((AW160)-(AX160)))+2*((IFERROR(--LEFT(U160,FIND("-",U160)-1),""))=(AW160))+2*((IFERROR(--MID(U160,FIND("-",U160)+1,99),""))=(AX160))),""))</f>
        <v>0</v>
      </c>
      <c r="W160" s="10" t="s">
        <v>35</v>
      </c>
      <c r="X160" s="11">
        <f>IF(OR($C160="",W160=""),"",IFERROR(IF(AND(IFERROR(--LEFT(W160,FIND("-",W160)-1),"")=AW160,IFERROR(--MID(W160,FIND("-",W160)+1,99),"")=AX160),10,5*(SIGN((IFERROR(--LEFT(W160,FIND("-",W160)-1),""))-(IFERROR(--MID(W160,FIND("-",W160)+1,99),"")))=SIGN((AW160)-(AX160)))+2*(((IFERROR(--LEFT(W160,FIND("-",W160)-1),""))-(IFERROR(--MID(W160,FIND("-",W160)+1,99),"")))=((AW160)-(AX160)))+2*((IFERROR(--LEFT(W160,FIND("-",W160)-1),""))=(AW160))+2*((IFERROR(--MID(W160,FIND("-",W160)+1,99),""))=(AX160))),""))</f>
        <v>7</v>
      </c>
      <c r="Y160" s="10" t="s">
        <v>50</v>
      </c>
      <c r="Z160" s="11">
        <f>IF(OR($C160="",Y160=""),"",IFERROR(IF(AND(IFERROR(--LEFT(Y160,FIND("-",Y160)-1),"")=AW160,IFERROR(--MID(Y160,FIND("-",Y160)+1,99),"")=AX160),10,5*(SIGN((IFERROR(--LEFT(Y160,FIND("-",Y160)-1),""))-(IFERROR(--MID(Y160,FIND("-",Y160)+1,99),"")))=SIGN((AW160)-(AX160)))+2*(((IFERROR(--LEFT(Y160,FIND("-",Y160)-1),""))-(IFERROR(--MID(Y160,FIND("-",Y160)+1,99),"")))=((AW160)-(AX160)))+2*((IFERROR(--LEFT(Y160,FIND("-",Y160)-1),""))=(AW160))+2*((IFERROR(--MID(Y160,FIND("-",Y160)+1,99),""))=(AX160))),""))</f>
        <v>10</v>
      </c>
      <c r="AA160" s="10" t="s">
        <v>35</v>
      </c>
      <c r="AB160" s="11">
        <f>IF(OR($C160="",AA160=""),"",IFERROR(IF(AND(IFERROR(--LEFT(AA160,FIND("-",AA160)-1),"")=AW160,IFERROR(--MID(AA160,FIND("-",AA160)+1,99),"")=AX160),10,5*(SIGN((IFERROR(--LEFT(AA160,FIND("-",AA160)-1),""))-(IFERROR(--MID(AA160,FIND("-",AA160)+1,99),"")))=SIGN((AW160)-(AX160)))+2*(((IFERROR(--LEFT(AA160,FIND("-",AA160)-1),""))-(IFERROR(--MID(AA160,FIND("-",AA160)+1,99),"")))=((AW160)-(AX160)))+2*((IFERROR(--LEFT(AA160,FIND("-",AA160)-1),""))=(AW160))+2*((IFERROR(--MID(AA160,FIND("-",AA160)+1,99),""))=(AX160))),""))</f>
        <v>7</v>
      </c>
      <c r="AC160" s="10" t="s">
        <v>50</v>
      </c>
      <c r="AD160" s="11">
        <f>IF(OR($C160="",AC160=""),"",IFERROR(IF(AND(IFERROR(--LEFT(AC160,FIND("-",AC160)-1),"")=AW160,IFERROR(--MID(AC160,FIND("-",AC160)+1,99),"")=AX160),10,5*(SIGN((IFERROR(--LEFT(AC160,FIND("-",AC160)-1),""))-(IFERROR(--MID(AC160,FIND("-",AC160)+1,99),"")))=SIGN((AW160)-(AX160)))+2*(((IFERROR(--LEFT(AC160,FIND("-",AC160)-1),""))-(IFERROR(--MID(AC160,FIND("-",AC160)+1,99),"")))=((AW160)-(AX160)))+2*((IFERROR(--LEFT(AC160,FIND("-",AC160)-1),""))=(AW160))+2*((IFERROR(--MID(AC160,FIND("-",AC160)+1,99),""))=(AX160))),""))</f>
        <v>10</v>
      </c>
      <c r="AE160" s="10" t="s">
        <v>35</v>
      </c>
      <c r="AF160" s="11">
        <f>IF(OR($C160="",AE160=""),"",IFERROR(IF(AND(IFERROR(--LEFT(AE160,FIND("-",AE160)-1),"")=AW160,IFERROR(--MID(AE160,FIND("-",AE160)+1,99),"")=AX160),10,5*(SIGN((IFERROR(--LEFT(AE160,FIND("-",AE160)-1),""))-(IFERROR(--MID(AE160,FIND("-",AE160)+1,99),"")))=SIGN((AW160)-(AX160)))+2*(((IFERROR(--LEFT(AE160,FIND("-",AE160)-1),""))-(IFERROR(--MID(AE160,FIND("-",AE160)+1,99),"")))=((AW160)-(AX160)))+2*((IFERROR(--LEFT(AE160,FIND("-",AE160)-1),""))=(AW160))+2*((IFERROR(--MID(AE160,FIND("-",AE160)+1,99),""))=(AX160))),""))</f>
        <v>7</v>
      </c>
      <c r="AG160" s="10" t="s">
        <v>37</v>
      </c>
      <c r="AH160" s="11">
        <f>IF(OR($C160="",AG160=""),"",IFERROR(IF(AND(IFERROR(--LEFT(AG160,FIND("-",AG160)-1),"")=AW160,IFERROR(--MID(AG160,FIND("-",AG160)+1,99),"")=AX160),10,5*(SIGN((IFERROR(--LEFT(AG160,FIND("-",AG160)-1),""))-(IFERROR(--MID(AG160,FIND("-",AG160)+1,99),"")))=SIGN((AW160)-(AX160)))+2*(((IFERROR(--LEFT(AG160,FIND("-",AG160)-1),""))-(IFERROR(--MID(AG160,FIND("-",AG160)+1,99),"")))=((AW160)-(AX160)))+2*((IFERROR(--LEFT(AG160,FIND("-",AG160)-1),""))=(AW160))+2*((IFERROR(--MID(AG160,FIND("-",AG160)+1,99),""))=(AX160))),""))</f>
        <v>0</v>
      </c>
      <c r="AI160" s="10" t="s">
        <v>50</v>
      </c>
      <c r="AJ160" s="11">
        <f>IF(OR($C160="",AI160=""),"",IFERROR(IF(AND(IFERROR(--LEFT(AI160,FIND("-",AI160)-1),"")=AW160,IFERROR(--MID(AI160,FIND("-",AI160)+1,99),"")=AX160),10,5*(SIGN((IFERROR(--LEFT(AI160,FIND("-",AI160)-1),""))-(IFERROR(--MID(AI160,FIND("-",AI160)+1,99),"")))=SIGN((AW160)-(AX160)))+2*(((IFERROR(--LEFT(AI160,FIND("-",AI160)-1),""))-(IFERROR(--MID(AI160,FIND("-",AI160)+1,99),"")))=((AW160)-(AX160)))+2*((IFERROR(--LEFT(AI160,FIND("-",AI160)-1),""))=(AW160))+2*((IFERROR(--MID(AI160,FIND("-",AI160)+1,99),""))=(AX160))),""))</f>
        <v>10</v>
      </c>
      <c r="AK160" s="10" t="s">
        <v>35</v>
      </c>
      <c r="AL160" s="11">
        <f>IF(OR($C160="",AK160=""),"",IFERROR(IF(AND(IFERROR(--LEFT(AK160,FIND("-",AK160)-1),"")=AW160,IFERROR(--MID(AK160,FIND("-",AK160)+1,99),"")=AX160),10,5*(SIGN((IFERROR(--LEFT(AK160,FIND("-",AK160)-1),""))-(IFERROR(--MID(AK160,FIND("-",AK160)+1,99),"")))=SIGN((AW160)-(AX160)))+2*(((IFERROR(--LEFT(AK160,FIND("-",AK160)-1),""))-(IFERROR(--MID(AK160,FIND("-",AK160)+1,99),"")))=((AW160)-(AX160)))+2*((IFERROR(--LEFT(AK160,FIND("-",AK160)-1),""))=(AW160))+2*((IFERROR(--MID(AK160,FIND("-",AK160)+1,99),""))=(AX160))),""))</f>
        <v>7</v>
      </c>
      <c r="AM160" s="10" t="s">
        <v>35</v>
      </c>
      <c r="AN160" s="11">
        <f>IF(OR($C160="",AM160=""),"",IFERROR(IF(AND(IFERROR(--LEFT(AM160,FIND("-",AM160)-1),"")=AW160,IFERROR(--MID(AM160,FIND("-",AM160)+1,99),"")=AX160),10,5*(SIGN((IFERROR(--LEFT(AM160,FIND("-",AM160)-1),""))-(IFERROR(--MID(AM160,FIND("-",AM160)+1,99),"")))=SIGN((AW160)-(AX160)))+2*(((IFERROR(--LEFT(AM160,FIND("-",AM160)-1),""))-(IFERROR(--MID(AM160,FIND("-",AM160)+1,99),"")))=((AW160)-(AX160)))+2*((IFERROR(--LEFT(AM160,FIND("-",AM160)-1),""))=(AW160))+2*((IFERROR(--MID(AM160,FIND("-",AM160)+1,99),""))=(AX160))),""))</f>
        <v>7</v>
      </c>
      <c r="AO160" s="10" t="s">
        <v>35</v>
      </c>
      <c r="AP160" s="11">
        <f>IF(OR($C160="",AO160=""),"",IFERROR(IF(AND(IFERROR(--LEFT(AO160,FIND("-",AO160)-1),"")=AW160,IFERROR(--MID(AO160,FIND("-",AO160)+1,99),"")=AX160),10,5*(SIGN((IFERROR(--LEFT(AO160,FIND("-",AO160)-1),""))-(IFERROR(--MID(AO160,FIND("-",AO160)+1,99),"")))=SIGN((AW160)-(AX160)))+2*(((IFERROR(--LEFT(AO160,FIND("-",AO160)-1),""))-(IFERROR(--MID(AO160,FIND("-",AO160)+1,99),"")))=((AW160)-(AX160)))+2*((IFERROR(--LEFT(AO160,FIND("-",AO160)-1),""))=(AW160))+2*((IFERROR(--MID(AO160,FIND("-",AO160)+1,99),""))=(AX160))),""))</f>
        <v>7</v>
      </c>
      <c r="AQ160" s="10" t="s">
        <v>39</v>
      </c>
      <c r="AR160" s="11">
        <f>IF(OR($C160="",AQ160=""),"",IFERROR(IF(AND(IFERROR(--LEFT(AQ160,FIND("-",AQ160)-1),"")=AW160,IFERROR(--MID(AQ160,FIND("-",AQ160)+1,99),"")=AX160),10,5*(SIGN((IFERROR(--LEFT(AQ160,FIND("-",AQ160)-1),""))-(IFERROR(--MID(AQ160,FIND("-",AQ160)+1,99),"")))=SIGN((AW160)-(AX160)))+2*(((IFERROR(--LEFT(AQ160,FIND("-",AQ160)-1),""))-(IFERROR(--MID(AQ160,FIND("-",AQ160)+1,99),"")))=((AW160)-(AX160)))+2*((IFERROR(--LEFT(AQ160,FIND("-",AQ160)-1),""))=(AW160))+2*((IFERROR(--MID(AQ160,FIND("-",AQ160)+1,99),""))=(AX160))),""))</f>
        <v>2</v>
      </c>
      <c r="AS160" s="10" t="s">
        <v>39</v>
      </c>
      <c r="AT160" s="11">
        <f>IF(OR($C160="",AS160=""),"",IFERROR(IF(AND(IFERROR(--LEFT(AS160,FIND("-",AS160)-1),"")=AW160,IFERROR(--MID(AS160,FIND("-",AS160)+1,99),"")=AX160),10,5*(SIGN((IFERROR(--LEFT(AS160,FIND("-",AS160)-1),""))-(IFERROR(--MID(AS160,FIND("-",AS160)+1,99),"")))=SIGN((AW160)-(AX160)))+2*(((IFERROR(--LEFT(AS160,FIND("-",AS160)-1),""))-(IFERROR(--MID(AS160,FIND("-",AS160)+1,99),"")))=((AW160)-(AX160)))+2*((IFERROR(--LEFT(AS160,FIND("-",AS160)-1),""))=(AW160))+2*((IFERROR(--MID(AS160,FIND("-",AS160)+1,99),""))=(AX160))),""))</f>
        <v>2</v>
      </c>
      <c r="AU160" s="10" t="s">
        <v>37</v>
      </c>
      <c r="AV160" s="11">
        <f>IF(OR($C160="",AU160=""),"",IFERROR(IF(AND(IFERROR(--LEFT(AU160,FIND("-",AU160)-1),"")=AW160,IFERROR(--MID(AU160,FIND("-",AU160)+1,99),"")=AX160),10,5*(SIGN((IFERROR(--LEFT(AU160,FIND("-",AU160)-1),""))-(IFERROR(--MID(AU160,FIND("-",AU160)+1,99),"")))=SIGN((AW160)-(AX160)))+2*(((IFERROR(--LEFT(AU160,FIND("-",AU160)-1),""))-(IFERROR(--MID(AU160,FIND("-",AU160)+1,99),"")))=((AW160)-(AX160)))+2*((IFERROR(--LEFT(AU160,FIND("-",AU160)-1),""))=(AW160))+2*((IFERROR(--MID(AU160,FIND("-",AU160)+1,99),""))=(AX160))),""))</f>
        <v>0</v>
      </c>
      <c r="AW160" s="11">
        <f>IF($C160="","",IFERROR(--LEFT($C160,FIND("-",$C160)-1),""))</f>
        <v>0</v>
      </c>
      <c r="AX160" s="11">
        <f>IF($C160="","",IFERROR(--MID($C160,FIND("-",$C160)+1,99),""))</f>
        <v>0</v>
      </c>
    </row>
    <row r="161" spans="1:50" ht="18" customHeight="1" x14ac:dyDescent="0.3">
      <c r="A161" s="12"/>
      <c r="B161" s="18"/>
      <c r="C161" s="13"/>
      <c r="D161" s="1"/>
      <c r="E161" s="22"/>
      <c r="F161" s="12"/>
      <c r="G161" s="22"/>
      <c r="H161" s="12"/>
      <c r="I161" s="22"/>
      <c r="J161" s="12"/>
      <c r="K161" s="22"/>
      <c r="L161" s="12"/>
      <c r="M161" s="22"/>
      <c r="N161" s="12"/>
      <c r="O161" s="22"/>
      <c r="P161" s="12"/>
      <c r="Q161" s="22"/>
      <c r="R161" s="12"/>
      <c r="S161" s="22"/>
      <c r="T161" s="12"/>
      <c r="U161" s="13"/>
      <c r="V161" s="12"/>
      <c r="W161" s="22"/>
      <c r="X161" s="12"/>
      <c r="Y161" s="22"/>
      <c r="Z161" s="12"/>
      <c r="AA161" s="22"/>
      <c r="AB161" s="12"/>
      <c r="AC161" s="22"/>
      <c r="AD161" s="12"/>
      <c r="AE161" s="22"/>
      <c r="AF161" s="12"/>
      <c r="AG161" s="22"/>
      <c r="AH161" s="12"/>
      <c r="AI161" s="22"/>
      <c r="AJ161" s="12"/>
      <c r="AK161" s="22"/>
      <c r="AL161" s="12"/>
      <c r="AM161" s="22"/>
      <c r="AN161" s="12"/>
      <c r="AO161" s="22"/>
      <c r="AP161" s="12"/>
      <c r="AQ161" s="22"/>
      <c r="AR161" s="12" t="str">
        <f>IF(OR($C161="",AQ161=""),"",IFERROR(IF(AND(IFERROR(--LEFT(AQ161,FIND("-",AQ161)-1),"")=AW161,IFERROR(--MID(AQ161,FIND("-",AQ161)+1,99),"")=AX161),10,5*(SIGN((IFERROR(--LEFT(AQ161,FIND("-",AQ161)-1),""))-(IFERROR(--MID(AQ161,FIND("-",AQ161)+1,99),"")))=SIGN((AW161)-(AX161)))+2*(((IFERROR(--LEFT(AQ161,FIND("-",AQ161)-1),""))-(IFERROR(--MID(AQ161,FIND("-",AQ161)+1,99),"")))=((AW161)-(AX161)))+2*((IFERROR(--LEFT(AQ161,FIND("-",AQ161)-1),""))=(AW161))+2*((IFERROR(--MID(AQ161,FIND("-",AQ161)+1,99),""))=(AX161))),""))</f>
        <v/>
      </c>
      <c r="AS161" s="22"/>
      <c r="AT161" s="12" t="str">
        <f>IF(OR($C161="",AS161=""),"",IFERROR(IF(AND(IFERROR(--LEFT(AS161,FIND("-",AS161)-1),"")=AW161,IFERROR(--MID(AS161,FIND("-",AS161)+1,99),"")=AX161),10,5*(SIGN((IFERROR(--LEFT(AS161,FIND("-",AS161)-1),""))-(IFERROR(--MID(AS161,FIND("-",AS161)+1,99),"")))=SIGN((AW161)-(AX161)))+2*(((IFERROR(--LEFT(AS161,FIND("-",AS161)-1),""))-(IFERROR(--MID(AS161,FIND("-",AS161)+1,99),"")))=((AW161)-(AX161)))+2*((IFERROR(--LEFT(AS161,FIND("-",AS161)-1),""))=(AW161))+2*((IFERROR(--MID(AS161,FIND("-",AS161)+1,99),""))=(AX161))),""))</f>
        <v/>
      </c>
      <c r="AU161" s="22"/>
      <c r="AV161" s="12"/>
      <c r="AW161" s="12"/>
      <c r="AX161" s="12"/>
    </row>
    <row r="162" spans="1:50" ht="18" customHeight="1" x14ac:dyDescent="0.3">
      <c r="A162" s="12"/>
      <c r="B162" s="18"/>
      <c r="C162" s="13"/>
      <c r="D162" s="1"/>
      <c r="E162" s="22"/>
      <c r="F162" s="12"/>
      <c r="G162" s="22"/>
      <c r="H162" s="12"/>
      <c r="I162" s="22"/>
      <c r="J162" s="12"/>
      <c r="K162" s="22"/>
      <c r="L162" s="12"/>
      <c r="M162" s="22"/>
      <c r="N162" s="12"/>
      <c r="O162" s="22"/>
      <c r="P162" s="12"/>
      <c r="Q162" s="22"/>
      <c r="R162" s="12"/>
      <c r="S162" s="22"/>
      <c r="T162" s="12"/>
      <c r="U162" s="13"/>
      <c r="V162" s="12"/>
      <c r="W162" s="22"/>
      <c r="X162" s="12"/>
      <c r="Y162" s="22"/>
      <c r="Z162" s="12"/>
      <c r="AA162" s="22"/>
      <c r="AB162" s="12"/>
      <c r="AC162" s="22"/>
      <c r="AD162" s="12"/>
      <c r="AE162" s="22"/>
      <c r="AF162" s="12"/>
      <c r="AG162" s="22"/>
      <c r="AH162" s="12"/>
      <c r="AI162" s="22"/>
      <c r="AJ162" s="12"/>
      <c r="AK162" s="22"/>
      <c r="AL162" s="12"/>
      <c r="AM162" s="22"/>
      <c r="AN162" s="12"/>
      <c r="AO162" s="22"/>
      <c r="AP162" s="12"/>
      <c r="AQ162" s="22"/>
      <c r="AR162" s="12" t="str">
        <f>IF(OR($C162="",AQ162=""),"",IFERROR(IF(AND(IFERROR(--LEFT(AQ162,FIND("-",AQ162)-1),"")=AW162,IFERROR(--MID(AQ162,FIND("-",AQ162)+1,99),"")=AX162),10,5*(SIGN((IFERROR(--LEFT(AQ162,FIND("-",AQ162)-1),""))-(IFERROR(--MID(AQ162,FIND("-",AQ162)+1,99),"")))=SIGN((AW162)-(AX162)))+2*(((IFERROR(--LEFT(AQ162,FIND("-",AQ162)-1),""))-(IFERROR(--MID(AQ162,FIND("-",AQ162)+1,99),"")))=((AW162)-(AX162)))+2*((IFERROR(--LEFT(AQ162,FIND("-",AQ162)-1),""))=(AW162))+2*((IFERROR(--MID(AQ162,FIND("-",AQ162)+1,99),""))=(AX162))),""))</f>
        <v/>
      </c>
      <c r="AS162" s="22"/>
      <c r="AT162" s="12" t="str">
        <f>IF(OR($C162="",AS162=""),"",IFERROR(IF(AND(IFERROR(--LEFT(AS162,FIND("-",AS162)-1),"")=AW162,IFERROR(--MID(AS162,FIND("-",AS162)+1,99),"")=AX162),10,5*(SIGN((IFERROR(--LEFT(AS162,FIND("-",AS162)-1),""))-(IFERROR(--MID(AS162,FIND("-",AS162)+1,99),"")))=SIGN((AW162)-(AX162)))+2*(((IFERROR(--LEFT(AS162,FIND("-",AS162)-1),""))-(IFERROR(--MID(AS162,FIND("-",AS162)+1,99),"")))=((AW162)-(AX162)))+2*((IFERROR(--LEFT(AS162,FIND("-",AS162)-1),""))=(AW162))+2*((IFERROR(--MID(AS162,FIND("-",AS162)+1,99),""))=(AX162))),""))</f>
        <v/>
      </c>
      <c r="AU162" s="22"/>
      <c r="AV162" s="12"/>
      <c r="AW162" s="12"/>
      <c r="AX162" s="12"/>
    </row>
    <row r="163" spans="1:50" ht="20.100000000000001" customHeight="1" x14ac:dyDescent="0.3">
      <c r="A163" s="41" t="s">
        <v>138</v>
      </c>
      <c r="B163" s="37"/>
      <c r="C163" s="38"/>
      <c r="D163" s="37"/>
      <c r="E163" s="38"/>
      <c r="F163" s="37"/>
      <c r="G163" s="38"/>
      <c r="H163" s="37"/>
      <c r="I163" s="38"/>
      <c r="J163" s="37"/>
      <c r="K163" s="38"/>
      <c r="L163" s="37"/>
      <c r="M163" s="38"/>
      <c r="N163" s="37"/>
      <c r="O163" s="38"/>
      <c r="P163" s="37"/>
      <c r="Q163" s="38"/>
      <c r="R163" s="37"/>
      <c r="S163" s="38"/>
      <c r="T163" s="37"/>
      <c r="U163" s="38"/>
      <c r="V163" s="37"/>
      <c r="W163" s="38"/>
      <c r="X163" s="37"/>
      <c r="Y163" s="38"/>
      <c r="Z163" s="37"/>
      <c r="AA163" s="38"/>
      <c r="AB163" s="37"/>
      <c r="AC163" s="38"/>
      <c r="AD163" s="37"/>
      <c r="AE163" s="38"/>
      <c r="AF163" s="37"/>
      <c r="AG163" s="38"/>
      <c r="AH163" s="37"/>
      <c r="AI163" s="38"/>
      <c r="AJ163" s="37"/>
      <c r="AK163" s="38"/>
      <c r="AL163" s="37"/>
      <c r="AM163" s="38"/>
      <c r="AN163" s="37"/>
      <c r="AO163" s="38"/>
      <c r="AP163" s="37"/>
      <c r="AQ163" s="37"/>
      <c r="AR163" s="37"/>
      <c r="AS163" s="37"/>
      <c r="AT163" s="37"/>
      <c r="AU163" s="38"/>
      <c r="AV163" s="39"/>
      <c r="AW163" s="7"/>
      <c r="AX163" s="7"/>
    </row>
    <row r="164" spans="1:50" ht="20.100000000000001" customHeight="1" x14ac:dyDescent="0.3">
      <c r="A164" s="36" t="s">
        <v>139</v>
      </c>
      <c r="B164" s="37"/>
      <c r="C164" s="38"/>
      <c r="D164" s="37"/>
      <c r="E164" s="38"/>
      <c r="F164" s="37"/>
      <c r="G164" s="38"/>
      <c r="H164" s="37"/>
      <c r="I164" s="38"/>
      <c r="J164" s="37"/>
      <c r="K164" s="38"/>
      <c r="L164" s="37"/>
      <c r="M164" s="38"/>
      <c r="N164" s="37"/>
      <c r="O164" s="38"/>
      <c r="P164" s="37"/>
      <c r="Q164" s="38"/>
      <c r="R164" s="37"/>
      <c r="S164" s="38"/>
      <c r="T164" s="37"/>
      <c r="U164" s="38"/>
      <c r="V164" s="37"/>
      <c r="W164" s="38"/>
      <c r="X164" s="37"/>
      <c r="Y164" s="38"/>
      <c r="Z164" s="37"/>
      <c r="AA164" s="38"/>
      <c r="AB164" s="37"/>
      <c r="AC164" s="38"/>
      <c r="AD164" s="37"/>
      <c r="AE164" s="38"/>
      <c r="AF164" s="37"/>
      <c r="AG164" s="38"/>
      <c r="AH164" s="37"/>
      <c r="AI164" s="38"/>
      <c r="AJ164" s="37"/>
      <c r="AK164" s="38"/>
      <c r="AL164" s="37"/>
      <c r="AM164" s="38"/>
      <c r="AN164" s="37"/>
      <c r="AO164" s="38"/>
      <c r="AP164" s="37"/>
      <c r="AQ164" s="37"/>
      <c r="AR164" s="37"/>
      <c r="AS164" s="37"/>
      <c r="AT164" s="37"/>
      <c r="AU164" s="38"/>
      <c r="AV164" s="39"/>
      <c r="AW164" s="8"/>
      <c r="AX164" s="8"/>
    </row>
    <row r="165" spans="1:50" ht="18" customHeight="1" x14ac:dyDescent="0.3">
      <c r="A165" s="9">
        <v>1.916666666666667</v>
      </c>
      <c r="B165" s="18" t="s">
        <v>89</v>
      </c>
      <c r="C165" s="10" t="s">
        <v>36</v>
      </c>
      <c r="D165" s="1" t="s">
        <v>60</v>
      </c>
      <c r="E165" s="10" t="s">
        <v>33</v>
      </c>
      <c r="F165" s="11">
        <f>IF(OR($C165="",E165=""),"",IFERROR(IF(AND(IFERROR(--LEFT(E165,FIND("-",E165)-1),"")=AW165,IFERROR(--MID(E165,FIND("-",E165)+1,99),"")=AX165),10,5*(SIGN((IFERROR(--LEFT(E165,FIND("-",E165)-1),""))-(IFERROR(--MID(E165,FIND("-",E165)+1,99),"")))=SIGN((AW165)-(AX165)))+2*(((IFERROR(--LEFT(E165,FIND("-",E165)-1),""))-(IFERROR(--MID(E165,FIND("-",E165)+1,99),"")))=((AW165)-(AX165)))+2*((IFERROR(--LEFT(E165,FIND("-",E165)-1),""))=(AW165))+2*((IFERROR(--MID(E165,FIND("-",E165)+1,99),""))=(AX165))),""))</f>
        <v>7</v>
      </c>
      <c r="G165" s="10" t="s">
        <v>61</v>
      </c>
      <c r="H165" s="11">
        <f>IF(OR($C165="",G165=""),"",IFERROR(IF(AND(IFERROR(--LEFT(G165,FIND("-",G165)-1),"")=AW165,IFERROR(--MID(G165,FIND("-",G165)+1,99),"")=AX165),10,5*(SIGN((IFERROR(--LEFT(G165,FIND("-",G165)-1),""))-(IFERROR(--MID(G165,FIND("-",G165)+1,99),"")))=SIGN((AW165)-(AX165)))+2*(((IFERROR(--LEFT(G165,FIND("-",G165)-1),""))-(IFERROR(--MID(G165,FIND("-",G165)+1,99),"")))=((AW165)-(AX165)))+2*((IFERROR(--LEFT(G165,FIND("-",G165)-1),""))=(AW165))+2*((IFERROR(--MID(G165,FIND("-",G165)+1,99),""))=(AX165))),""))</f>
        <v>5</v>
      </c>
      <c r="I165" s="10" t="s">
        <v>34</v>
      </c>
      <c r="J165" s="11">
        <f>IF(OR($C165="",I165=""),"",IFERROR(IF(AND(IFERROR(--LEFT(I165,FIND("-",I165)-1),"")=AW165,IFERROR(--MID(I165,FIND("-",I165)+1,99),"")=AX165),10,5*(SIGN((IFERROR(--LEFT(I165,FIND("-",I165)-1),""))-(IFERROR(--MID(I165,FIND("-",I165)+1,99),"")))=SIGN((AW165)-(AX165)))+2*(((IFERROR(--LEFT(I165,FIND("-",I165)-1),""))-(IFERROR(--MID(I165,FIND("-",I165)+1,99),"")))=((AW165)-(AX165)))+2*((IFERROR(--LEFT(I165,FIND("-",I165)-1),""))=(AW165))+2*((IFERROR(--MID(I165,FIND("-",I165)+1,99),""))=(AX165))),""))</f>
        <v>7</v>
      </c>
      <c r="K165" s="10" t="s">
        <v>43</v>
      </c>
      <c r="L165" s="11">
        <f>IF(OR($C165="",K165=""),"",IFERROR(IF(AND(IFERROR(--LEFT(K165,FIND("-",K165)-1),"")=AW165,IFERROR(--MID(K165,FIND("-",K165)+1,99),"")=AX165),10,5*(SIGN((IFERROR(--LEFT(K165,FIND("-",K165)-1),""))-(IFERROR(--MID(K165,FIND("-",K165)+1,99),"")))=SIGN((AW165)-(AX165)))+2*(((IFERROR(--LEFT(K165,FIND("-",K165)-1),""))-(IFERROR(--MID(K165,FIND("-",K165)+1,99),"")))=((AW165)-(AX165)))+2*((IFERROR(--LEFT(K165,FIND("-",K165)-1),""))=(AW165))+2*((IFERROR(--MID(K165,FIND("-",K165)+1,99),""))=(AX165))),""))</f>
        <v>5</v>
      </c>
      <c r="M165" s="10" t="s">
        <v>44</v>
      </c>
      <c r="N165" s="11">
        <f>IF(OR($C165="",M165=""),"",IFERROR(IF(AND(IFERROR(--LEFT(M165,FIND("-",M165)-1),"")=AW165,IFERROR(--MID(M165,FIND("-",M165)+1,99),"")=AX165),10,5*(SIGN((IFERROR(--LEFT(M165,FIND("-",M165)-1),""))-(IFERROR(--MID(M165,FIND("-",M165)+1,99),"")))=SIGN((AW165)-(AX165)))+2*(((IFERROR(--LEFT(M165,FIND("-",M165)-1),""))-(IFERROR(--MID(M165,FIND("-",M165)+1,99),"")))=((AW165)-(AX165)))+2*((IFERROR(--LEFT(M165,FIND("-",M165)-1),""))=(AW165))+2*((IFERROR(--MID(M165,FIND("-",M165)+1,99),""))=(AX165))),""))</f>
        <v>2</v>
      </c>
      <c r="O165" s="10" t="s">
        <v>33</v>
      </c>
      <c r="P165" s="11">
        <f>IF(OR($C165="",O165=""),"",IFERROR(IF(AND(IFERROR(--LEFT(O165,FIND("-",O165)-1),"")=AW165,IFERROR(--MID(O165,FIND("-",O165)+1,99),"")=AX165),10,5*(SIGN((IFERROR(--LEFT(O165,FIND("-",O165)-1),""))-(IFERROR(--MID(O165,FIND("-",O165)+1,99),"")))=SIGN((AW165)-(AX165)))+2*(((IFERROR(--LEFT(O165,FIND("-",O165)-1),""))-(IFERROR(--MID(O165,FIND("-",O165)+1,99),"")))=((AW165)-(AX165)))+2*((IFERROR(--LEFT(O165,FIND("-",O165)-1),""))=(AW165))+2*((IFERROR(--MID(O165,FIND("-",O165)+1,99),""))=(AX165))),""))</f>
        <v>7</v>
      </c>
      <c r="Q165" s="10" t="s">
        <v>49</v>
      </c>
      <c r="R165" s="11">
        <f>IF(OR($C165="",Q165=""),"",IFERROR(IF(AND(IFERROR(--LEFT(Q165,FIND("-",Q165)-1),"")=AW165,IFERROR(--MID(Q165,FIND("-",Q165)+1,99),"")=AX165),10,5*(SIGN((IFERROR(--LEFT(Q165,FIND("-",Q165)-1),""))-(IFERROR(--MID(Q165,FIND("-",Q165)+1,99),"")))=SIGN((AW165)-(AX165)))+2*(((IFERROR(--LEFT(Q165,FIND("-",Q165)-1),""))-(IFERROR(--MID(Q165,FIND("-",Q165)+1,99),"")))=((AW165)-(AX165)))+2*((IFERROR(--LEFT(Q165,FIND("-",Q165)-1),""))=(AW165))+2*((IFERROR(--MID(Q165,FIND("-",Q165)+1,99),""))=(AX165))),""))</f>
        <v>2</v>
      </c>
      <c r="S165" s="10" t="s">
        <v>36</v>
      </c>
      <c r="T165" s="11">
        <f>IF(OR($C165="",S165=""),"",IFERROR(IF(AND(IFERROR(--LEFT(S165,FIND("-",S165)-1),"")=AW165,IFERROR(--MID(S165,FIND("-",S165)+1,99),"")=AX165),10,5*(SIGN((IFERROR(--LEFT(S165,FIND("-",S165)-1),""))-(IFERROR(--MID(S165,FIND("-",S165)+1,99),"")))=SIGN((AW165)-(AX165)))+2*(((IFERROR(--LEFT(S165,FIND("-",S165)-1),""))-(IFERROR(--MID(S165,FIND("-",S165)+1,99),"")))=((AW165)-(AX165)))+2*((IFERROR(--LEFT(S165,FIND("-",S165)-1),""))=(AW165))+2*((IFERROR(--MID(S165,FIND("-",S165)+1,99),""))=(AX165))),""))</f>
        <v>10</v>
      </c>
      <c r="U165" s="10" t="s">
        <v>38</v>
      </c>
      <c r="V165" s="11">
        <f>IF(OR($C165="",U165=""),"",IFERROR(IF(AND(IFERROR(--LEFT(U165,FIND("-",U165)-1),"")=AW165,IFERROR(--MID(U165,FIND("-",U165)+1,99),"")=AX165),10,5*(SIGN((IFERROR(--LEFT(U165,FIND("-",U165)-1),""))-(IFERROR(--MID(U165,FIND("-",U165)+1,99),"")))=SIGN((AW165)-(AX165)))+2*(((IFERROR(--LEFT(U165,FIND("-",U165)-1),""))-(IFERROR(--MID(U165,FIND("-",U165)+1,99),"")))=((AW165)-(AX165)))+2*((IFERROR(--LEFT(U165,FIND("-",U165)-1),""))=(AW165))+2*((IFERROR(--MID(U165,FIND("-",U165)+1,99),""))=(AX165))),""))</f>
        <v>7</v>
      </c>
      <c r="W165" s="10" t="s">
        <v>33</v>
      </c>
      <c r="X165" s="11">
        <f>IF(OR($C165="",W165=""),"",IFERROR(IF(AND(IFERROR(--LEFT(W165,FIND("-",W165)-1),"")=AW165,IFERROR(--MID(W165,FIND("-",W165)+1,99),"")=AX165),10,5*(SIGN((IFERROR(--LEFT(W165,FIND("-",W165)-1),""))-(IFERROR(--MID(W165,FIND("-",W165)+1,99),"")))=SIGN((AW165)-(AX165)))+2*(((IFERROR(--LEFT(W165,FIND("-",W165)-1),""))-(IFERROR(--MID(W165,FIND("-",W165)+1,99),"")))=((AW165)-(AX165)))+2*((IFERROR(--LEFT(W165,FIND("-",W165)-1),""))=(AW165))+2*((IFERROR(--MID(W165,FIND("-",W165)+1,99),""))=(AX165))),""))</f>
        <v>7</v>
      </c>
      <c r="Y165" s="10" t="s">
        <v>33</v>
      </c>
      <c r="Z165" s="11">
        <f>IF(OR($C165="",Y165=""),"",IFERROR(IF(AND(IFERROR(--LEFT(Y165,FIND("-",Y165)-1),"")=AW165,IFERROR(--MID(Y165,FIND("-",Y165)+1,99),"")=AX165),10,5*(SIGN((IFERROR(--LEFT(Y165,FIND("-",Y165)-1),""))-(IFERROR(--MID(Y165,FIND("-",Y165)+1,99),"")))=SIGN((AW165)-(AX165)))+2*(((IFERROR(--LEFT(Y165,FIND("-",Y165)-1),""))-(IFERROR(--MID(Y165,FIND("-",Y165)+1,99),"")))=((AW165)-(AX165)))+2*((IFERROR(--LEFT(Y165,FIND("-",Y165)-1),""))=(AW165))+2*((IFERROR(--MID(Y165,FIND("-",Y165)+1,99),""))=(AX165))),""))</f>
        <v>7</v>
      </c>
      <c r="AA165" s="10" t="s">
        <v>34</v>
      </c>
      <c r="AB165" s="11">
        <f>IF(OR($C165="",AA165=""),"",IFERROR(IF(AND(IFERROR(--LEFT(AA165,FIND("-",AA165)-1),"")=AW165,IFERROR(--MID(AA165,FIND("-",AA165)+1,99),"")=AX165),10,5*(SIGN((IFERROR(--LEFT(AA165,FIND("-",AA165)-1),""))-(IFERROR(--MID(AA165,FIND("-",AA165)+1,99),"")))=SIGN((AW165)-(AX165)))+2*(((IFERROR(--LEFT(AA165,FIND("-",AA165)-1),""))-(IFERROR(--MID(AA165,FIND("-",AA165)+1,99),"")))=((AW165)-(AX165)))+2*((IFERROR(--LEFT(AA165,FIND("-",AA165)-1),""))=(AW165))+2*((IFERROR(--MID(AA165,FIND("-",AA165)+1,99),""))=(AX165))),""))</f>
        <v>7</v>
      </c>
      <c r="AC165" s="10" t="s">
        <v>36</v>
      </c>
      <c r="AD165" s="11">
        <f>IF(OR($C165="",AC165=""),"",IFERROR(IF(AND(IFERROR(--LEFT(AC165,FIND("-",AC165)-1),"")=AW165,IFERROR(--MID(AC165,FIND("-",AC165)+1,99),"")=AX165),10,5*(SIGN((IFERROR(--LEFT(AC165,FIND("-",AC165)-1),""))-(IFERROR(--MID(AC165,FIND("-",AC165)+1,99),"")))=SIGN((AW165)-(AX165)))+2*(((IFERROR(--LEFT(AC165,FIND("-",AC165)-1),""))-(IFERROR(--MID(AC165,FIND("-",AC165)+1,99),"")))=((AW165)-(AX165)))+2*((IFERROR(--LEFT(AC165,FIND("-",AC165)-1),""))=(AW165))+2*((IFERROR(--MID(AC165,FIND("-",AC165)+1,99),""))=(AX165))),""))</f>
        <v>10</v>
      </c>
      <c r="AE165" s="10" t="s">
        <v>33</v>
      </c>
      <c r="AF165" s="11">
        <f>IF(OR($C165="",AE165=""),"",IFERROR(IF(AND(IFERROR(--LEFT(AE165,FIND("-",AE165)-1),"")=AW165,IFERROR(--MID(AE165,FIND("-",AE165)+1,99),"")=AX165),10,5*(SIGN((IFERROR(--LEFT(AE165,FIND("-",AE165)-1),""))-(IFERROR(--MID(AE165,FIND("-",AE165)+1,99),"")))=SIGN((AW165)-(AX165)))+2*(((IFERROR(--LEFT(AE165,FIND("-",AE165)-1),""))-(IFERROR(--MID(AE165,FIND("-",AE165)+1,99),"")))=((AW165)-(AX165)))+2*((IFERROR(--LEFT(AE165,FIND("-",AE165)-1),""))=(AW165))+2*((IFERROR(--MID(AE165,FIND("-",AE165)+1,99),""))=(AX165))),""))</f>
        <v>7</v>
      </c>
      <c r="AG165" s="10" t="s">
        <v>33</v>
      </c>
      <c r="AH165" s="11">
        <f>IF(OR($C165="",AG165=""),"",IFERROR(IF(AND(IFERROR(--LEFT(AG165,FIND("-",AG165)-1),"")=AW165,IFERROR(--MID(AG165,FIND("-",AG165)+1,99),"")=AX165),10,5*(SIGN((IFERROR(--LEFT(AG165,FIND("-",AG165)-1),""))-(IFERROR(--MID(AG165,FIND("-",AG165)+1,99),"")))=SIGN((AW165)-(AX165)))+2*(((IFERROR(--LEFT(AG165,FIND("-",AG165)-1),""))-(IFERROR(--MID(AG165,FIND("-",AG165)+1,99),"")))=((AW165)-(AX165)))+2*((IFERROR(--LEFT(AG165,FIND("-",AG165)-1),""))=(AW165))+2*((IFERROR(--MID(AG165,FIND("-",AG165)+1,99),""))=(AX165))),""))</f>
        <v>7</v>
      </c>
      <c r="AI165" s="10" t="s">
        <v>33</v>
      </c>
      <c r="AJ165" s="11">
        <f>IF(OR($C165="",AI165=""),"",IFERROR(IF(AND(IFERROR(--LEFT(AI165,FIND("-",AI165)-1),"")=AW165,IFERROR(--MID(AI165,FIND("-",AI165)+1,99),"")=AX165),10,5*(SIGN((IFERROR(--LEFT(AI165,FIND("-",AI165)-1),""))-(IFERROR(--MID(AI165,FIND("-",AI165)+1,99),"")))=SIGN((AW165)-(AX165)))+2*(((IFERROR(--LEFT(AI165,FIND("-",AI165)-1),""))-(IFERROR(--MID(AI165,FIND("-",AI165)+1,99),"")))=((AW165)-(AX165)))+2*((IFERROR(--LEFT(AI165,FIND("-",AI165)-1),""))=(AW165))+2*((IFERROR(--MID(AI165,FIND("-",AI165)+1,99),""))=(AX165))),""))</f>
        <v>7</v>
      </c>
      <c r="AK165" s="10" t="s">
        <v>39</v>
      </c>
      <c r="AL165" s="11">
        <f>IF(OR($C165="",AK165=""),"",IFERROR(IF(AND(IFERROR(--LEFT(AK165,FIND("-",AK165)-1),"")=AW165,IFERROR(--MID(AK165,FIND("-",AK165)+1,99),"")=AX165),10,5*(SIGN((IFERROR(--LEFT(AK165,FIND("-",AK165)-1),""))-(IFERROR(--MID(AK165,FIND("-",AK165)+1,99),"")))=SIGN((AW165)-(AX165)))+2*(((IFERROR(--LEFT(AK165,FIND("-",AK165)-1),""))-(IFERROR(--MID(AK165,FIND("-",AK165)+1,99),"")))=((AW165)-(AX165)))+2*((IFERROR(--LEFT(AK165,FIND("-",AK165)-1),""))=(AW165))+2*((IFERROR(--MID(AK165,FIND("-",AK165)+1,99),""))=(AX165))),""))</f>
        <v>7</v>
      </c>
      <c r="AM165" s="10" t="s">
        <v>34</v>
      </c>
      <c r="AN165" s="11">
        <f>IF(OR($C165="",AM165=""),"",IFERROR(IF(AND(IFERROR(--LEFT(AM165,FIND("-",AM165)-1),"")=AW165,IFERROR(--MID(AM165,FIND("-",AM165)+1,99),"")=AX165),10,5*(SIGN((IFERROR(--LEFT(AM165,FIND("-",AM165)-1),""))-(IFERROR(--MID(AM165,FIND("-",AM165)+1,99),"")))=SIGN((AW165)-(AX165)))+2*(((IFERROR(--LEFT(AM165,FIND("-",AM165)-1),""))-(IFERROR(--MID(AM165,FIND("-",AM165)+1,99),"")))=((AW165)-(AX165)))+2*((IFERROR(--LEFT(AM165,FIND("-",AM165)-1),""))=(AW165))+2*((IFERROR(--MID(AM165,FIND("-",AM165)+1,99),""))=(AX165))),""))</f>
        <v>7</v>
      </c>
      <c r="AO165" s="10" t="s">
        <v>33</v>
      </c>
      <c r="AP165" s="11">
        <f>IF(OR($C165="",AO165=""),"",IFERROR(IF(AND(IFERROR(--LEFT(AO165,FIND("-",AO165)-1),"")=AW165,IFERROR(--MID(AO165,FIND("-",AO165)+1,99),"")=AX165),10,5*(SIGN((IFERROR(--LEFT(AO165,FIND("-",AO165)-1),""))-(IFERROR(--MID(AO165,FIND("-",AO165)+1,99),"")))=SIGN((AW165)-(AX165)))+2*(((IFERROR(--LEFT(AO165,FIND("-",AO165)-1),""))-(IFERROR(--MID(AO165,FIND("-",AO165)+1,99),"")))=((AW165)-(AX165)))+2*((IFERROR(--LEFT(AO165,FIND("-",AO165)-1),""))=(AW165))+2*((IFERROR(--MID(AO165,FIND("-",AO165)+1,99),""))=(AX165))),""))</f>
        <v>7</v>
      </c>
      <c r="AQ165" s="10" t="s">
        <v>33</v>
      </c>
      <c r="AR165" s="11">
        <f>IF(OR($C165="",AQ165=""),"",IFERROR(IF(AND(IFERROR(--LEFT(AQ165,FIND("-",AQ165)-1),"")=AW165,IFERROR(--MID(AQ165,FIND("-",AQ165)+1,99),"")=AX165),10,5*(SIGN((IFERROR(--LEFT(AQ165,FIND("-",AQ165)-1),""))-(IFERROR(--MID(AQ165,FIND("-",AQ165)+1,99),"")))=SIGN((AW165)-(AX165)))+2*(((IFERROR(--LEFT(AQ165,FIND("-",AQ165)-1),""))-(IFERROR(--MID(AQ165,FIND("-",AQ165)+1,99),"")))=((AW165)-(AX165)))+2*((IFERROR(--LEFT(AQ165,FIND("-",AQ165)-1),""))=(AW165))+2*((IFERROR(--MID(AQ165,FIND("-",AQ165)+1,99),""))=(AX165))),""))</f>
        <v>7</v>
      </c>
      <c r="AS165" s="10" t="s">
        <v>49</v>
      </c>
      <c r="AT165" s="11">
        <f>IF(OR($C165="",AS165=""),"",IFERROR(IF(AND(IFERROR(--LEFT(AS165,FIND("-",AS165)-1),"")=AW165,IFERROR(--MID(AS165,FIND("-",AS165)+1,99),"")=AX165),10,5*(SIGN((IFERROR(--LEFT(AS165,FIND("-",AS165)-1),""))-(IFERROR(--MID(AS165,FIND("-",AS165)+1,99),"")))=SIGN((AW165)-(AX165)))+2*(((IFERROR(--LEFT(AS165,FIND("-",AS165)-1),""))-(IFERROR(--MID(AS165,FIND("-",AS165)+1,99),"")))=((AW165)-(AX165)))+2*((IFERROR(--LEFT(AS165,FIND("-",AS165)-1),""))=(AW165))+2*((IFERROR(--MID(AS165,FIND("-",AS165)+1,99),""))=(AX165))),""))</f>
        <v>2</v>
      </c>
      <c r="AU165" s="10" t="s">
        <v>39</v>
      </c>
      <c r="AV165" s="11">
        <f>IF(OR($C165="",AU165=""),"",IFERROR(IF(AND(IFERROR(--LEFT(AU165,FIND("-",AU165)-1),"")=AW165,IFERROR(--MID(AU165,FIND("-",AU165)+1,99),"")=AX165),10,5*(SIGN((IFERROR(--LEFT(AU165,FIND("-",AU165)-1),""))-(IFERROR(--MID(AU165,FIND("-",AU165)+1,99),"")))=SIGN((AW165)-(AX165)))+2*(((IFERROR(--LEFT(AU165,FIND("-",AU165)-1),""))-(IFERROR(--MID(AU165,FIND("-",AU165)+1,99),"")))=((AW165)-(AX165)))+2*((IFERROR(--LEFT(AU165,FIND("-",AU165)-1),""))=(AW165))+2*((IFERROR(--MID(AU165,FIND("-",AU165)+1,99),""))=(AX165))),""))</f>
        <v>7</v>
      </c>
      <c r="AW165" s="11">
        <f>IF($C165="","",IFERROR(--LEFT($C165,FIND("-",$C165)-1),""))</f>
        <v>2</v>
      </c>
      <c r="AX165" s="11">
        <f>IF($C165="","",IFERROR(--MID($C165,FIND("-",$C165)+1,99),""))</f>
        <v>0</v>
      </c>
    </row>
    <row r="166" spans="1:50" ht="18" customHeight="1" x14ac:dyDescent="0.3">
      <c r="A166" s="12"/>
      <c r="B166" s="18"/>
      <c r="C166" s="13"/>
      <c r="D166" s="1"/>
      <c r="E166" s="22"/>
      <c r="F166" s="12"/>
      <c r="G166" s="22"/>
      <c r="H166" s="12"/>
      <c r="I166" s="22"/>
      <c r="J166" s="12"/>
      <c r="K166" s="22"/>
      <c r="L166" s="12"/>
      <c r="M166" s="22"/>
      <c r="N166" s="12"/>
      <c r="O166" s="22"/>
      <c r="P166" s="12"/>
      <c r="Q166" s="22"/>
      <c r="R166" s="12"/>
      <c r="S166" s="22"/>
      <c r="T166" s="12"/>
      <c r="U166" s="13"/>
      <c r="V166" s="12"/>
      <c r="W166" s="22"/>
      <c r="X166" s="12"/>
      <c r="Y166" s="22"/>
      <c r="Z166" s="12"/>
      <c r="AA166" s="22"/>
      <c r="AB166" s="12"/>
      <c r="AC166" s="22"/>
      <c r="AD166" s="12"/>
      <c r="AE166" s="22"/>
      <c r="AF166" s="12"/>
      <c r="AG166" s="22"/>
      <c r="AH166" s="12"/>
      <c r="AI166" s="22"/>
      <c r="AJ166" s="12"/>
      <c r="AK166" s="22"/>
      <c r="AL166" s="12"/>
      <c r="AM166" s="22"/>
      <c r="AN166" s="12"/>
      <c r="AO166" s="22"/>
      <c r="AP166" s="12"/>
      <c r="AQ166" s="22"/>
      <c r="AR166" s="12" t="str">
        <f>IF(OR($C166="",AQ166=""),"",IFERROR(IF(AND(IFERROR(--LEFT(AQ166,FIND("-",AQ166)-1),"")=AW166,IFERROR(--MID(AQ166,FIND("-",AQ166)+1,99),"")=AX166),10,5*(SIGN((IFERROR(--LEFT(AQ166,FIND("-",AQ166)-1),""))-(IFERROR(--MID(AQ166,FIND("-",AQ166)+1,99),"")))=SIGN((AW166)-(AX166)))+2*(((IFERROR(--LEFT(AQ166,FIND("-",AQ166)-1),""))-(IFERROR(--MID(AQ166,FIND("-",AQ166)+1,99),"")))=((AW166)-(AX166)))+2*((IFERROR(--LEFT(AQ166,FIND("-",AQ166)-1),""))=(AW166))+2*((IFERROR(--MID(AQ166,FIND("-",AQ166)+1,99),""))=(AX166))),""))</f>
        <v/>
      </c>
      <c r="AS166" s="22"/>
      <c r="AT166" s="12" t="str">
        <f>IF(OR($C166="",AS166=""),"",IFERROR(IF(AND(IFERROR(--LEFT(AS166,FIND("-",AS166)-1),"")=AW166,IFERROR(--MID(AS166,FIND("-",AS166)+1,99),"")=AX166),10,5*(SIGN((IFERROR(--LEFT(AS166,FIND("-",AS166)-1),""))-(IFERROR(--MID(AS166,FIND("-",AS166)+1,99),"")))=SIGN((AW166)-(AX166)))+2*(((IFERROR(--LEFT(AS166,FIND("-",AS166)-1),""))-(IFERROR(--MID(AS166,FIND("-",AS166)+1,99),"")))=((AW166)-(AX166)))+2*((IFERROR(--LEFT(AS166,FIND("-",AS166)-1),""))=(AW166))+2*((IFERROR(--MID(AS166,FIND("-",AS166)+1,99),""))=(AX166))),""))</f>
        <v/>
      </c>
      <c r="AU166" s="22"/>
      <c r="AV166" s="12"/>
      <c r="AW166" s="12"/>
      <c r="AX166" s="12"/>
    </row>
    <row r="167" spans="1:50" ht="20.100000000000001" customHeight="1" x14ac:dyDescent="0.3">
      <c r="A167" s="36" t="s">
        <v>140</v>
      </c>
      <c r="B167" s="37"/>
      <c r="C167" s="38"/>
      <c r="D167" s="37"/>
      <c r="E167" s="38"/>
      <c r="F167" s="37"/>
      <c r="G167" s="38"/>
      <c r="H167" s="37"/>
      <c r="I167" s="38"/>
      <c r="J167" s="37"/>
      <c r="K167" s="38"/>
      <c r="L167" s="37"/>
      <c r="M167" s="38"/>
      <c r="N167" s="37"/>
      <c r="O167" s="38"/>
      <c r="P167" s="37"/>
      <c r="Q167" s="38"/>
      <c r="R167" s="37"/>
      <c r="S167" s="38"/>
      <c r="T167" s="37"/>
      <c r="U167" s="38"/>
      <c r="V167" s="37"/>
      <c r="W167" s="38"/>
      <c r="X167" s="37"/>
      <c r="Y167" s="38"/>
      <c r="Z167" s="37"/>
      <c r="AA167" s="38"/>
      <c r="AB167" s="37"/>
      <c r="AC167" s="38"/>
      <c r="AD167" s="37"/>
      <c r="AE167" s="38"/>
      <c r="AF167" s="37"/>
      <c r="AG167" s="38"/>
      <c r="AH167" s="37"/>
      <c r="AI167" s="38"/>
      <c r="AJ167" s="37"/>
      <c r="AK167" s="38"/>
      <c r="AL167" s="37"/>
      <c r="AM167" s="38"/>
      <c r="AN167" s="37"/>
      <c r="AO167" s="38"/>
      <c r="AP167" s="37"/>
      <c r="AQ167" s="37"/>
      <c r="AR167" s="37"/>
      <c r="AS167" s="37"/>
      <c r="AT167" s="37"/>
      <c r="AU167" s="38"/>
      <c r="AV167" s="39"/>
      <c r="AW167" s="8"/>
      <c r="AX167" s="8"/>
    </row>
    <row r="168" spans="1:50" ht="18" customHeight="1" x14ac:dyDescent="0.3">
      <c r="A168" s="9">
        <v>1.875</v>
      </c>
      <c r="B168" s="18" t="s">
        <v>80</v>
      </c>
      <c r="C168" s="10" t="s">
        <v>33</v>
      </c>
      <c r="D168" s="1" t="s">
        <v>82</v>
      </c>
      <c r="E168" s="10" t="s">
        <v>36</v>
      </c>
      <c r="F168" s="11">
        <f>IF(OR($C168="",E168=""),"",IFERROR(IF(AND(IFERROR(--LEFT(E168,FIND("-",E168)-1),"")=AW168,IFERROR(--MID(E168,FIND("-",E168)+1,99),"")=AX168),10,5*(SIGN((IFERROR(--LEFT(E168,FIND("-",E168)-1),""))-(IFERROR(--MID(E168,FIND("-",E168)+1,99),"")))=SIGN((AW168)-(AX168)))+2*(((IFERROR(--LEFT(E168,FIND("-",E168)-1),""))-(IFERROR(--MID(E168,FIND("-",E168)+1,99),"")))=((AW168)-(AX168)))+2*((IFERROR(--LEFT(E168,FIND("-",E168)-1),""))=(AW168))+2*((IFERROR(--MID(E168,FIND("-",E168)+1,99),""))=(AX168))),""))</f>
        <v>7</v>
      </c>
      <c r="G168" s="10" t="s">
        <v>33</v>
      </c>
      <c r="H168" s="11">
        <f>IF(OR($C168="",G168=""),"",IFERROR(IF(AND(IFERROR(--LEFT(G168,FIND("-",G168)-1),"")=AW168,IFERROR(--MID(G168,FIND("-",G168)+1,99),"")=AX168),10,5*(SIGN((IFERROR(--LEFT(G168,FIND("-",G168)-1),""))-(IFERROR(--MID(G168,FIND("-",G168)+1,99),"")))=SIGN((AW168)-(AX168)))+2*(((IFERROR(--LEFT(G168,FIND("-",G168)-1),""))-(IFERROR(--MID(G168,FIND("-",G168)+1,99),"")))=((AW168)-(AX168)))+2*((IFERROR(--LEFT(G168,FIND("-",G168)-1),""))=(AW168))+2*((IFERROR(--MID(G168,FIND("-",G168)+1,99),""))=(AX168))),""))</f>
        <v>10</v>
      </c>
      <c r="I168" s="10" t="s">
        <v>36</v>
      </c>
      <c r="J168" s="11">
        <f>IF(OR($C168="",I168=""),"",IFERROR(IF(AND(IFERROR(--LEFT(I168,FIND("-",I168)-1),"")=AW168,IFERROR(--MID(I168,FIND("-",I168)+1,99),"")=AX168),10,5*(SIGN((IFERROR(--LEFT(I168,FIND("-",I168)-1),""))-(IFERROR(--MID(I168,FIND("-",I168)+1,99),"")))=SIGN((AW168)-(AX168)))+2*(((IFERROR(--LEFT(I168,FIND("-",I168)-1),""))-(IFERROR(--MID(I168,FIND("-",I168)+1,99),"")))=((AW168)-(AX168)))+2*((IFERROR(--LEFT(I168,FIND("-",I168)-1),""))=(AW168))+2*((IFERROR(--MID(I168,FIND("-",I168)+1,99),""))=(AX168))),""))</f>
        <v>7</v>
      </c>
      <c r="K168" s="10" t="s">
        <v>71</v>
      </c>
      <c r="L168" s="11">
        <f>IF(OR($C168="",K168=""),"",IFERROR(IF(AND(IFERROR(--LEFT(K168,FIND("-",K168)-1),"")=AW168,IFERROR(--MID(K168,FIND("-",K168)+1,99),"")=AX168),10,5*(SIGN((IFERROR(--LEFT(K168,FIND("-",K168)-1),""))-(IFERROR(--MID(K168,FIND("-",K168)+1,99),"")))=SIGN((AW168)-(AX168)))+2*(((IFERROR(--LEFT(K168,FIND("-",K168)-1),""))-(IFERROR(--MID(K168,FIND("-",K168)+1,99),"")))=((AW168)-(AX168)))+2*((IFERROR(--LEFT(K168,FIND("-",K168)-1),""))=(AW168))+2*((IFERROR(--MID(K168,FIND("-",K168)+1,99),""))=(AX168))),""))</f>
        <v>5</v>
      </c>
      <c r="M168" s="10" t="s">
        <v>49</v>
      </c>
      <c r="N168" s="11">
        <f>IF(OR($C168="",M168=""),"",IFERROR(IF(AND(IFERROR(--LEFT(M168,FIND("-",M168)-1),"")=AW168,IFERROR(--MID(M168,FIND("-",M168)+1,99),"")=AX168),10,5*(SIGN((IFERROR(--LEFT(M168,FIND("-",M168)-1),""))-(IFERROR(--MID(M168,FIND("-",M168)+1,99),"")))=SIGN((AW168)-(AX168)))+2*(((IFERROR(--LEFT(M168,FIND("-",M168)-1),""))-(IFERROR(--MID(M168,FIND("-",M168)+1,99),"")))=((AW168)-(AX168)))+2*((IFERROR(--LEFT(M168,FIND("-",M168)-1),""))=(AW168))+2*((IFERROR(--MID(M168,FIND("-",M168)+1,99),""))=(AX168))),""))</f>
        <v>2</v>
      </c>
      <c r="O168" s="10" t="s">
        <v>34</v>
      </c>
      <c r="P168" s="11">
        <f>IF(OR($C168="",O168=""),"",IFERROR(IF(AND(IFERROR(--LEFT(O168,FIND("-",O168)-1),"")=AW168,IFERROR(--MID(O168,FIND("-",O168)+1,99),"")=AX168),10,5*(SIGN((IFERROR(--LEFT(O168,FIND("-",O168)-1),""))-(IFERROR(--MID(O168,FIND("-",O168)+1,99),"")))=SIGN((AW168)-(AX168)))+2*(((IFERROR(--LEFT(O168,FIND("-",O168)-1),""))-(IFERROR(--MID(O168,FIND("-",O168)+1,99),"")))=((AW168)-(AX168)))+2*((IFERROR(--LEFT(O168,FIND("-",O168)-1),""))=(AW168))+2*((IFERROR(--MID(O168,FIND("-",O168)+1,99),""))=(AX168))),""))</f>
        <v>7</v>
      </c>
      <c r="Q168" s="10" t="s">
        <v>37</v>
      </c>
      <c r="R168" s="11">
        <f>IF(OR($C168="",Q168=""),"",IFERROR(IF(AND(IFERROR(--LEFT(Q168,FIND("-",Q168)-1),"")=AW168,IFERROR(--MID(Q168,FIND("-",Q168)+1,99),"")=AX168),10,5*(SIGN((IFERROR(--LEFT(Q168,FIND("-",Q168)-1),""))-(IFERROR(--MID(Q168,FIND("-",Q168)+1,99),"")))=SIGN((AW168)-(AX168)))+2*(((IFERROR(--LEFT(Q168,FIND("-",Q168)-1),""))-(IFERROR(--MID(Q168,FIND("-",Q168)+1,99),"")))=((AW168)-(AX168)))+2*((IFERROR(--LEFT(Q168,FIND("-",Q168)-1),""))=(AW168))+2*((IFERROR(--MID(Q168,FIND("-",Q168)+1,99),""))=(AX168))),""))</f>
        <v>0</v>
      </c>
      <c r="S168" s="10" t="s">
        <v>39</v>
      </c>
      <c r="T168" s="11">
        <f>IF(OR($C168="",S168=""),"",IFERROR(IF(AND(IFERROR(--LEFT(S168,FIND("-",S168)-1),"")=AW168,IFERROR(--MID(S168,FIND("-",S168)+1,99),"")=AX168),10,5*(SIGN((IFERROR(--LEFT(S168,FIND("-",S168)-1),""))-(IFERROR(--MID(S168,FIND("-",S168)+1,99),"")))=SIGN((AW168)-(AX168)))+2*(((IFERROR(--LEFT(S168,FIND("-",S168)-1),""))-(IFERROR(--MID(S168,FIND("-",S168)+1,99),"")))=((AW168)-(AX168)))+2*((IFERROR(--LEFT(S168,FIND("-",S168)-1),""))=(AW168))+2*((IFERROR(--MID(S168,FIND("-",S168)+1,99),""))=(AX168))),""))</f>
        <v>7</v>
      </c>
      <c r="U168" s="10" t="s">
        <v>33</v>
      </c>
      <c r="V168" s="11">
        <f>IF(OR($C168="",U168=""),"",IFERROR(IF(AND(IFERROR(--LEFT(U168,FIND("-",U168)-1),"")=AW168,IFERROR(--MID(U168,FIND("-",U168)+1,99),"")=AX168),10,5*(SIGN((IFERROR(--LEFT(U168,FIND("-",U168)-1),""))-(IFERROR(--MID(U168,FIND("-",U168)+1,99),"")))=SIGN((AW168)-(AX168)))+2*(((IFERROR(--LEFT(U168,FIND("-",U168)-1),""))-(IFERROR(--MID(U168,FIND("-",U168)+1,99),"")))=((AW168)-(AX168)))+2*((IFERROR(--LEFT(U168,FIND("-",U168)-1),""))=(AW168))+2*((IFERROR(--MID(U168,FIND("-",U168)+1,99),""))=(AX168))),""))</f>
        <v>10</v>
      </c>
      <c r="W168" s="10" t="s">
        <v>36</v>
      </c>
      <c r="X168" s="11">
        <f>IF(OR($C168="",W168=""),"",IFERROR(IF(AND(IFERROR(--LEFT(W168,FIND("-",W168)-1),"")=AW168,IFERROR(--MID(W168,FIND("-",W168)+1,99),"")=AX168),10,5*(SIGN((IFERROR(--LEFT(W168,FIND("-",W168)-1),""))-(IFERROR(--MID(W168,FIND("-",W168)+1,99),"")))=SIGN((AW168)-(AX168)))+2*(((IFERROR(--LEFT(W168,FIND("-",W168)-1),""))-(IFERROR(--MID(W168,FIND("-",W168)+1,99),"")))=((AW168)-(AX168)))+2*((IFERROR(--LEFT(W168,FIND("-",W168)-1),""))=(AW168))+2*((IFERROR(--MID(W168,FIND("-",W168)+1,99),""))=(AX168))),""))</f>
        <v>7</v>
      </c>
      <c r="Y168" s="10" t="s">
        <v>35</v>
      </c>
      <c r="Z168" s="11">
        <f>IF(OR($C168="",Y168=""),"",IFERROR(IF(AND(IFERROR(--LEFT(Y168,FIND("-",Y168)-1),"")=AW168,IFERROR(--MID(Y168,FIND("-",Y168)+1,99),"")=AX168),10,5*(SIGN((IFERROR(--LEFT(Y168,FIND("-",Y168)-1),""))-(IFERROR(--MID(Y168,FIND("-",Y168)+1,99),"")))=SIGN((AW168)-(AX168)))+2*(((IFERROR(--LEFT(Y168,FIND("-",Y168)-1),""))-(IFERROR(--MID(Y168,FIND("-",Y168)+1,99),"")))=((AW168)-(AX168)))+2*((IFERROR(--LEFT(Y168,FIND("-",Y168)-1),""))=(AW168))+2*((IFERROR(--MID(Y168,FIND("-",Y168)+1,99),""))=(AX168))),""))</f>
        <v>2</v>
      </c>
      <c r="AA168" s="10" t="s">
        <v>35</v>
      </c>
      <c r="AB168" s="11">
        <f>IF(OR($C168="",AA168=""),"",IFERROR(IF(AND(IFERROR(--LEFT(AA168,FIND("-",AA168)-1),"")=AW168,IFERROR(--MID(AA168,FIND("-",AA168)+1,99),"")=AX168),10,5*(SIGN((IFERROR(--LEFT(AA168,FIND("-",AA168)-1),""))-(IFERROR(--MID(AA168,FIND("-",AA168)+1,99),"")))=SIGN((AW168)-(AX168)))+2*(((IFERROR(--LEFT(AA168,FIND("-",AA168)-1),""))-(IFERROR(--MID(AA168,FIND("-",AA168)+1,99),"")))=((AW168)-(AX168)))+2*((IFERROR(--LEFT(AA168,FIND("-",AA168)-1),""))=(AW168))+2*((IFERROR(--MID(AA168,FIND("-",AA168)+1,99),""))=(AX168))),""))</f>
        <v>2</v>
      </c>
      <c r="AC168" s="10" t="s">
        <v>49</v>
      </c>
      <c r="AD168" s="11">
        <f>IF(OR($C168="",AC168=""),"",IFERROR(IF(AND(IFERROR(--LEFT(AC168,FIND("-",AC168)-1),"")=AW168,IFERROR(--MID(AC168,FIND("-",AC168)+1,99),"")=AX168),10,5*(SIGN((IFERROR(--LEFT(AC168,FIND("-",AC168)-1),""))-(IFERROR(--MID(AC168,FIND("-",AC168)+1,99),"")))=SIGN((AW168)-(AX168)))+2*(((IFERROR(--LEFT(AC168,FIND("-",AC168)-1),""))-(IFERROR(--MID(AC168,FIND("-",AC168)+1,99),"")))=((AW168)-(AX168)))+2*((IFERROR(--LEFT(AC168,FIND("-",AC168)-1),""))=(AW168))+2*((IFERROR(--MID(AC168,FIND("-",AC168)+1,99),""))=(AX168))),""))</f>
        <v>2</v>
      </c>
      <c r="AE168" s="10" t="s">
        <v>34</v>
      </c>
      <c r="AF168" s="11">
        <f>IF(OR($C168="",AE168=""),"",IFERROR(IF(AND(IFERROR(--LEFT(AE168,FIND("-",AE168)-1),"")=AW168,IFERROR(--MID(AE168,FIND("-",AE168)+1,99),"")=AX168),10,5*(SIGN((IFERROR(--LEFT(AE168,FIND("-",AE168)-1),""))-(IFERROR(--MID(AE168,FIND("-",AE168)+1,99),"")))=SIGN((AW168)-(AX168)))+2*(((IFERROR(--LEFT(AE168,FIND("-",AE168)-1),""))-(IFERROR(--MID(AE168,FIND("-",AE168)+1,99),"")))=((AW168)-(AX168)))+2*((IFERROR(--LEFT(AE168,FIND("-",AE168)-1),""))=(AW168))+2*((IFERROR(--MID(AE168,FIND("-",AE168)+1,99),""))=(AX168))),""))</f>
        <v>7</v>
      </c>
      <c r="AG168" s="10" t="s">
        <v>36</v>
      </c>
      <c r="AH168" s="11">
        <f>IF(OR($C168="",AG168=""),"",IFERROR(IF(AND(IFERROR(--LEFT(AG168,FIND("-",AG168)-1),"")=AW168,IFERROR(--MID(AG168,FIND("-",AG168)+1,99),"")=AX168),10,5*(SIGN((IFERROR(--LEFT(AG168,FIND("-",AG168)-1),""))-(IFERROR(--MID(AG168,FIND("-",AG168)+1,99),"")))=SIGN((AW168)-(AX168)))+2*(((IFERROR(--LEFT(AG168,FIND("-",AG168)-1),""))-(IFERROR(--MID(AG168,FIND("-",AG168)+1,99),"")))=((AW168)-(AX168)))+2*((IFERROR(--LEFT(AG168,FIND("-",AG168)-1),""))=(AW168))+2*((IFERROR(--MID(AG168,FIND("-",AG168)+1,99),""))=(AX168))),""))</f>
        <v>7</v>
      </c>
      <c r="AI168" s="10" t="s">
        <v>33</v>
      </c>
      <c r="AJ168" s="11">
        <f>IF(OR($C168="",AI168=""),"",IFERROR(IF(AND(IFERROR(--LEFT(AI168,FIND("-",AI168)-1),"")=AW168,IFERROR(--MID(AI168,FIND("-",AI168)+1,99),"")=AX168),10,5*(SIGN((IFERROR(--LEFT(AI168,FIND("-",AI168)-1),""))-(IFERROR(--MID(AI168,FIND("-",AI168)+1,99),"")))=SIGN((AW168)-(AX168)))+2*(((IFERROR(--LEFT(AI168,FIND("-",AI168)-1),""))-(IFERROR(--MID(AI168,FIND("-",AI168)+1,99),"")))=((AW168)-(AX168)))+2*((IFERROR(--LEFT(AI168,FIND("-",AI168)-1),""))=(AW168))+2*((IFERROR(--MID(AI168,FIND("-",AI168)+1,99),""))=(AX168))),""))</f>
        <v>10</v>
      </c>
      <c r="AK168" s="10" t="s">
        <v>39</v>
      </c>
      <c r="AL168" s="11">
        <f>IF(OR($C168="",AK168=""),"",IFERROR(IF(AND(IFERROR(--LEFT(AK168,FIND("-",AK168)-1),"")=AW168,IFERROR(--MID(AK168,FIND("-",AK168)+1,99),"")=AX168),10,5*(SIGN((IFERROR(--LEFT(AK168,FIND("-",AK168)-1),""))-(IFERROR(--MID(AK168,FIND("-",AK168)+1,99),"")))=SIGN((AW168)-(AX168)))+2*(((IFERROR(--LEFT(AK168,FIND("-",AK168)-1),""))-(IFERROR(--MID(AK168,FIND("-",AK168)+1,99),"")))=((AW168)-(AX168)))+2*((IFERROR(--LEFT(AK168,FIND("-",AK168)-1),""))=(AW168))+2*((IFERROR(--MID(AK168,FIND("-",AK168)+1,99),""))=(AX168))),""))</f>
        <v>7</v>
      </c>
      <c r="AM168" s="10" t="s">
        <v>36</v>
      </c>
      <c r="AN168" s="11">
        <f>IF(OR($C168="",AM168=""),"",IFERROR(IF(AND(IFERROR(--LEFT(AM168,FIND("-",AM168)-1),"")=AW168,IFERROR(--MID(AM168,FIND("-",AM168)+1,99),"")=AX168),10,5*(SIGN((IFERROR(--LEFT(AM168,FIND("-",AM168)-1),""))-(IFERROR(--MID(AM168,FIND("-",AM168)+1,99),"")))=SIGN((AW168)-(AX168)))+2*(((IFERROR(--LEFT(AM168,FIND("-",AM168)-1),""))-(IFERROR(--MID(AM168,FIND("-",AM168)+1,99),"")))=((AW168)-(AX168)))+2*((IFERROR(--LEFT(AM168,FIND("-",AM168)-1),""))=(AW168))+2*((IFERROR(--MID(AM168,FIND("-",AM168)+1,99),""))=(AX168))),""))</f>
        <v>7</v>
      </c>
      <c r="AO168" s="10" t="s">
        <v>36</v>
      </c>
      <c r="AP168" s="11">
        <f>IF(OR($C168="",AO168=""),"",IFERROR(IF(AND(IFERROR(--LEFT(AO168,FIND("-",AO168)-1),"")=AW168,IFERROR(--MID(AO168,FIND("-",AO168)+1,99),"")=AX168),10,5*(SIGN((IFERROR(--LEFT(AO168,FIND("-",AO168)-1),""))-(IFERROR(--MID(AO168,FIND("-",AO168)+1,99),"")))=SIGN((AW168)-(AX168)))+2*(((IFERROR(--LEFT(AO168,FIND("-",AO168)-1),""))-(IFERROR(--MID(AO168,FIND("-",AO168)+1,99),"")))=((AW168)-(AX168)))+2*((IFERROR(--LEFT(AO168,FIND("-",AO168)-1),""))=(AW168))+2*((IFERROR(--MID(AO168,FIND("-",AO168)+1,99),""))=(AX168))),""))</f>
        <v>7</v>
      </c>
      <c r="AQ168" s="10" t="s">
        <v>49</v>
      </c>
      <c r="AR168" s="11">
        <f>IF(OR($C168="",AQ168=""),"",IFERROR(IF(AND(IFERROR(--LEFT(AQ168,FIND("-",AQ168)-1),"")=AW168,IFERROR(--MID(AQ168,FIND("-",AQ168)+1,99),"")=AX168),10,5*(SIGN((IFERROR(--LEFT(AQ168,FIND("-",AQ168)-1),""))-(IFERROR(--MID(AQ168,FIND("-",AQ168)+1,99),"")))=SIGN((AW168)-(AX168)))+2*(((IFERROR(--LEFT(AQ168,FIND("-",AQ168)-1),""))-(IFERROR(--MID(AQ168,FIND("-",AQ168)+1,99),"")))=((AW168)-(AX168)))+2*((IFERROR(--LEFT(AQ168,FIND("-",AQ168)-1),""))=(AW168))+2*((IFERROR(--MID(AQ168,FIND("-",AQ168)+1,99),""))=(AX168))),""))</f>
        <v>2</v>
      </c>
      <c r="AS168" s="10" t="s">
        <v>33</v>
      </c>
      <c r="AT168" s="11">
        <f>IF(OR($C168="",AS168=""),"",IFERROR(IF(AND(IFERROR(--LEFT(AS168,FIND("-",AS168)-1),"")=AW168,IFERROR(--MID(AS168,FIND("-",AS168)+1,99),"")=AX168),10,5*(SIGN((IFERROR(--LEFT(AS168,FIND("-",AS168)-1),""))-(IFERROR(--MID(AS168,FIND("-",AS168)+1,99),"")))=SIGN((AW168)-(AX168)))+2*(((IFERROR(--LEFT(AS168,FIND("-",AS168)-1),""))-(IFERROR(--MID(AS168,FIND("-",AS168)+1,99),"")))=((AW168)-(AX168)))+2*((IFERROR(--LEFT(AS168,FIND("-",AS168)-1),""))=(AW168))+2*((IFERROR(--MID(AS168,FIND("-",AS168)+1,99),""))=(AX168))),""))</f>
        <v>10</v>
      </c>
      <c r="AU168" s="10" t="s">
        <v>39</v>
      </c>
      <c r="AV168" s="11">
        <f>IF(OR($C168="",AU168=""),"",IFERROR(IF(AND(IFERROR(--LEFT(AU168,FIND("-",AU168)-1),"")=AW168,IFERROR(--MID(AU168,FIND("-",AU168)+1,99),"")=AX168),10,5*(SIGN((IFERROR(--LEFT(AU168,FIND("-",AU168)-1),""))-(IFERROR(--MID(AU168,FIND("-",AU168)+1,99),"")))=SIGN((AW168)-(AX168)))+2*(((IFERROR(--LEFT(AU168,FIND("-",AU168)-1),""))-(IFERROR(--MID(AU168,FIND("-",AU168)+1,99),"")))=((AW168)-(AX168)))+2*((IFERROR(--LEFT(AU168,FIND("-",AU168)-1),""))=(AW168))+2*((IFERROR(--MID(AU168,FIND("-",AU168)+1,99),""))=(AX168))),""))</f>
        <v>7</v>
      </c>
      <c r="AW168" s="11">
        <f>IF($C168="","",IFERROR(--LEFT($C168,FIND("-",$C168)-1),""))</f>
        <v>2</v>
      </c>
      <c r="AX168" s="11">
        <f>IF($C168="","",IFERROR(--MID($C168,FIND("-",$C168)+1,99),""))</f>
        <v>1</v>
      </c>
    </row>
    <row r="169" spans="1:50" ht="18" customHeight="1" x14ac:dyDescent="0.3">
      <c r="A169" s="12"/>
      <c r="B169" s="18"/>
      <c r="C169" s="13"/>
      <c r="D169" s="1"/>
      <c r="E169" s="22"/>
      <c r="F169" s="12"/>
      <c r="G169" s="22"/>
      <c r="H169" s="12"/>
      <c r="I169" s="22"/>
      <c r="J169" s="12"/>
      <c r="K169" s="22"/>
      <c r="L169" s="12"/>
      <c r="M169" s="22"/>
      <c r="N169" s="12"/>
      <c r="O169" s="22"/>
      <c r="P169" s="12"/>
      <c r="Q169" s="22"/>
      <c r="R169" s="12"/>
      <c r="S169" s="22"/>
      <c r="T169" s="12"/>
      <c r="U169" s="13"/>
      <c r="V169" s="12"/>
      <c r="W169" s="22"/>
      <c r="X169" s="12"/>
      <c r="Y169" s="22"/>
      <c r="Z169" s="12"/>
      <c r="AA169" s="22"/>
      <c r="AB169" s="12"/>
      <c r="AC169" s="22"/>
      <c r="AD169" s="12"/>
      <c r="AE169" s="22"/>
      <c r="AF169" s="12"/>
      <c r="AG169" s="22"/>
      <c r="AH169" s="12"/>
      <c r="AI169" s="22"/>
      <c r="AJ169" s="12"/>
      <c r="AK169" s="22"/>
      <c r="AL169" s="12"/>
      <c r="AM169" s="22"/>
      <c r="AN169" s="12"/>
      <c r="AO169" s="22"/>
      <c r="AP169" s="12"/>
      <c r="AQ169" s="22"/>
      <c r="AR169" s="12" t="str">
        <f>IF(OR($C169="",AQ169=""),"",IFERROR(IF(AND(IFERROR(--LEFT(AQ169,FIND("-",AQ169)-1),"")=AW169,IFERROR(--MID(AQ169,FIND("-",AQ169)+1,99),"")=AX169),10,5*(SIGN((IFERROR(--LEFT(AQ169,FIND("-",AQ169)-1),""))-(IFERROR(--MID(AQ169,FIND("-",AQ169)+1,99),"")))=SIGN((AW169)-(AX169)))+2*(((IFERROR(--LEFT(AQ169,FIND("-",AQ169)-1),""))-(IFERROR(--MID(AQ169,FIND("-",AQ169)+1,99),"")))=((AW169)-(AX169)))+2*((IFERROR(--LEFT(AQ169,FIND("-",AQ169)-1),""))=(AW169))+2*((IFERROR(--MID(AQ169,FIND("-",AQ169)+1,99),""))=(AX169))),""))</f>
        <v/>
      </c>
      <c r="AS169" s="22"/>
      <c r="AT169" s="12" t="str">
        <f>IF(OR($C169="",AS169=""),"",IFERROR(IF(AND(IFERROR(--LEFT(AS169,FIND("-",AS169)-1),"")=AW169,IFERROR(--MID(AS169,FIND("-",AS169)+1,99),"")=AX169),10,5*(SIGN((IFERROR(--LEFT(AS169,FIND("-",AS169)-1),""))-(IFERROR(--MID(AS169,FIND("-",AS169)+1,99),"")))=SIGN((AW169)-(AX169)))+2*(((IFERROR(--LEFT(AS169,FIND("-",AS169)-1),""))-(IFERROR(--MID(AS169,FIND("-",AS169)+1,99),"")))=((AW169)-(AX169)))+2*((IFERROR(--LEFT(AS169,FIND("-",AS169)-1),""))=(AW169))+2*((IFERROR(--MID(AS169,FIND("-",AS169)+1,99),""))=(AX169))),""))</f>
        <v/>
      </c>
      <c r="AU169" s="22"/>
      <c r="AV169" s="12"/>
      <c r="AW169" s="12"/>
      <c r="AX169" s="12"/>
    </row>
    <row r="170" spans="1:50" ht="20.100000000000001" customHeight="1" x14ac:dyDescent="0.3">
      <c r="A170" s="36" t="s">
        <v>141</v>
      </c>
      <c r="B170" s="37"/>
      <c r="C170" s="38"/>
      <c r="D170" s="37"/>
      <c r="E170" s="38"/>
      <c r="F170" s="37"/>
      <c r="G170" s="38"/>
      <c r="H170" s="37"/>
      <c r="I170" s="38"/>
      <c r="J170" s="37"/>
      <c r="K170" s="38"/>
      <c r="L170" s="37"/>
      <c r="M170" s="38"/>
      <c r="N170" s="37"/>
      <c r="O170" s="38"/>
      <c r="P170" s="37"/>
      <c r="Q170" s="38"/>
      <c r="R170" s="37"/>
      <c r="S170" s="38"/>
      <c r="T170" s="37"/>
      <c r="U170" s="38"/>
      <c r="V170" s="37"/>
      <c r="W170" s="38"/>
      <c r="X170" s="37"/>
      <c r="Y170" s="38"/>
      <c r="Z170" s="37"/>
      <c r="AA170" s="38"/>
      <c r="AB170" s="37"/>
      <c r="AC170" s="38"/>
      <c r="AD170" s="37"/>
      <c r="AE170" s="38"/>
      <c r="AF170" s="37"/>
      <c r="AG170" s="38"/>
      <c r="AH170" s="37"/>
      <c r="AI170" s="38"/>
      <c r="AJ170" s="37"/>
      <c r="AK170" s="38"/>
      <c r="AL170" s="37"/>
      <c r="AM170" s="38"/>
      <c r="AN170" s="37"/>
      <c r="AO170" s="38"/>
      <c r="AP170" s="37"/>
      <c r="AQ170" s="37"/>
      <c r="AR170" s="37"/>
      <c r="AS170" s="37"/>
      <c r="AT170" s="37"/>
      <c r="AU170" s="38"/>
      <c r="AV170" s="39"/>
      <c r="AW170" s="8"/>
      <c r="AX170" s="8"/>
    </row>
    <row r="171" spans="1:50" ht="18" customHeight="1" x14ac:dyDescent="0.3">
      <c r="A171" s="9">
        <v>1.958333333333333</v>
      </c>
      <c r="B171" s="18" t="s">
        <v>94</v>
      </c>
      <c r="C171" s="10" t="s">
        <v>35</v>
      </c>
      <c r="D171" s="1" t="s">
        <v>101</v>
      </c>
      <c r="E171" s="10" t="s">
        <v>37</v>
      </c>
      <c r="F171" s="11">
        <f>IF(OR($C171="",E171=""),"",IFERROR(IF(AND(IFERROR(--LEFT(E171,FIND("-",E171)-1),"")=AW171,IFERROR(--MID(E171,FIND("-",E171)+1,99),"")=AX171),10,5*(SIGN((IFERROR(--LEFT(E171,FIND("-",E171)-1),""))-(IFERROR(--MID(E171,FIND("-",E171)+1,99),"")))=SIGN((AW171)-(AX171)))+2*(((IFERROR(--LEFT(E171,FIND("-",E171)-1),""))-(IFERROR(--MID(E171,FIND("-",E171)+1,99),"")))=((AW171)-(AX171)))+2*((IFERROR(--LEFT(E171,FIND("-",E171)-1),""))=(AW171))+2*((IFERROR(--MID(E171,FIND("-",E171)+1,99),""))=(AX171))),""))</f>
        <v>2</v>
      </c>
      <c r="G171" s="10" t="s">
        <v>33</v>
      </c>
      <c r="H171" s="11">
        <f>IF(OR($C171="",G171=""),"",IFERROR(IF(AND(IFERROR(--LEFT(G171,FIND("-",G171)-1),"")=AW171,IFERROR(--MID(G171,FIND("-",G171)+1,99),"")=AX171),10,5*(SIGN((IFERROR(--LEFT(G171,FIND("-",G171)-1),""))-(IFERROR(--MID(G171,FIND("-",G171)+1,99),"")))=SIGN((AW171)-(AX171)))+2*(((IFERROR(--LEFT(G171,FIND("-",G171)-1),""))-(IFERROR(--MID(G171,FIND("-",G171)+1,99),"")))=((AW171)-(AX171)))+2*((IFERROR(--LEFT(G171,FIND("-",G171)-1),""))=(AW171))+2*((IFERROR(--MID(G171,FIND("-",G171)+1,99),""))=(AX171))),""))</f>
        <v>2</v>
      </c>
      <c r="I171" s="10" t="s">
        <v>37</v>
      </c>
      <c r="J171" s="11">
        <f>IF(OR($C171="",I171=""),"",IFERROR(IF(AND(IFERROR(--LEFT(I171,FIND("-",I171)-1),"")=AW171,IFERROR(--MID(I171,FIND("-",I171)+1,99),"")=AX171),10,5*(SIGN((IFERROR(--LEFT(I171,FIND("-",I171)-1),""))-(IFERROR(--MID(I171,FIND("-",I171)+1,99),"")))=SIGN((AW171)-(AX171)))+2*(((IFERROR(--LEFT(I171,FIND("-",I171)-1),""))-(IFERROR(--MID(I171,FIND("-",I171)+1,99),"")))=((AW171)-(AX171)))+2*((IFERROR(--LEFT(I171,FIND("-",I171)-1),""))=(AW171))+2*((IFERROR(--MID(I171,FIND("-",I171)+1,99),""))=(AX171))),""))</f>
        <v>2</v>
      </c>
      <c r="K171" s="10" t="s">
        <v>121</v>
      </c>
      <c r="L171" s="11">
        <f>IF(OR($C171="",K171=""),"",IFERROR(IF(AND(IFERROR(--LEFT(K171,FIND("-",K171)-1),"")=AW171,IFERROR(--MID(K171,FIND("-",K171)+1,99),"")=AX171),10,5*(SIGN((IFERROR(--LEFT(K171,FIND("-",K171)-1),""))-(IFERROR(--MID(K171,FIND("-",K171)+1,99),"")))=SIGN((AW171)-(AX171)))+2*(((IFERROR(--LEFT(K171,FIND("-",K171)-1),""))-(IFERROR(--MID(K171,FIND("-",K171)+1,99),"")))=((AW171)-(AX171)))+2*((IFERROR(--LEFT(K171,FIND("-",K171)-1),""))=(AW171))+2*((IFERROR(--MID(K171,FIND("-",K171)+1,99),""))=(AX171))),""))</f>
        <v>0</v>
      </c>
      <c r="M171" s="10" t="s">
        <v>121</v>
      </c>
      <c r="N171" s="11">
        <f>IF(OR($C171="",M171=""),"",IFERROR(IF(AND(IFERROR(--LEFT(M171,FIND("-",M171)-1),"")=AW171,IFERROR(--MID(M171,FIND("-",M171)+1,99),"")=AX171),10,5*(SIGN((IFERROR(--LEFT(M171,FIND("-",M171)-1),""))-(IFERROR(--MID(M171,FIND("-",M171)+1,99),"")))=SIGN((AW171)-(AX171)))+2*(((IFERROR(--LEFT(M171,FIND("-",M171)-1),""))-(IFERROR(--MID(M171,FIND("-",M171)+1,99),"")))=((AW171)-(AX171)))+2*((IFERROR(--LEFT(M171,FIND("-",M171)-1),""))=(AW171))+2*((IFERROR(--MID(M171,FIND("-",M171)+1,99),""))=(AX171))),""))</f>
        <v>0</v>
      </c>
      <c r="O171" s="10" t="s">
        <v>37</v>
      </c>
      <c r="P171" s="11">
        <f>IF(OR($C171="",O171=""),"",IFERROR(IF(AND(IFERROR(--LEFT(O171,FIND("-",O171)-1),"")=AW171,IFERROR(--MID(O171,FIND("-",O171)+1,99),"")=AX171),10,5*(SIGN((IFERROR(--LEFT(O171,FIND("-",O171)-1),""))-(IFERROR(--MID(O171,FIND("-",O171)+1,99),"")))=SIGN((AW171)-(AX171)))+2*(((IFERROR(--LEFT(O171,FIND("-",O171)-1),""))-(IFERROR(--MID(O171,FIND("-",O171)+1,99),"")))=((AW171)-(AX171)))+2*((IFERROR(--LEFT(O171,FIND("-",O171)-1),""))=(AW171))+2*((IFERROR(--MID(O171,FIND("-",O171)+1,99),""))=(AX171))),""))</f>
        <v>2</v>
      </c>
      <c r="Q171" s="10" t="s">
        <v>35</v>
      </c>
      <c r="R171" s="11">
        <f>IF(OR($C171="",Q171=""),"",IFERROR(IF(AND(IFERROR(--LEFT(Q171,FIND("-",Q171)-1),"")=AW171,IFERROR(--MID(Q171,FIND("-",Q171)+1,99),"")=AX171),10,5*(SIGN((IFERROR(--LEFT(Q171,FIND("-",Q171)-1),""))-(IFERROR(--MID(Q171,FIND("-",Q171)+1,99),"")))=SIGN((AW171)-(AX171)))+2*(((IFERROR(--LEFT(Q171,FIND("-",Q171)-1),""))-(IFERROR(--MID(Q171,FIND("-",Q171)+1,99),"")))=((AW171)-(AX171)))+2*((IFERROR(--LEFT(Q171,FIND("-",Q171)-1),""))=(AW171))+2*((IFERROR(--MID(Q171,FIND("-",Q171)+1,99),""))=(AX171))),""))</f>
        <v>10</v>
      </c>
      <c r="S171" s="10" t="s">
        <v>37</v>
      </c>
      <c r="T171" s="11">
        <f>IF(OR($C171="",S171=""),"",IFERROR(IF(AND(IFERROR(--LEFT(S171,FIND("-",S171)-1),"")=AW171,IFERROR(--MID(S171,FIND("-",S171)+1,99),"")=AX171),10,5*(SIGN((IFERROR(--LEFT(S171,FIND("-",S171)-1),""))-(IFERROR(--MID(S171,FIND("-",S171)+1,99),"")))=SIGN((AW171)-(AX171)))+2*(((IFERROR(--LEFT(S171,FIND("-",S171)-1),""))-(IFERROR(--MID(S171,FIND("-",S171)+1,99),"")))=((AW171)-(AX171)))+2*((IFERROR(--LEFT(S171,FIND("-",S171)-1),""))=(AW171))+2*((IFERROR(--MID(S171,FIND("-",S171)+1,99),""))=(AX171))),""))</f>
        <v>2</v>
      </c>
      <c r="U171" s="10" t="s">
        <v>33</v>
      </c>
      <c r="V171" s="11">
        <f>IF(OR($C171="",U171=""),"",IFERROR(IF(AND(IFERROR(--LEFT(U171,FIND("-",U171)-1),"")=AW171,IFERROR(--MID(U171,FIND("-",U171)+1,99),"")=AX171),10,5*(SIGN((IFERROR(--LEFT(U171,FIND("-",U171)-1),""))-(IFERROR(--MID(U171,FIND("-",U171)+1,99),"")))=SIGN((AW171)-(AX171)))+2*(((IFERROR(--LEFT(U171,FIND("-",U171)-1),""))-(IFERROR(--MID(U171,FIND("-",U171)+1,99),"")))=((AW171)-(AX171)))+2*((IFERROR(--LEFT(U171,FIND("-",U171)-1),""))=(AW171))+2*((IFERROR(--MID(U171,FIND("-",U171)+1,99),""))=(AX171))),""))</f>
        <v>2</v>
      </c>
      <c r="W171" s="10" t="s">
        <v>37</v>
      </c>
      <c r="X171" s="11">
        <f>IF(OR($C171="",W171=""),"",IFERROR(IF(AND(IFERROR(--LEFT(W171,FIND("-",W171)-1),"")=AW171,IFERROR(--MID(W171,FIND("-",W171)+1,99),"")=AX171),10,5*(SIGN((IFERROR(--LEFT(W171,FIND("-",W171)-1),""))-(IFERROR(--MID(W171,FIND("-",W171)+1,99),"")))=SIGN((AW171)-(AX171)))+2*(((IFERROR(--LEFT(W171,FIND("-",W171)-1),""))-(IFERROR(--MID(W171,FIND("-",W171)+1,99),"")))=((AW171)-(AX171)))+2*((IFERROR(--LEFT(W171,FIND("-",W171)-1),""))=(AW171))+2*((IFERROR(--MID(W171,FIND("-",W171)+1,99),""))=(AX171))),""))</f>
        <v>2</v>
      </c>
      <c r="Y171" s="10" t="s">
        <v>37</v>
      </c>
      <c r="Z171" s="11">
        <f>IF(OR($C171="",Y171=""),"",IFERROR(IF(AND(IFERROR(--LEFT(Y171,FIND("-",Y171)-1),"")=AW171,IFERROR(--MID(Y171,FIND("-",Y171)+1,99),"")=AX171),10,5*(SIGN((IFERROR(--LEFT(Y171,FIND("-",Y171)-1),""))-(IFERROR(--MID(Y171,FIND("-",Y171)+1,99),"")))=SIGN((AW171)-(AX171)))+2*(((IFERROR(--LEFT(Y171,FIND("-",Y171)-1),""))-(IFERROR(--MID(Y171,FIND("-",Y171)+1,99),"")))=((AW171)-(AX171)))+2*((IFERROR(--LEFT(Y171,FIND("-",Y171)-1),""))=(AW171))+2*((IFERROR(--MID(Y171,FIND("-",Y171)+1,99),""))=(AX171))),""))</f>
        <v>2</v>
      </c>
      <c r="AA171" s="10" t="s">
        <v>33</v>
      </c>
      <c r="AB171" s="11">
        <f>IF(OR($C171="",AA171=""),"",IFERROR(IF(AND(IFERROR(--LEFT(AA171,FIND("-",AA171)-1),"")=AW171,IFERROR(--MID(AA171,FIND("-",AA171)+1,99),"")=AX171),10,5*(SIGN((IFERROR(--LEFT(AA171,FIND("-",AA171)-1),""))-(IFERROR(--MID(AA171,FIND("-",AA171)+1,99),"")))=SIGN((AW171)-(AX171)))+2*(((IFERROR(--LEFT(AA171,FIND("-",AA171)-1),""))-(IFERROR(--MID(AA171,FIND("-",AA171)+1,99),"")))=((AW171)-(AX171)))+2*((IFERROR(--LEFT(AA171,FIND("-",AA171)-1),""))=(AW171))+2*((IFERROR(--MID(AA171,FIND("-",AA171)+1,99),""))=(AX171))),""))</f>
        <v>2</v>
      </c>
      <c r="AC171" s="10" t="s">
        <v>33</v>
      </c>
      <c r="AD171" s="11">
        <f>IF(OR($C171="",AC171=""),"",IFERROR(IF(AND(IFERROR(--LEFT(AC171,FIND("-",AC171)-1),"")=AW171,IFERROR(--MID(AC171,FIND("-",AC171)+1,99),"")=AX171),10,5*(SIGN((IFERROR(--LEFT(AC171,FIND("-",AC171)-1),""))-(IFERROR(--MID(AC171,FIND("-",AC171)+1,99),"")))=SIGN((AW171)-(AX171)))+2*(((IFERROR(--LEFT(AC171,FIND("-",AC171)-1),""))-(IFERROR(--MID(AC171,FIND("-",AC171)+1,99),"")))=((AW171)-(AX171)))+2*((IFERROR(--LEFT(AC171,FIND("-",AC171)-1),""))=(AW171))+2*((IFERROR(--MID(AC171,FIND("-",AC171)+1,99),""))=(AX171))),""))</f>
        <v>2</v>
      </c>
      <c r="AE171" s="10" t="s">
        <v>35</v>
      </c>
      <c r="AF171" s="11">
        <f>IF(OR($C171="",AE171=""),"",IFERROR(IF(AND(IFERROR(--LEFT(AE171,FIND("-",AE171)-1),"")=AW171,IFERROR(--MID(AE171,FIND("-",AE171)+1,99),"")=AX171),10,5*(SIGN((IFERROR(--LEFT(AE171,FIND("-",AE171)-1),""))-(IFERROR(--MID(AE171,FIND("-",AE171)+1,99),"")))=SIGN((AW171)-(AX171)))+2*(((IFERROR(--LEFT(AE171,FIND("-",AE171)-1),""))-(IFERROR(--MID(AE171,FIND("-",AE171)+1,99),"")))=((AW171)-(AX171)))+2*((IFERROR(--LEFT(AE171,FIND("-",AE171)-1),""))=(AW171))+2*((IFERROR(--MID(AE171,FIND("-",AE171)+1,99),""))=(AX171))),""))</f>
        <v>10</v>
      </c>
      <c r="AG171" s="10" t="s">
        <v>45</v>
      </c>
      <c r="AH171" s="11">
        <f>IF(OR($C171="",AG171=""),"",IFERROR(IF(AND(IFERROR(--LEFT(AG171,FIND("-",AG171)-1),"")=AW171,IFERROR(--MID(AG171,FIND("-",AG171)+1,99),"")=AX171),10,5*(SIGN((IFERROR(--LEFT(AG171,FIND("-",AG171)-1),""))-(IFERROR(--MID(AG171,FIND("-",AG171)+1,99),"")))=SIGN((AW171)-(AX171)))+2*(((IFERROR(--LEFT(AG171,FIND("-",AG171)-1),""))-(IFERROR(--MID(AG171,FIND("-",AG171)+1,99),"")))=((AW171)-(AX171)))+2*((IFERROR(--LEFT(AG171,FIND("-",AG171)-1),""))=(AW171))+2*((IFERROR(--MID(AG171,FIND("-",AG171)+1,99),""))=(AX171))),""))</f>
        <v>2</v>
      </c>
      <c r="AI171" s="10" t="s">
        <v>35</v>
      </c>
      <c r="AJ171" s="11">
        <f>IF(OR($C171="",AI171=""),"",IFERROR(IF(AND(IFERROR(--LEFT(AI171,FIND("-",AI171)-1),"")=AW171,IFERROR(--MID(AI171,FIND("-",AI171)+1,99),"")=AX171),10,5*(SIGN((IFERROR(--LEFT(AI171,FIND("-",AI171)-1),""))-(IFERROR(--MID(AI171,FIND("-",AI171)+1,99),"")))=SIGN((AW171)-(AX171)))+2*(((IFERROR(--LEFT(AI171,FIND("-",AI171)-1),""))-(IFERROR(--MID(AI171,FIND("-",AI171)+1,99),"")))=((AW171)-(AX171)))+2*((IFERROR(--LEFT(AI171,FIND("-",AI171)-1),""))=(AW171))+2*((IFERROR(--MID(AI171,FIND("-",AI171)+1,99),""))=(AX171))),""))</f>
        <v>10</v>
      </c>
      <c r="AK171" s="10" t="s">
        <v>35</v>
      </c>
      <c r="AL171" s="11">
        <f>IF(OR($C171="",AK171=""),"",IFERROR(IF(AND(IFERROR(--LEFT(AK171,FIND("-",AK171)-1),"")=AW171,IFERROR(--MID(AK171,FIND("-",AK171)+1,99),"")=AX171),10,5*(SIGN((IFERROR(--LEFT(AK171,FIND("-",AK171)-1),""))-(IFERROR(--MID(AK171,FIND("-",AK171)+1,99),"")))=SIGN((AW171)-(AX171)))+2*(((IFERROR(--LEFT(AK171,FIND("-",AK171)-1),""))-(IFERROR(--MID(AK171,FIND("-",AK171)+1,99),"")))=((AW171)-(AX171)))+2*((IFERROR(--LEFT(AK171,FIND("-",AK171)-1),""))=(AW171))+2*((IFERROR(--MID(AK171,FIND("-",AK171)+1,99),""))=(AX171))),""))</f>
        <v>10</v>
      </c>
      <c r="AM171" s="10" t="s">
        <v>49</v>
      </c>
      <c r="AN171" s="11">
        <f>IF(OR($C171="",AM171=""),"",IFERROR(IF(AND(IFERROR(--LEFT(AM171,FIND("-",AM171)-1),"")=AW171,IFERROR(--MID(AM171,FIND("-",AM171)+1,99),"")=AX171),10,5*(SIGN((IFERROR(--LEFT(AM171,FIND("-",AM171)-1),""))-(IFERROR(--MID(AM171,FIND("-",AM171)+1,99),"")))=SIGN((AW171)-(AX171)))+2*(((IFERROR(--LEFT(AM171,FIND("-",AM171)-1),""))-(IFERROR(--MID(AM171,FIND("-",AM171)+1,99),"")))=((AW171)-(AX171)))+2*((IFERROR(--LEFT(AM171,FIND("-",AM171)-1),""))=(AW171))+2*((IFERROR(--MID(AM171,FIND("-",AM171)+1,99),""))=(AX171))),""))</f>
        <v>7</v>
      </c>
      <c r="AO171" s="10" t="s">
        <v>35</v>
      </c>
      <c r="AP171" s="11">
        <f>IF(OR($C171="",AO171=""),"",IFERROR(IF(AND(IFERROR(--LEFT(AO171,FIND("-",AO171)-1),"")=AW171,IFERROR(--MID(AO171,FIND("-",AO171)+1,99),"")=AX171),10,5*(SIGN((IFERROR(--LEFT(AO171,FIND("-",AO171)-1),""))-(IFERROR(--MID(AO171,FIND("-",AO171)+1,99),"")))=SIGN((AW171)-(AX171)))+2*(((IFERROR(--LEFT(AO171,FIND("-",AO171)-1),""))-(IFERROR(--MID(AO171,FIND("-",AO171)+1,99),"")))=((AW171)-(AX171)))+2*((IFERROR(--LEFT(AO171,FIND("-",AO171)-1),""))=(AW171))+2*((IFERROR(--MID(AO171,FIND("-",AO171)+1,99),""))=(AX171))),""))</f>
        <v>10</v>
      </c>
      <c r="AQ171" s="10" t="s">
        <v>37</v>
      </c>
      <c r="AR171" s="11">
        <f>IF(OR($C171="",AQ171=""),"",IFERROR(IF(AND(IFERROR(--LEFT(AQ171,FIND("-",AQ171)-1),"")=AW171,IFERROR(--MID(AQ171,FIND("-",AQ171)+1,99),"")=AX171),10,5*(SIGN((IFERROR(--LEFT(AQ171,FIND("-",AQ171)-1),""))-(IFERROR(--MID(AQ171,FIND("-",AQ171)+1,99),"")))=SIGN((AW171)-(AX171)))+2*(((IFERROR(--LEFT(AQ171,FIND("-",AQ171)-1),""))-(IFERROR(--MID(AQ171,FIND("-",AQ171)+1,99),"")))=((AW171)-(AX171)))+2*((IFERROR(--LEFT(AQ171,FIND("-",AQ171)-1),""))=(AW171))+2*((IFERROR(--MID(AQ171,FIND("-",AQ171)+1,99),""))=(AX171))),""))</f>
        <v>2</v>
      </c>
      <c r="AS171" s="10" t="s">
        <v>37</v>
      </c>
      <c r="AT171" s="11">
        <f>IF(OR($C171="",AS171=""),"",IFERROR(IF(AND(IFERROR(--LEFT(AS171,FIND("-",AS171)-1),"")=AW171,IFERROR(--MID(AS171,FIND("-",AS171)+1,99),"")=AX171),10,5*(SIGN((IFERROR(--LEFT(AS171,FIND("-",AS171)-1),""))-(IFERROR(--MID(AS171,FIND("-",AS171)+1,99),"")))=SIGN((AW171)-(AX171)))+2*(((IFERROR(--LEFT(AS171,FIND("-",AS171)-1),""))-(IFERROR(--MID(AS171,FIND("-",AS171)+1,99),"")))=((AW171)-(AX171)))+2*((IFERROR(--LEFT(AS171,FIND("-",AS171)-1),""))=(AW171))+2*((IFERROR(--MID(AS171,FIND("-",AS171)+1,99),""))=(AX171))),""))</f>
        <v>2</v>
      </c>
      <c r="AU171" s="10" t="s">
        <v>39</v>
      </c>
      <c r="AV171" s="11">
        <f>IF(OR($C171="",AU171=""),"",IFERROR(IF(AND(IFERROR(--LEFT(AU171,FIND("-",AU171)-1),"")=AW171,IFERROR(--MID(AU171,FIND("-",AU171)+1,99),"")=AX171),10,5*(SIGN((IFERROR(--LEFT(AU171,FIND("-",AU171)-1),""))-(IFERROR(--MID(AU171,FIND("-",AU171)+1,99),"")))=SIGN((AW171)-(AX171)))+2*(((IFERROR(--LEFT(AU171,FIND("-",AU171)-1),""))-(IFERROR(--MID(AU171,FIND("-",AU171)+1,99),"")))=((AW171)-(AX171)))+2*((IFERROR(--LEFT(AU171,FIND("-",AU171)-1),""))=(AW171))+2*((IFERROR(--MID(AU171,FIND("-",AU171)+1,99),""))=(AX171))),""))</f>
        <v>2</v>
      </c>
      <c r="AW171" s="11">
        <f>IF($C171="","",IFERROR(--LEFT($C171,FIND("-",$C171)-1),""))</f>
        <v>1</v>
      </c>
      <c r="AX171" s="11">
        <f>IF($C171="","",IFERROR(--MID($C171,FIND("-",$C171)+1,99),""))</f>
        <v>1</v>
      </c>
    </row>
    <row r="172" spans="1:50" ht="18" customHeight="1" x14ac:dyDescent="0.3">
      <c r="A172" s="12"/>
      <c r="B172" s="18"/>
      <c r="C172" s="13"/>
      <c r="D172" s="1"/>
      <c r="E172" s="22"/>
      <c r="F172" s="12"/>
      <c r="G172" s="22"/>
      <c r="H172" s="12"/>
      <c r="I172" s="22"/>
      <c r="J172" s="12"/>
      <c r="K172" s="22"/>
      <c r="L172" s="12"/>
      <c r="M172" s="22"/>
      <c r="N172" s="12"/>
      <c r="O172" s="22"/>
      <c r="P172" s="12"/>
      <c r="Q172" s="22"/>
      <c r="R172" s="12"/>
      <c r="S172" s="22"/>
      <c r="T172" s="12"/>
      <c r="U172" s="13"/>
      <c r="V172" s="12"/>
      <c r="W172" s="22"/>
      <c r="X172" s="12"/>
      <c r="Y172" s="22"/>
      <c r="Z172" s="12"/>
      <c r="AA172" s="22"/>
      <c r="AB172" s="12"/>
      <c r="AC172" s="22"/>
      <c r="AD172" s="12"/>
      <c r="AE172" s="22"/>
      <c r="AF172" s="12"/>
      <c r="AG172" s="22"/>
      <c r="AH172" s="12"/>
      <c r="AI172" s="22"/>
      <c r="AJ172" s="12"/>
      <c r="AK172" s="22"/>
      <c r="AL172" s="12"/>
      <c r="AM172" s="22"/>
      <c r="AN172" s="12"/>
      <c r="AO172" s="22"/>
      <c r="AP172" s="12"/>
      <c r="AQ172" s="22"/>
      <c r="AR172" s="12" t="str">
        <f>IF(OR($C172="",AQ172=""),"",IFERROR(IF(AND(IFERROR(--LEFT(AQ172,FIND("-",AQ172)-1),"")=AW172,IFERROR(--MID(AQ172,FIND("-",AQ172)+1,99),"")=AX172),10,5*(SIGN((IFERROR(--LEFT(AQ172,FIND("-",AQ172)-1),""))-(IFERROR(--MID(AQ172,FIND("-",AQ172)+1,99),"")))=SIGN((AW172)-(AX172)))+2*(((IFERROR(--LEFT(AQ172,FIND("-",AQ172)-1),""))-(IFERROR(--MID(AQ172,FIND("-",AQ172)+1,99),"")))=((AW172)-(AX172)))+2*((IFERROR(--LEFT(AQ172,FIND("-",AQ172)-1),""))=(AW172))+2*((IFERROR(--MID(AQ172,FIND("-",AQ172)+1,99),""))=(AX172))),""))</f>
        <v/>
      </c>
      <c r="AS172" s="22"/>
      <c r="AT172" s="12" t="str">
        <f>IF(OR($C172="",AS172=""),"",IFERROR(IF(AND(IFERROR(--LEFT(AS172,FIND("-",AS172)-1),"")=AW172,IFERROR(--MID(AS172,FIND("-",AS172)+1,99),"")=AX172),10,5*(SIGN((IFERROR(--LEFT(AS172,FIND("-",AS172)-1),""))-(IFERROR(--MID(AS172,FIND("-",AS172)+1,99),"")))=SIGN((AW172)-(AX172)))+2*(((IFERROR(--LEFT(AS172,FIND("-",AS172)-1),""))-(IFERROR(--MID(AS172,FIND("-",AS172)+1,99),"")))=((AW172)-(AX172)))+2*((IFERROR(--LEFT(AS172,FIND("-",AS172)-1),""))=(AW172))+2*((IFERROR(--MID(AS172,FIND("-",AS172)+1,99),""))=(AX172))),""))</f>
        <v/>
      </c>
      <c r="AU172" s="22"/>
      <c r="AV172" s="12"/>
      <c r="AW172" s="12"/>
      <c r="AX172" s="12"/>
    </row>
    <row r="173" spans="1:50" ht="20.100000000000001" customHeight="1" x14ac:dyDescent="0.3">
      <c r="A173" s="36" t="s">
        <v>142</v>
      </c>
      <c r="B173" s="37"/>
      <c r="C173" s="38"/>
      <c r="D173" s="37"/>
      <c r="E173" s="38"/>
      <c r="F173" s="37"/>
      <c r="G173" s="38"/>
      <c r="H173" s="37"/>
      <c r="I173" s="38"/>
      <c r="J173" s="37"/>
      <c r="K173" s="38"/>
      <c r="L173" s="37"/>
      <c r="M173" s="38"/>
      <c r="N173" s="37"/>
      <c r="O173" s="38"/>
      <c r="P173" s="37"/>
      <c r="Q173" s="38"/>
      <c r="R173" s="37"/>
      <c r="S173" s="38"/>
      <c r="T173" s="37"/>
      <c r="U173" s="38"/>
      <c r="V173" s="37"/>
      <c r="W173" s="38"/>
      <c r="X173" s="37"/>
      <c r="Y173" s="38"/>
      <c r="Z173" s="37"/>
      <c r="AA173" s="38"/>
      <c r="AB173" s="37"/>
      <c r="AC173" s="38"/>
      <c r="AD173" s="37"/>
      <c r="AE173" s="38"/>
      <c r="AF173" s="37"/>
      <c r="AG173" s="38"/>
      <c r="AH173" s="37"/>
      <c r="AI173" s="38"/>
      <c r="AJ173" s="37"/>
      <c r="AK173" s="38"/>
      <c r="AL173" s="37"/>
      <c r="AM173" s="38"/>
      <c r="AN173" s="37"/>
      <c r="AO173" s="38"/>
      <c r="AP173" s="37"/>
      <c r="AQ173" s="37"/>
      <c r="AR173" s="37"/>
      <c r="AS173" s="37"/>
      <c r="AT173" s="37"/>
      <c r="AU173" s="38"/>
      <c r="AV173" s="39"/>
      <c r="AW173" s="8"/>
      <c r="AX173" s="8"/>
    </row>
    <row r="174" spans="1:50" ht="18" customHeight="1" x14ac:dyDescent="0.3">
      <c r="A174" s="9">
        <v>1.125</v>
      </c>
      <c r="B174" s="18" t="s">
        <v>95</v>
      </c>
      <c r="C174" s="10" t="s">
        <v>35</v>
      </c>
      <c r="D174" s="1" t="s">
        <v>55</v>
      </c>
      <c r="E174" s="10" t="s">
        <v>35</v>
      </c>
      <c r="F174" s="11">
        <f>IF(OR($C174="",E174=""),"",IFERROR(IF(AND(IFERROR(--LEFT(E174,FIND("-",E174)-1),"")=AW174,IFERROR(--MID(E174,FIND("-",E174)+1,99),"")=AX174),10,5*(SIGN((IFERROR(--LEFT(E174,FIND("-",E174)-1),""))-(IFERROR(--MID(E174,FIND("-",E174)+1,99),"")))=SIGN((AW174)-(AX174)))+2*(((IFERROR(--LEFT(E174,FIND("-",E174)-1),""))-(IFERROR(--MID(E174,FIND("-",E174)+1,99),"")))=((AW174)-(AX174)))+2*((IFERROR(--LEFT(E174,FIND("-",E174)-1),""))=(AW174))+2*((IFERROR(--MID(E174,FIND("-",E174)+1,99),""))=(AX174))),""))</f>
        <v>10</v>
      </c>
      <c r="G174" s="10" t="s">
        <v>33</v>
      </c>
      <c r="H174" s="11">
        <f>IF(OR($C174="",G174=""),"",IFERROR(IF(AND(IFERROR(--LEFT(G174,FIND("-",G174)-1),"")=AW174,IFERROR(--MID(G174,FIND("-",G174)+1,99),"")=AX174),10,5*(SIGN((IFERROR(--LEFT(G174,FIND("-",G174)-1),""))-(IFERROR(--MID(G174,FIND("-",G174)+1,99),"")))=SIGN((AW174)-(AX174)))+2*(((IFERROR(--LEFT(G174,FIND("-",G174)-1),""))-(IFERROR(--MID(G174,FIND("-",G174)+1,99),"")))=((AW174)-(AX174)))+2*((IFERROR(--LEFT(G174,FIND("-",G174)-1),""))=(AW174))+2*((IFERROR(--MID(G174,FIND("-",G174)+1,99),""))=(AX174))),""))</f>
        <v>2</v>
      </c>
      <c r="I174" s="10" t="s">
        <v>39</v>
      </c>
      <c r="J174" s="11">
        <f>IF(OR($C174="",I174=""),"",IFERROR(IF(AND(IFERROR(--LEFT(I174,FIND("-",I174)-1),"")=AW174,IFERROR(--MID(I174,FIND("-",I174)+1,99),"")=AX174),10,5*(SIGN((IFERROR(--LEFT(I174,FIND("-",I174)-1),""))-(IFERROR(--MID(I174,FIND("-",I174)+1,99),"")))=SIGN((AW174)-(AX174)))+2*(((IFERROR(--LEFT(I174,FIND("-",I174)-1),""))-(IFERROR(--MID(I174,FIND("-",I174)+1,99),"")))=((AW174)-(AX174)))+2*((IFERROR(--LEFT(I174,FIND("-",I174)-1),""))=(AW174))+2*((IFERROR(--MID(I174,FIND("-",I174)+1,99),""))=(AX174))),""))</f>
        <v>2</v>
      </c>
      <c r="K174" s="10" t="s">
        <v>38</v>
      </c>
      <c r="L174" s="11">
        <f>IF(OR($C174="",K174=""),"",IFERROR(IF(AND(IFERROR(--LEFT(K174,FIND("-",K174)-1),"")=AW174,IFERROR(--MID(K174,FIND("-",K174)+1,99),"")=AX174),10,5*(SIGN((IFERROR(--LEFT(K174,FIND("-",K174)-1),""))-(IFERROR(--MID(K174,FIND("-",K174)+1,99),"")))=SIGN((AW174)-(AX174)))+2*(((IFERROR(--LEFT(K174,FIND("-",K174)-1),""))-(IFERROR(--MID(K174,FIND("-",K174)+1,99),"")))=((AW174)-(AX174)))+2*((IFERROR(--LEFT(K174,FIND("-",K174)-1),""))=(AW174))+2*((IFERROR(--MID(K174,FIND("-",K174)+1,99),""))=(AX174))),""))</f>
        <v>0</v>
      </c>
      <c r="M174" s="10" t="s">
        <v>49</v>
      </c>
      <c r="N174" s="11">
        <f>IF(OR($C174="",M174=""),"",IFERROR(IF(AND(IFERROR(--LEFT(M174,FIND("-",M174)-1),"")=AW174,IFERROR(--MID(M174,FIND("-",M174)+1,99),"")=AX174),10,5*(SIGN((IFERROR(--LEFT(M174,FIND("-",M174)-1),""))-(IFERROR(--MID(M174,FIND("-",M174)+1,99),"")))=SIGN((AW174)-(AX174)))+2*(((IFERROR(--LEFT(M174,FIND("-",M174)-1),""))-(IFERROR(--MID(M174,FIND("-",M174)+1,99),"")))=((AW174)-(AX174)))+2*((IFERROR(--LEFT(M174,FIND("-",M174)-1),""))=(AW174))+2*((IFERROR(--MID(M174,FIND("-",M174)+1,99),""))=(AX174))),""))</f>
        <v>7</v>
      </c>
      <c r="O174" s="10" t="s">
        <v>36</v>
      </c>
      <c r="P174" s="11">
        <f>IF(OR($C174="",O174=""),"",IFERROR(IF(AND(IFERROR(--LEFT(O174,FIND("-",O174)-1),"")=AW174,IFERROR(--MID(O174,FIND("-",O174)+1,99),"")=AX174),10,5*(SIGN((IFERROR(--LEFT(O174,FIND("-",O174)-1),""))-(IFERROR(--MID(O174,FIND("-",O174)+1,99),"")))=SIGN((AW174)-(AX174)))+2*(((IFERROR(--LEFT(O174,FIND("-",O174)-1),""))-(IFERROR(--MID(O174,FIND("-",O174)+1,99),"")))=((AW174)-(AX174)))+2*((IFERROR(--LEFT(O174,FIND("-",O174)-1),""))=(AW174))+2*((IFERROR(--MID(O174,FIND("-",O174)+1,99),""))=(AX174))),""))</f>
        <v>0</v>
      </c>
      <c r="Q174" s="10" t="s">
        <v>37</v>
      </c>
      <c r="R174" s="11">
        <f>IF(OR($C174="",Q174=""),"",IFERROR(IF(AND(IFERROR(--LEFT(Q174,FIND("-",Q174)-1),"")=AW174,IFERROR(--MID(Q174,FIND("-",Q174)+1,99),"")=AX174),10,5*(SIGN((IFERROR(--LEFT(Q174,FIND("-",Q174)-1),""))-(IFERROR(--MID(Q174,FIND("-",Q174)+1,99),"")))=SIGN((AW174)-(AX174)))+2*(((IFERROR(--LEFT(Q174,FIND("-",Q174)-1),""))-(IFERROR(--MID(Q174,FIND("-",Q174)+1,99),"")))=((AW174)-(AX174)))+2*((IFERROR(--LEFT(Q174,FIND("-",Q174)-1),""))=(AW174))+2*((IFERROR(--MID(Q174,FIND("-",Q174)+1,99),""))=(AX174))),""))</f>
        <v>2</v>
      </c>
      <c r="S174" s="10" t="s">
        <v>36</v>
      </c>
      <c r="T174" s="11">
        <f>IF(OR($C174="",S174=""),"",IFERROR(IF(AND(IFERROR(--LEFT(S174,FIND("-",S174)-1),"")=AW174,IFERROR(--MID(S174,FIND("-",S174)+1,99),"")=AX174),10,5*(SIGN((IFERROR(--LEFT(S174,FIND("-",S174)-1),""))-(IFERROR(--MID(S174,FIND("-",S174)+1,99),"")))=SIGN((AW174)-(AX174)))+2*(((IFERROR(--LEFT(S174,FIND("-",S174)-1),""))-(IFERROR(--MID(S174,FIND("-",S174)+1,99),"")))=((AW174)-(AX174)))+2*((IFERROR(--LEFT(S174,FIND("-",S174)-1),""))=(AW174))+2*((IFERROR(--MID(S174,FIND("-",S174)+1,99),""))=(AX174))),""))</f>
        <v>0</v>
      </c>
      <c r="U174" s="10" t="s">
        <v>33</v>
      </c>
      <c r="V174" s="11">
        <f>IF(OR($C174="",U174=""),"",IFERROR(IF(AND(IFERROR(--LEFT(U174,FIND("-",U174)-1),"")=AW174,IFERROR(--MID(U174,FIND("-",U174)+1,99),"")=AX174),10,5*(SIGN((IFERROR(--LEFT(U174,FIND("-",U174)-1),""))-(IFERROR(--MID(U174,FIND("-",U174)+1,99),"")))=SIGN((AW174)-(AX174)))+2*(((IFERROR(--LEFT(U174,FIND("-",U174)-1),""))-(IFERROR(--MID(U174,FIND("-",U174)+1,99),"")))=((AW174)-(AX174)))+2*((IFERROR(--LEFT(U174,FIND("-",U174)-1),""))=(AW174))+2*((IFERROR(--MID(U174,FIND("-",U174)+1,99),""))=(AX174))),""))</f>
        <v>2</v>
      </c>
      <c r="W174" s="10" t="s">
        <v>33</v>
      </c>
      <c r="X174" s="11">
        <f>IF(OR($C174="",W174=""),"",IFERROR(IF(AND(IFERROR(--LEFT(W174,FIND("-",W174)-1),"")=AW174,IFERROR(--MID(W174,FIND("-",W174)+1,99),"")=AX174),10,5*(SIGN((IFERROR(--LEFT(W174,FIND("-",W174)-1),""))-(IFERROR(--MID(W174,FIND("-",W174)+1,99),"")))=SIGN((AW174)-(AX174)))+2*(((IFERROR(--LEFT(W174,FIND("-",W174)-1),""))-(IFERROR(--MID(W174,FIND("-",W174)+1,99),"")))=((AW174)-(AX174)))+2*((IFERROR(--LEFT(W174,FIND("-",W174)-1),""))=(AW174))+2*((IFERROR(--MID(W174,FIND("-",W174)+1,99),""))=(AX174))),""))</f>
        <v>2</v>
      </c>
      <c r="Y174" s="10" t="s">
        <v>33</v>
      </c>
      <c r="Z174" s="11">
        <f>IF(OR($C174="",Y174=""),"",IFERROR(IF(AND(IFERROR(--LEFT(Y174,FIND("-",Y174)-1),"")=AW174,IFERROR(--MID(Y174,FIND("-",Y174)+1,99),"")=AX174),10,5*(SIGN((IFERROR(--LEFT(Y174,FIND("-",Y174)-1),""))-(IFERROR(--MID(Y174,FIND("-",Y174)+1,99),"")))=SIGN((AW174)-(AX174)))+2*(((IFERROR(--LEFT(Y174,FIND("-",Y174)-1),""))-(IFERROR(--MID(Y174,FIND("-",Y174)+1,99),"")))=((AW174)-(AX174)))+2*((IFERROR(--LEFT(Y174,FIND("-",Y174)-1),""))=(AW174))+2*((IFERROR(--MID(Y174,FIND("-",Y174)+1,99),""))=(AX174))),""))</f>
        <v>2</v>
      </c>
      <c r="AA174" s="10" t="s">
        <v>36</v>
      </c>
      <c r="AB174" s="11">
        <f>IF(OR($C174="",AA174=""),"",IFERROR(IF(AND(IFERROR(--LEFT(AA174,FIND("-",AA174)-1),"")=AW174,IFERROR(--MID(AA174,FIND("-",AA174)+1,99),"")=AX174),10,5*(SIGN((IFERROR(--LEFT(AA174,FIND("-",AA174)-1),""))-(IFERROR(--MID(AA174,FIND("-",AA174)+1,99),"")))=SIGN((AW174)-(AX174)))+2*(((IFERROR(--LEFT(AA174,FIND("-",AA174)-1),""))-(IFERROR(--MID(AA174,FIND("-",AA174)+1,99),"")))=((AW174)-(AX174)))+2*((IFERROR(--LEFT(AA174,FIND("-",AA174)-1),""))=(AW174))+2*((IFERROR(--MID(AA174,FIND("-",AA174)+1,99),""))=(AX174))),""))</f>
        <v>0</v>
      </c>
      <c r="AC174" s="10" t="s">
        <v>34</v>
      </c>
      <c r="AD174" s="11">
        <f>IF(OR($C174="",AC174=""),"",IFERROR(IF(AND(IFERROR(--LEFT(AC174,FIND("-",AC174)-1),"")=AW174,IFERROR(--MID(AC174,FIND("-",AC174)+1,99),"")=AX174),10,5*(SIGN((IFERROR(--LEFT(AC174,FIND("-",AC174)-1),""))-(IFERROR(--MID(AC174,FIND("-",AC174)+1,99),"")))=SIGN((AW174)-(AX174)))+2*(((IFERROR(--LEFT(AC174,FIND("-",AC174)-1),""))-(IFERROR(--MID(AC174,FIND("-",AC174)+1,99),"")))=((AW174)-(AX174)))+2*((IFERROR(--LEFT(AC174,FIND("-",AC174)-1),""))=(AW174))+2*((IFERROR(--MID(AC174,FIND("-",AC174)+1,99),""))=(AX174))),""))</f>
        <v>2</v>
      </c>
      <c r="AE174" s="10" t="s">
        <v>33</v>
      </c>
      <c r="AF174" s="11">
        <f>IF(OR($C174="",AE174=""),"",IFERROR(IF(AND(IFERROR(--LEFT(AE174,FIND("-",AE174)-1),"")=AW174,IFERROR(--MID(AE174,FIND("-",AE174)+1,99),"")=AX174),10,5*(SIGN((IFERROR(--LEFT(AE174,FIND("-",AE174)-1),""))-(IFERROR(--MID(AE174,FIND("-",AE174)+1,99),"")))=SIGN((AW174)-(AX174)))+2*(((IFERROR(--LEFT(AE174,FIND("-",AE174)-1),""))-(IFERROR(--MID(AE174,FIND("-",AE174)+1,99),"")))=((AW174)-(AX174)))+2*((IFERROR(--LEFT(AE174,FIND("-",AE174)-1),""))=(AW174))+2*((IFERROR(--MID(AE174,FIND("-",AE174)+1,99),""))=(AX174))),""))</f>
        <v>2</v>
      </c>
      <c r="AG174" s="10" t="s">
        <v>39</v>
      </c>
      <c r="AH174" s="11">
        <f>IF(OR($C174="",AG174=""),"",IFERROR(IF(AND(IFERROR(--LEFT(AG174,FIND("-",AG174)-1),"")=AW174,IFERROR(--MID(AG174,FIND("-",AG174)+1,99),"")=AX174),10,5*(SIGN((IFERROR(--LEFT(AG174,FIND("-",AG174)-1),""))-(IFERROR(--MID(AG174,FIND("-",AG174)+1,99),"")))=SIGN((AW174)-(AX174)))+2*(((IFERROR(--LEFT(AG174,FIND("-",AG174)-1),""))-(IFERROR(--MID(AG174,FIND("-",AG174)+1,99),"")))=((AW174)-(AX174)))+2*((IFERROR(--LEFT(AG174,FIND("-",AG174)-1),""))=(AW174))+2*((IFERROR(--MID(AG174,FIND("-",AG174)+1,99),""))=(AX174))),""))</f>
        <v>2</v>
      </c>
      <c r="AI174" s="10" t="s">
        <v>36</v>
      </c>
      <c r="AJ174" s="11">
        <f>IF(OR($C174="",AI174=""),"",IFERROR(IF(AND(IFERROR(--LEFT(AI174,FIND("-",AI174)-1),"")=AW174,IFERROR(--MID(AI174,FIND("-",AI174)+1,99),"")=AX174),10,5*(SIGN((IFERROR(--LEFT(AI174,FIND("-",AI174)-1),""))-(IFERROR(--MID(AI174,FIND("-",AI174)+1,99),"")))=SIGN((AW174)-(AX174)))+2*(((IFERROR(--LEFT(AI174,FIND("-",AI174)-1),""))-(IFERROR(--MID(AI174,FIND("-",AI174)+1,99),"")))=((AW174)-(AX174)))+2*((IFERROR(--LEFT(AI174,FIND("-",AI174)-1),""))=(AW174))+2*((IFERROR(--MID(AI174,FIND("-",AI174)+1,99),""))=(AX174))),""))</f>
        <v>0</v>
      </c>
      <c r="AK174" s="10" t="s">
        <v>39</v>
      </c>
      <c r="AL174" s="11">
        <f>IF(OR($C174="",AK174=""),"",IFERROR(IF(AND(IFERROR(--LEFT(AK174,FIND("-",AK174)-1),"")=AW174,IFERROR(--MID(AK174,FIND("-",AK174)+1,99),"")=AX174),10,5*(SIGN((IFERROR(--LEFT(AK174,FIND("-",AK174)-1),""))-(IFERROR(--MID(AK174,FIND("-",AK174)+1,99),"")))=SIGN((AW174)-(AX174)))+2*(((IFERROR(--LEFT(AK174,FIND("-",AK174)-1),""))-(IFERROR(--MID(AK174,FIND("-",AK174)+1,99),"")))=((AW174)-(AX174)))+2*((IFERROR(--LEFT(AK174,FIND("-",AK174)-1),""))=(AW174))+2*((IFERROR(--MID(AK174,FIND("-",AK174)+1,99),""))=(AX174))),""))</f>
        <v>2</v>
      </c>
      <c r="AM174" s="10" t="s">
        <v>34</v>
      </c>
      <c r="AN174" s="11">
        <f>IF(OR($C174="",AM174=""),"",IFERROR(IF(AND(IFERROR(--LEFT(AM174,FIND("-",AM174)-1),"")=AW174,IFERROR(--MID(AM174,FIND("-",AM174)+1,99),"")=AX174),10,5*(SIGN((IFERROR(--LEFT(AM174,FIND("-",AM174)-1),""))-(IFERROR(--MID(AM174,FIND("-",AM174)+1,99),"")))=SIGN((AW174)-(AX174)))+2*(((IFERROR(--LEFT(AM174,FIND("-",AM174)-1),""))-(IFERROR(--MID(AM174,FIND("-",AM174)+1,99),"")))=((AW174)-(AX174)))+2*((IFERROR(--LEFT(AM174,FIND("-",AM174)-1),""))=(AW174))+2*((IFERROR(--MID(AM174,FIND("-",AM174)+1,99),""))=(AX174))),""))</f>
        <v>2</v>
      </c>
      <c r="AO174" s="10" t="s">
        <v>33</v>
      </c>
      <c r="AP174" s="11">
        <f>IF(OR($C174="",AO174=""),"",IFERROR(IF(AND(IFERROR(--LEFT(AO174,FIND("-",AO174)-1),"")=AW174,IFERROR(--MID(AO174,FIND("-",AO174)+1,99),"")=AX174),10,5*(SIGN((IFERROR(--LEFT(AO174,FIND("-",AO174)-1),""))-(IFERROR(--MID(AO174,FIND("-",AO174)+1,99),"")))=SIGN((AW174)-(AX174)))+2*(((IFERROR(--LEFT(AO174,FIND("-",AO174)-1),""))-(IFERROR(--MID(AO174,FIND("-",AO174)+1,99),"")))=((AW174)-(AX174)))+2*((IFERROR(--LEFT(AO174,FIND("-",AO174)-1),""))=(AW174))+2*((IFERROR(--MID(AO174,FIND("-",AO174)+1,99),""))=(AX174))),""))</f>
        <v>2</v>
      </c>
      <c r="AQ174" s="10" t="s">
        <v>33</v>
      </c>
      <c r="AR174" s="11">
        <f>IF(OR($C174="",AQ174=""),"",IFERROR(IF(AND(IFERROR(--LEFT(AQ174,FIND("-",AQ174)-1),"")=AW174,IFERROR(--MID(AQ174,FIND("-",AQ174)+1,99),"")=AX174),10,5*(SIGN((IFERROR(--LEFT(AQ174,FIND("-",AQ174)-1),""))-(IFERROR(--MID(AQ174,FIND("-",AQ174)+1,99),"")))=SIGN((AW174)-(AX174)))+2*(((IFERROR(--LEFT(AQ174,FIND("-",AQ174)-1),""))-(IFERROR(--MID(AQ174,FIND("-",AQ174)+1,99),"")))=((AW174)-(AX174)))+2*((IFERROR(--LEFT(AQ174,FIND("-",AQ174)-1),""))=(AW174))+2*((IFERROR(--MID(AQ174,FIND("-",AQ174)+1,99),""))=(AX174))),""))</f>
        <v>2</v>
      </c>
      <c r="AS174" s="10" t="s">
        <v>45</v>
      </c>
      <c r="AT174" s="11">
        <f>IF(OR($C174="",AS174=""),"",IFERROR(IF(AND(IFERROR(--LEFT(AS174,FIND("-",AS174)-1),"")=AW174,IFERROR(--MID(AS174,FIND("-",AS174)+1,99),"")=AX174),10,5*(SIGN((IFERROR(--LEFT(AS174,FIND("-",AS174)-1),""))-(IFERROR(--MID(AS174,FIND("-",AS174)+1,99),"")))=SIGN((AW174)-(AX174)))+2*(((IFERROR(--LEFT(AS174,FIND("-",AS174)-1),""))-(IFERROR(--MID(AS174,FIND("-",AS174)+1,99),"")))=((AW174)-(AX174)))+2*((IFERROR(--LEFT(AS174,FIND("-",AS174)-1),""))=(AW174))+2*((IFERROR(--MID(AS174,FIND("-",AS174)+1,99),""))=(AX174))),""))</f>
        <v>2</v>
      </c>
      <c r="AU174" s="10" t="s">
        <v>39</v>
      </c>
      <c r="AV174" s="11">
        <f>IF(OR($C174="",AU174=""),"",IFERROR(IF(AND(IFERROR(--LEFT(AU174,FIND("-",AU174)-1),"")=AW174,IFERROR(--MID(AU174,FIND("-",AU174)+1,99),"")=AX174),10,5*(SIGN((IFERROR(--LEFT(AU174,FIND("-",AU174)-1),""))-(IFERROR(--MID(AU174,FIND("-",AU174)+1,99),"")))=SIGN((AW174)-(AX174)))+2*(((IFERROR(--LEFT(AU174,FIND("-",AU174)-1),""))-(IFERROR(--MID(AU174,FIND("-",AU174)+1,99),"")))=((AW174)-(AX174)))+2*((IFERROR(--LEFT(AU174,FIND("-",AU174)-1),""))=(AW174))+2*((IFERROR(--MID(AU174,FIND("-",AU174)+1,99),""))=(AX174))),""))</f>
        <v>2</v>
      </c>
      <c r="AW174" s="11">
        <f>IF($C174="","",IFERROR(--LEFT($C174,FIND("-",$C174)-1),""))</f>
        <v>1</v>
      </c>
      <c r="AX174" s="11">
        <f>IF($C174="","",IFERROR(--MID($C174,FIND("-",$C174)+1,99),""))</f>
        <v>1</v>
      </c>
    </row>
    <row r="175" spans="1:50" ht="18" customHeight="1" x14ac:dyDescent="0.3">
      <c r="A175" s="12"/>
      <c r="B175" s="18"/>
      <c r="C175" s="13"/>
      <c r="D175" s="1"/>
      <c r="E175" s="22"/>
      <c r="F175" s="12"/>
      <c r="G175" s="22"/>
      <c r="H175" s="12"/>
      <c r="I175" s="22"/>
      <c r="J175" s="12"/>
      <c r="K175" s="22"/>
      <c r="L175" s="12"/>
      <c r="M175" s="22"/>
      <c r="N175" s="12"/>
      <c r="O175" s="22"/>
      <c r="P175" s="12"/>
      <c r="Q175" s="22"/>
      <c r="R175" s="12"/>
      <c r="S175" s="22"/>
      <c r="T175" s="12"/>
      <c r="U175" s="13"/>
      <c r="V175" s="12"/>
      <c r="W175" s="22"/>
      <c r="X175" s="12"/>
      <c r="Y175" s="22"/>
      <c r="Z175" s="12"/>
      <c r="AA175" s="22"/>
      <c r="AB175" s="12"/>
      <c r="AC175" s="22"/>
      <c r="AD175" s="12"/>
      <c r="AE175" s="22"/>
      <c r="AF175" s="12"/>
      <c r="AG175" s="22"/>
      <c r="AH175" s="12"/>
      <c r="AI175" s="22"/>
      <c r="AJ175" s="12"/>
      <c r="AK175" s="22"/>
      <c r="AL175" s="12"/>
      <c r="AM175" s="22"/>
      <c r="AN175" s="12"/>
      <c r="AO175" s="22"/>
      <c r="AP175" s="12"/>
      <c r="AQ175" s="22"/>
      <c r="AR175" s="12" t="str">
        <f>IF(OR($C175="",AQ175=""),"",IFERROR(IF(AND(IFERROR(--LEFT(AQ175,FIND("-",AQ175)-1),"")=AW175,IFERROR(--MID(AQ175,FIND("-",AQ175)+1,99),"")=AX175),10,5*(SIGN((IFERROR(--LEFT(AQ175,FIND("-",AQ175)-1),""))-(IFERROR(--MID(AQ175,FIND("-",AQ175)+1,99),"")))=SIGN((AW175)-(AX175)))+2*(((IFERROR(--LEFT(AQ175,FIND("-",AQ175)-1),""))-(IFERROR(--MID(AQ175,FIND("-",AQ175)+1,99),"")))=((AW175)-(AX175)))+2*((IFERROR(--LEFT(AQ175,FIND("-",AQ175)-1),""))=(AW175))+2*((IFERROR(--MID(AQ175,FIND("-",AQ175)+1,99),""))=(AX175))),""))</f>
        <v/>
      </c>
      <c r="AS175" s="22"/>
      <c r="AT175" s="12" t="str">
        <f>IF(OR($C175="",AS175=""),"",IFERROR(IF(AND(IFERROR(--LEFT(AS175,FIND("-",AS175)-1),"")=AW175,IFERROR(--MID(AS175,FIND("-",AS175)+1,99),"")=AX175),10,5*(SIGN((IFERROR(--LEFT(AS175,FIND("-",AS175)-1),""))-(IFERROR(--MID(AS175,FIND("-",AS175)+1,99),"")))=SIGN((AW175)-(AX175)))+2*(((IFERROR(--LEFT(AS175,FIND("-",AS175)-1),""))-(IFERROR(--MID(AS175,FIND("-",AS175)+1,99),"")))=((AW175)-(AX175)))+2*((IFERROR(--LEFT(AS175,FIND("-",AS175)-1),""))=(AW175))+2*((IFERROR(--MID(AS175,FIND("-",AS175)+1,99),""))=(AX175))),""))</f>
        <v/>
      </c>
      <c r="AU175" s="22"/>
      <c r="AV175" s="12"/>
      <c r="AW175" s="12"/>
      <c r="AX175" s="12"/>
    </row>
    <row r="176" spans="1:50" ht="18" customHeight="1" x14ac:dyDescent="0.3">
      <c r="A176" s="12"/>
      <c r="B176" s="18"/>
      <c r="C176" s="13"/>
      <c r="D176" s="1"/>
      <c r="E176" s="22"/>
      <c r="F176" s="12"/>
      <c r="G176" s="22"/>
      <c r="H176" s="12"/>
      <c r="I176" s="22"/>
      <c r="J176" s="12"/>
      <c r="K176" s="22"/>
      <c r="L176" s="12"/>
      <c r="M176" s="22"/>
      <c r="N176" s="12"/>
      <c r="O176" s="22"/>
      <c r="P176" s="12"/>
      <c r="Q176" s="22"/>
      <c r="R176" s="12"/>
      <c r="S176" s="22"/>
      <c r="T176" s="12"/>
      <c r="U176" s="13"/>
      <c r="V176" s="12"/>
      <c r="W176" s="22"/>
      <c r="X176" s="12"/>
      <c r="Y176" s="22"/>
      <c r="Z176" s="12"/>
      <c r="AA176" s="22"/>
      <c r="AB176" s="12"/>
      <c r="AC176" s="22"/>
      <c r="AD176" s="12"/>
      <c r="AE176" s="22"/>
      <c r="AF176" s="12"/>
      <c r="AG176" s="22"/>
      <c r="AH176" s="12"/>
      <c r="AI176" s="22"/>
      <c r="AJ176" s="12"/>
      <c r="AK176" s="22"/>
      <c r="AL176" s="12"/>
      <c r="AM176" s="22"/>
      <c r="AN176" s="12"/>
      <c r="AO176" s="22"/>
      <c r="AP176" s="12"/>
      <c r="AQ176" s="22"/>
      <c r="AR176" s="12" t="str">
        <f>IF(OR($C176="",AQ176=""),"",IFERROR(IF(AND(IFERROR(--LEFT(AQ176,FIND("-",AQ176)-1),"")=AW176,IFERROR(--MID(AQ176,FIND("-",AQ176)+1,99),"")=AX176),10,5*(SIGN((IFERROR(--LEFT(AQ176,FIND("-",AQ176)-1),""))-(IFERROR(--MID(AQ176,FIND("-",AQ176)+1,99),"")))=SIGN((AW176)-(AX176)))+2*(((IFERROR(--LEFT(AQ176,FIND("-",AQ176)-1),""))-(IFERROR(--MID(AQ176,FIND("-",AQ176)+1,99),"")))=((AW176)-(AX176)))+2*((IFERROR(--LEFT(AQ176,FIND("-",AQ176)-1),""))=(AW176))+2*((IFERROR(--MID(AQ176,FIND("-",AQ176)+1,99),""))=(AX176))),""))</f>
        <v/>
      </c>
      <c r="AS176" s="22"/>
      <c r="AT176" s="12" t="str">
        <f>IF(OR($C176="",AS176=""),"",IFERROR(IF(AND(IFERROR(--LEFT(AS176,FIND("-",AS176)-1),"")=AW176,IFERROR(--MID(AS176,FIND("-",AS176)+1,99),"")=AX176),10,5*(SIGN((IFERROR(--LEFT(AS176,FIND("-",AS176)-1),""))-(IFERROR(--MID(AS176,FIND("-",AS176)+1,99),"")))=SIGN((AW176)-(AX176)))+2*(((IFERROR(--LEFT(AS176,FIND("-",AS176)-1),""))-(IFERROR(--MID(AS176,FIND("-",AS176)+1,99),"")))=((AW176)-(AX176)))+2*((IFERROR(--LEFT(AS176,FIND("-",AS176)-1),""))=(AW176))+2*((IFERROR(--MID(AS176,FIND("-",AS176)+1,99),""))=(AX176))),""))</f>
        <v/>
      </c>
      <c r="AU176" s="22"/>
      <c r="AV176" s="12"/>
      <c r="AW176" s="12"/>
      <c r="AX176" s="12"/>
    </row>
    <row r="177" spans="1:50" ht="20.100000000000001" customHeight="1" x14ac:dyDescent="0.3">
      <c r="A177" s="41" t="s">
        <v>143</v>
      </c>
      <c r="B177" s="37"/>
      <c r="C177" s="38"/>
      <c r="D177" s="37"/>
      <c r="E177" s="38"/>
      <c r="F177" s="37"/>
      <c r="G177" s="38"/>
      <c r="H177" s="37"/>
      <c r="I177" s="38"/>
      <c r="J177" s="37"/>
      <c r="K177" s="38"/>
      <c r="L177" s="37"/>
      <c r="M177" s="38"/>
      <c r="N177" s="37"/>
      <c r="O177" s="38"/>
      <c r="P177" s="37"/>
      <c r="Q177" s="38"/>
      <c r="R177" s="37"/>
      <c r="S177" s="38"/>
      <c r="T177" s="37"/>
      <c r="U177" s="38"/>
      <c r="V177" s="37"/>
      <c r="W177" s="38"/>
      <c r="X177" s="37"/>
      <c r="Y177" s="38"/>
      <c r="Z177" s="37"/>
      <c r="AA177" s="38"/>
      <c r="AB177" s="37"/>
      <c r="AC177" s="38"/>
      <c r="AD177" s="37"/>
      <c r="AE177" s="38"/>
      <c r="AF177" s="37"/>
      <c r="AG177" s="38"/>
      <c r="AH177" s="37"/>
      <c r="AI177" s="38"/>
      <c r="AJ177" s="37"/>
      <c r="AK177" s="38"/>
      <c r="AL177" s="37"/>
      <c r="AM177" s="38"/>
      <c r="AN177" s="37"/>
      <c r="AO177" s="38"/>
      <c r="AP177" s="37"/>
      <c r="AQ177" s="37"/>
      <c r="AR177" s="37"/>
      <c r="AS177" s="37"/>
      <c r="AT177" s="37"/>
      <c r="AU177" s="38"/>
      <c r="AV177" s="39"/>
      <c r="AW177" s="7"/>
      <c r="AX177" s="7"/>
    </row>
    <row r="178" spans="1:50" ht="20.100000000000001" customHeight="1" x14ac:dyDescent="0.3">
      <c r="A178" s="36" t="s">
        <v>144</v>
      </c>
      <c r="B178" s="37"/>
      <c r="C178" s="38"/>
      <c r="D178" s="37"/>
      <c r="E178" s="38"/>
      <c r="F178" s="37"/>
      <c r="G178" s="38"/>
      <c r="H178" s="37"/>
      <c r="I178" s="38"/>
      <c r="J178" s="37"/>
      <c r="K178" s="38"/>
      <c r="L178" s="37"/>
      <c r="M178" s="38"/>
      <c r="N178" s="37"/>
      <c r="O178" s="38"/>
      <c r="P178" s="37"/>
      <c r="Q178" s="38"/>
      <c r="R178" s="37"/>
      <c r="S178" s="38"/>
      <c r="T178" s="37"/>
      <c r="U178" s="38"/>
      <c r="V178" s="37"/>
      <c r="W178" s="38"/>
      <c r="X178" s="37"/>
      <c r="Y178" s="38"/>
      <c r="Z178" s="37"/>
      <c r="AA178" s="38"/>
      <c r="AB178" s="37"/>
      <c r="AC178" s="38"/>
      <c r="AD178" s="37"/>
      <c r="AE178" s="38"/>
      <c r="AF178" s="37"/>
      <c r="AG178" s="38"/>
      <c r="AH178" s="37"/>
      <c r="AI178" s="38"/>
      <c r="AJ178" s="37"/>
      <c r="AK178" s="38"/>
      <c r="AL178" s="37"/>
      <c r="AM178" s="38"/>
      <c r="AN178" s="37"/>
      <c r="AO178" s="38"/>
      <c r="AP178" s="37"/>
      <c r="AQ178" s="37"/>
      <c r="AR178" s="37"/>
      <c r="AS178" s="37"/>
      <c r="AT178" s="37"/>
      <c r="AU178" s="38"/>
      <c r="AV178" s="39"/>
      <c r="AW178" s="8"/>
      <c r="AX178" s="8"/>
    </row>
    <row r="179" spans="1:50" ht="18" customHeight="1" x14ac:dyDescent="0.3">
      <c r="A179" s="9">
        <v>1.875</v>
      </c>
      <c r="B179" s="18" t="s">
        <v>89</v>
      </c>
      <c r="C179" s="10" t="s">
        <v>48</v>
      </c>
      <c r="D179" s="1" t="s">
        <v>80</v>
      </c>
      <c r="E179" s="10" t="s">
        <v>37</v>
      </c>
      <c r="F179" s="11">
        <f>IF(OR($C179="",E179=""),"",IFERROR(IF(AND(IFERROR(--LEFT(E179,FIND("-",E179)-1),"")=AW179,IFERROR(--MID(E179,FIND("-",E179)+1,99),"")=AX179),10,5*(SIGN((IFERROR(--LEFT(E179,FIND("-",E179)-1),""))-(IFERROR(--MID(E179,FIND("-",E179)+1,99),"")))=SIGN((AW179)-(AX179)))+2*(((IFERROR(--LEFT(E179,FIND("-",E179)-1),""))-(IFERROR(--MID(E179,FIND("-",E179)+1,99),"")))=((AW179)-(AX179)))+2*((IFERROR(--LEFT(E179,FIND("-",E179)-1),""))=(AW179))+2*((IFERROR(--MID(E179,FIND("-",E179)+1,99),""))=(AX179))),""))</f>
        <v>7</v>
      </c>
      <c r="G179" s="10" t="s">
        <v>57</v>
      </c>
      <c r="H179" s="11">
        <f>IF(OR($C179="",G179=""),"",IFERROR(IF(AND(IFERROR(--LEFT(G179,FIND("-",G179)-1),"")=AW179,IFERROR(--MID(G179,FIND("-",G179)+1,99),"")=AX179),10,5*(SIGN((IFERROR(--LEFT(G179,FIND("-",G179)-1),""))-(IFERROR(--MID(G179,FIND("-",G179)+1,99),"")))=SIGN((AW179)-(AX179)))+2*(((IFERROR(--LEFT(G179,FIND("-",G179)-1),""))-(IFERROR(--MID(G179,FIND("-",G179)+1,99),"")))=((AW179)-(AX179)))+2*((IFERROR(--LEFT(G179,FIND("-",G179)-1),""))=(AW179))+2*((IFERROR(--MID(G179,FIND("-",G179)+1,99),""))=(AX179))),""))</f>
        <v>7</v>
      </c>
      <c r="I179" s="10" t="s">
        <v>39</v>
      </c>
      <c r="J179" s="11">
        <f>IF(OR($C179="",I179=""),"",IFERROR(IF(AND(IFERROR(--LEFT(I179,FIND("-",I179)-1),"")=AW179,IFERROR(--MID(I179,FIND("-",I179)+1,99),"")=AX179),10,5*(SIGN((IFERROR(--LEFT(I179,FIND("-",I179)-1),""))-(IFERROR(--MID(I179,FIND("-",I179)+1,99),"")))=SIGN((AW179)-(AX179)))+2*(((IFERROR(--LEFT(I179,FIND("-",I179)-1),""))-(IFERROR(--MID(I179,FIND("-",I179)+1,99),"")))=((AW179)-(AX179)))+2*((IFERROR(--LEFT(I179,FIND("-",I179)-1),""))=(AW179))+2*((IFERROR(--MID(I179,FIND("-",I179)+1,99),""))=(AX179))),""))</f>
        <v>0</v>
      </c>
      <c r="K179" s="10" t="s">
        <v>34</v>
      </c>
      <c r="L179" s="11">
        <f>IF(OR($C179="",K179=""),"",IFERROR(IF(AND(IFERROR(--LEFT(K179,FIND("-",K179)-1),"")=AW179,IFERROR(--MID(K179,FIND("-",K179)+1,99),"")=AX179),10,5*(SIGN((IFERROR(--LEFT(K179,FIND("-",K179)-1),""))-(IFERROR(--MID(K179,FIND("-",K179)+1,99),"")))=SIGN((AW179)-(AX179)))+2*(((IFERROR(--LEFT(K179,FIND("-",K179)-1),""))-(IFERROR(--MID(K179,FIND("-",K179)+1,99),"")))=((AW179)-(AX179)))+2*((IFERROR(--LEFT(K179,FIND("-",K179)-1),""))=(AW179))+2*((IFERROR(--MID(K179,FIND("-",K179)+1,99),""))=(AX179))),""))</f>
        <v>0</v>
      </c>
      <c r="M179" s="10" t="s">
        <v>49</v>
      </c>
      <c r="N179" s="11">
        <f>IF(OR($C179="",M179=""),"",IFERROR(IF(AND(IFERROR(--LEFT(M179,FIND("-",M179)-1),"")=AW179,IFERROR(--MID(M179,FIND("-",M179)+1,99),"")=AX179),10,5*(SIGN((IFERROR(--LEFT(M179,FIND("-",M179)-1),""))-(IFERROR(--MID(M179,FIND("-",M179)+1,99),"")))=SIGN((AW179)-(AX179)))+2*(((IFERROR(--LEFT(M179,FIND("-",M179)-1),""))-(IFERROR(--MID(M179,FIND("-",M179)+1,99),"")))=((AW179)-(AX179)))+2*((IFERROR(--LEFT(M179,FIND("-",M179)-1),""))=(AW179))+2*((IFERROR(--MID(M179,FIND("-",M179)+1,99),""))=(AX179))),""))</f>
        <v>2</v>
      </c>
      <c r="O179" s="10" t="s">
        <v>33</v>
      </c>
      <c r="P179" s="11">
        <f>IF(OR($C179="",O179=""),"",IFERROR(IF(AND(IFERROR(--LEFT(O179,FIND("-",O179)-1),"")=AW179,IFERROR(--MID(O179,FIND("-",O179)+1,99),"")=AX179),10,5*(SIGN((IFERROR(--LEFT(O179,FIND("-",O179)-1),""))-(IFERROR(--MID(O179,FIND("-",O179)+1,99),"")))=SIGN((AW179)-(AX179)))+2*(((IFERROR(--LEFT(O179,FIND("-",O179)-1),""))-(IFERROR(--MID(O179,FIND("-",O179)+1,99),"")))=((AW179)-(AX179)))+2*((IFERROR(--LEFT(O179,FIND("-",O179)-1),""))=(AW179))+2*((IFERROR(--MID(O179,FIND("-",O179)+1,99),""))=(AX179))),""))</f>
        <v>0</v>
      </c>
      <c r="Q179" s="10" t="s">
        <v>61</v>
      </c>
      <c r="R179" s="11">
        <f>IF(OR($C179="",Q179=""),"",IFERROR(IF(AND(IFERROR(--LEFT(Q179,FIND("-",Q179)-1),"")=AW179,IFERROR(--MID(Q179,FIND("-",Q179)+1,99),"")=AX179),10,5*(SIGN((IFERROR(--LEFT(Q179,FIND("-",Q179)-1),""))-(IFERROR(--MID(Q179,FIND("-",Q179)+1,99),"")))=SIGN((AW179)-(AX179)))+2*(((IFERROR(--LEFT(Q179,FIND("-",Q179)-1),""))-(IFERROR(--MID(Q179,FIND("-",Q179)+1,99),"")))=((AW179)-(AX179)))+2*((IFERROR(--LEFT(Q179,FIND("-",Q179)-1),""))=(AW179))+2*((IFERROR(--MID(Q179,FIND("-",Q179)+1,99),""))=(AX179))),""))</f>
        <v>2</v>
      </c>
      <c r="S179" s="10" t="s">
        <v>39</v>
      </c>
      <c r="T179" s="11">
        <f>IF(OR($C179="",S179=""),"",IFERROR(IF(AND(IFERROR(--LEFT(S179,FIND("-",S179)-1),"")=AW179,IFERROR(--MID(S179,FIND("-",S179)+1,99),"")=AX179),10,5*(SIGN((IFERROR(--LEFT(S179,FIND("-",S179)-1),""))-(IFERROR(--MID(S179,FIND("-",S179)+1,99),"")))=SIGN((AW179)-(AX179)))+2*(((IFERROR(--LEFT(S179,FIND("-",S179)-1),""))-(IFERROR(--MID(S179,FIND("-",S179)+1,99),"")))=((AW179)-(AX179)))+2*((IFERROR(--LEFT(S179,FIND("-",S179)-1),""))=(AW179))+2*((IFERROR(--MID(S179,FIND("-",S179)+1,99),""))=(AX179))),""))</f>
        <v>0</v>
      </c>
      <c r="U179" s="10" t="s">
        <v>37</v>
      </c>
      <c r="V179" s="11">
        <f>IF(OR($C179="",U179=""),"",IFERROR(IF(AND(IFERROR(--LEFT(U179,FIND("-",U179)-1),"")=AW179,IFERROR(--MID(U179,FIND("-",U179)+1,99),"")=AX179),10,5*(SIGN((IFERROR(--LEFT(U179,FIND("-",U179)-1),""))-(IFERROR(--MID(U179,FIND("-",U179)+1,99),"")))=SIGN((AW179)-(AX179)))+2*(((IFERROR(--LEFT(U179,FIND("-",U179)-1),""))-(IFERROR(--MID(U179,FIND("-",U179)+1,99),"")))=((AW179)-(AX179)))+2*((IFERROR(--LEFT(U179,FIND("-",U179)-1),""))=(AW179))+2*((IFERROR(--MID(U179,FIND("-",U179)+1,99),""))=(AX179))),""))</f>
        <v>7</v>
      </c>
      <c r="W179" s="10" t="s">
        <v>35</v>
      </c>
      <c r="X179" s="11">
        <f>IF(OR($C179="",W179=""),"",IFERROR(IF(AND(IFERROR(--LEFT(W179,FIND("-",W179)-1),"")=AW179,IFERROR(--MID(W179,FIND("-",W179)+1,99),"")=AX179),10,5*(SIGN((IFERROR(--LEFT(W179,FIND("-",W179)-1),""))-(IFERROR(--MID(W179,FIND("-",W179)+1,99),"")))=SIGN((AW179)-(AX179)))+2*(((IFERROR(--LEFT(W179,FIND("-",W179)-1),""))-(IFERROR(--MID(W179,FIND("-",W179)+1,99),"")))=((AW179)-(AX179)))+2*((IFERROR(--LEFT(W179,FIND("-",W179)-1),""))=(AW179))+2*((IFERROR(--MID(W179,FIND("-",W179)+1,99),""))=(AX179))),""))</f>
        <v>0</v>
      </c>
      <c r="Y179" s="10" t="s">
        <v>33</v>
      </c>
      <c r="Z179" s="11">
        <f>IF(OR($C179="",Y179=""),"",IFERROR(IF(AND(IFERROR(--LEFT(Y179,FIND("-",Y179)-1),"")=AW179,IFERROR(--MID(Y179,FIND("-",Y179)+1,99),"")=AX179),10,5*(SIGN((IFERROR(--LEFT(Y179,FIND("-",Y179)-1),""))-(IFERROR(--MID(Y179,FIND("-",Y179)+1,99),"")))=SIGN((AW179)-(AX179)))+2*(((IFERROR(--LEFT(Y179,FIND("-",Y179)-1),""))-(IFERROR(--MID(Y179,FIND("-",Y179)+1,99),"")))=((AW179)-(AX179)))+2*((IFERROR(--LEFT(Y179,FIND("-",Y179)-1),""))=(AW179))+2*((IFERROR(--MID(Y179,FIND("-",Y179)+1,99),""))=(AX179))),""))</f>
        <v>0</v>
      </c>
      <c r="AA179" s="10" t="s">
        <v>61</v>
      </c>
      <c r="AB179" s="11">
        <f>IF(OR($C179="",AA179=""),"",IFERROR(IF(AND(IFERROR(--LEFT(AA179,FIND("-",AA179)-1),"")=AW179,IFERROR(--MID(AA179,FIND("-",AA179)+1,99),"")=AX179),10,5*(SIGN((IFERROR(--LEFT(AA179,FIND("-",AA179)-1),""))-(IFERROR(--MID(AA179,FIND("-",AA179)+1,99),"")))=SIGN((AW179)-(AX179)))+2*(((IFERROR(--LEFT(AA179,FIND("-",AA179)-1),""))-(IFERROR(--MID(AA179,FIND("-",AA179)+1,99),"")))=((AW179)-(AX179)))+2*((IFERROR(--LEFT(AA179,FIND("-",AA179)-1),""))=(AW179))+2*((IFERROR(--MID(AA179,FIND("-",AA179)+1,99),""))=(AX179))),""))</f>
        <v>2</v>
      </c>
      <c r="AC179" s="10" t="s">
        <v>33</v>
      </c>
      <c r="AD179" s="11">
        <f>IF(OR($C179="",AC179=""),"",IFERROR(IF(AND(IFERROR(--LEFT(AC179,FIND("-",AC179)-1),"")=AW179,IFERROR(--MID(AC179,FIND("-",AC179)+1,99),"")=AX179),10,5*(SIGN((IFERROR(--LEFT(AC179,FIND("-",AC179)-1),""))-(IFERROR(--MID(AC179,FIND("-",AC179)+1,99),"")))=SIGN((AW179)-(AX179)))+2*(((IFERROR(--LEFT(AC179,FIND("-",AC179)-1),""))-(IFERROR(--MID(AC179,FIND("-",AC179)+1,99),"")))=((AW179)-(AX179)))+2*((IFERROR(--LEFT(AC179,FIND("-",AC179)-1),""))=(AW179))+2*((IFERROR(--MID(AC179,FIND("-",AC179)+1,99),""))=(AX179))),""))</f>
        <v>0</v>
      </c>
      <c r="AE179" s="10" t="s">
        <v>34</v>
      </c>
      <c r="AF179" s="11">
        <f>IF(OR($C179="",AE179=""),"",IFERROR(IF(AND(IFERROR(--LEFT(AE179,FIND("-",AE179)-1),"")=AW179,IFERROR(--MID(AE179,FIND("-",AE179)+1,99),"")=AX179),10,5*(SIGN((IFERROR(--LEFT(AE179,FIND("-",AE179)-1),""))-(IFERROR(--MID(AE179,FIND("-",AE179)+1,99),"")))=SIGN((AW179)-(AX179)))+2*(((IFERROR(--LEFT(AE179,FIND("-",AE179)-1),""))-(IFERROR(--MID(AE179,FIND("-",AE179)+1,99),"")))=((AW179)-(AX179)))+2*((IFERROR(--LEFT(AE179,FIND("-",AE179)-1),""))=(AW179))+2*((IFERROR(--MID(AE179,FIND("-",AE179)+1,99),""))=(AX179))),""))</f>
        <v>0</v>
      </c>
      <c r="AG179" s="10" t="s">
        <v>37</v>
      </c>
      <c r="AH179" s="11">
        <f>IF(OR($C179="",AG179=""),"",IFERROR(IF(AND(IFERROR(--LEFT(AG179,FIND("-",AG179)-1),"")=AW179,IFERROR(--MID(AG179,FIND("-",AG179)+1,99),"")=AX179),10,5*(SIGN((IFERROR(--LEFT(AG179,FIND("-",AG179)-1),""))-(IFERROR(--MID(AG179,FIND("-",AG179)+1,99),"")))=SIGN((AW179)-(AX179)))+2*(((IFERROR(--LEFT(AG179,FIND("-",AG179)-1),""))-(IFERROR(--MID(AG179,FIND("-",AG179)+1,99),"")))=((AW179)-(AX179)))+2*((IFERROR(--LEFT(AG179,FIND("-",AG179)-1),""))=(AW179))+2*((IFERROR(--MID(AG179,FIND("-",AG179)+1,99),""))=(AX179))),""))</f>
        <v>7</v>
      </c>
      <c r="AI179" s="10" t="s">
        <v>49</v>
      </c>
      <c r="AJ179" s="11">
        <f>IF(OR($C179="",AI179=""),"",IFERROR(IF(AND(IFERROR(--LEFT(AI179,FIND("-",AI179)-1),"")=AW179,IFERROR(--MID(AI179,FIND("-",AI179)+1,99),"")=AX179),10,5*(SIGN((IFERROR(--LEFT(AI179,FIND("-",AI179)-1),""))-(IFERROR(--MID(AI179,FIND("-",AI179)+1,99),"")))=SIGN((AW179)-(AX179)))+2*(((IFERROR(--LEFT(AI179,FIND("-",AI179)-1),""))-(IFERROR(--MID(AI179,FIND("-",AI179)+1,99),"")))=((AW179)-(AX179)))+2*((IFERROR(--LEFT(AI179,FIND("-",AI179)-1),""))=(AW179))+2*((IFERROR(--MID(AI179,FIND("-",AI179)+1,99),""))=(AX179))),""))</f>
        <v>2</v>
      </c>
      <c r="AK179" s="10" t="s">
        <v>35</v>
      </c>
      <c r="AL179" s="11">
        <f>IF(OR($C179="",AK179=""),"",IFERROR(IF(AND(IFERROR(--LEFT(AK179,FIND("-",AK179)-1),"")=AW179,IFERROR(--MID(AK179,FIND("-",AK179)+1,99),"")=AX179),10,5*(SIGN((IFERROR(--LEFT(AK179,FIND("-",AK179)-1),""))-(IFERROR(--MID(AK179,FIND("-",AK179)+1,99),"")))=SIGN((AW179)-(AX179)))+2*(((IFERROR(--LEFT(AK179,FIND("-",AK179)-1),""))-(IFERROR(--MID(AK179,FIND("-",AK179)+1,99),"")))=((AW179)-(AX179)))+2*((IFERROR(--LEFT(AK179,FIND("-",AK179)-1),""))=(AW179))+2*((IFERROR(--MID(AK179,FIND("-",AK179)+1,99),""))=(AX179))),""))</f>
        <v>0</v>
      </c>
      <c r="AM179" s="10" t="s">
        <v>35</v>
      </c>
      <c r="AN179" s="11">
        <f>IF(OR($C179="",AM179=""),"",IFERROR(IF(AND(IFERROR(--LEFT(AM179,FIND("-",AM179)-1),"")=AW179,IFERROR(--MID(AM179,FIND("-",AM179)+1,99),"")=AX179),10,5*(SIGN((IFERROR(--LEFT(AM179,FIND("-",AM179)-1),""))-(IFERROR(--MID(AM179,FIND("-",AM179)+1,99),"")))=SIGN((AW179)-(AX179)))+2*(((IFERROR(--LEFT(AM179,FIND("-",AM179)-1),""))-(IFERROR(--MID(AM179,FIND("-",AM179)+1,99),"")))=((AW179)-(AX179)))+2*((IFERROR(--LEFT(AM179,FIND("-",AM179)-1),""))=(AW179))+2*((IFERROR(--MID(AM179,FIND("-",AM179)+1,99),""))=(AX179))),""))</f>
        <v>0</v>
      </c>
      <c r="AO179" s="10" t="s">
        <v>33</v>
      </c>
      <c r="AP179" s="11">
        <f>IF(OR($C179="",AO179=""),"",IFERROR(IF(AND(IFERROR(--LEFT(AO179,FIND("-",AO179)-1),"")=AW179,IFERROR(--MID(AO179,FIND("-",AO179)+1,99),"")=AX179),10,5*(SIGN((IFERROR(--LEFT(AO179,FIND("-",AO179)-1),""))-(IFERROR(--MID(AO179,FIND("-",AO179)+1,99),"")))=SIGN((AW179)-(AX179)))+2*(((IFERROR(--LEFT(AO179,FIND("-",AO179)-1),""))-(IFERROR(--MID(AO179,FIND("-",AO179)+1,99),"")))=((AW179)-(AX179)))+2*((IFERROR(--LEFT(AO179,FIND("-",AO179)-1),""))=(AW179))+2*((IFERROR(--MID(AO179,FIND("-",AO179)+1,99),""))=(AX179))),""))</f>
        <v>0</v>
      </c>
      <c r="AQ179" s="10" t="s">
        <v>36</v>
      </c>
      <c r="AR179" s="11">
        <f>IF(OR($C179="",AQ179=""),"",IFERROR(IF(AND(IFERROR(--LEFT(AQ179,FIND("-",AQ179)-1),"")=AW179,IFERROR(--MID(AQ179,FIND("-",AQ179)+1,99),"")=AX179),10,5*(SIGN((IFERROR(--LEFT(AQ179,FIND("-",AQ179)-1),""))-(IFERROR(--MID(AQ179,FIND("-",AQ179)+1,99),"")))=SIGN((AW179)-(AX179)))+2*(((IFERROR(--LEFT(AQ179,FIND("-",AQ179)-1),""))-(IFERROR(--MID(AQ179,FIND("-",AQ179)+1,99),"")))=((AW179)-(AX179)))+2*((IFERROR(--LEFT(AQ179,FIND("-",AQ179)-1),""))=(AW179))+2*((IFERROR(--MID(AQ179,FIND("-",AQ179)+1,99),""))=(AX179))),""))</f>
        <v>0</v>
      </c>
      <c r="AS179" s="10" t="s">
        <v>33</v>
      </c>
      <c r="AT179" s="11">
        <f>IF(OR($C179="",AS179=""),"",IFERROR(IF(AND(IFERROR(--LEFT(AS179,FIND("-",AS179)-1),"")=AW179,IFERROR(--MID(AS179,FIND("-",AS179)+1,99),"")=AX179),10,5*(SIGN((IFERROR(--LEFT(AS179,FIND("-",AS179)-1),""))-(IFERROR(--MID(AS179,FIND("-",AS179)+1,99),"")))=SIGN((AW179)-(AX179)))+2*(((IFERROR(--LEFT(AS179,FIND("-",AS179)-1),""))-(IFERROR(--MID(AS179,FIND("-",AS179)+1,99),"")))=((AW179)-(AX179)))+2*((IFERROR(--LEFT(AS179,FIND("-",AS179)-1),""))=(AW179))+2*((IFERROR(--MID(AS179,FIND("-",AS179)+1,99),""))=(AX179))),""))</f>
        <v>0</v>
      </c>
      <c r="AU179" s="10" t="s">
        <v>39</v>
      </c>
      <c r="AV179" s="11">
        <f>IF(OR($C179="",AU179=""),"",IFERROR(IF(AND(IFERROR(--LEFT(AU179,FIND("-",AU179)-1),"")=AW179,IFERROR(--MID(AU179,FIND("-",AU179)+1,99),"")=AX179),10,5*(SIGN((IFERROR(--LEFT(AU179,FIND("-",AU179)-1),""))-(IFERROR(--MID(AU179,FIND("-",AU179)+1,99),"")))=SIGN((AW179)-(AX179)))+2*(((IFERROR(--LEFT(AU179,FIND("-",AU179)-1),""))-(IFERROR(--MID(AU179,FIND("-",AU179)+1,99),"")))=((AW179)-(AX179)))+2*((IFERROR(--LEFT(AU179,FIND("-",AU179)-1),""))=(AW179))+2*((IFERROR(--MID(AU179,FIND("-",AU179)+1,99),""))=(AX179))),""))</f>
        <v>0</v>
      </c>
      <c r="AW179" s="11">
        <f>IF($C179="","",IFERROR(--LEFT($C179,FIND("-",$C179)-1),""))</f>
        <v>0</v>
      </c>
      <c r="AX179" s="11">
        <f>IF($C179="","",IFERROR(--MID($C179,FIND("-",$C179)+1,99),""))</f>
        <v>2</v>
      </c>
    </row>
    <row r="180" spans="1:50" ht="18" customHeight="1" x14ac:dyDescent="0.3">
      <c r="A180" s="12"/>
      <c r="B180" s="18"/>
      <c r="C180" s="13"/>
      <c r="D180" s="1"/>
      <c r="E180" s="22"/>
      <c r="F180" s="12"/>
      <c r="G180" s="22"/>
      <c r="H180" s="12"/>
      <c r="I180" s="22"/>
      <c r="J180" s="12"/>
      <c r="K180" s="22"/>
      <c r="L180" s="12"/>
      <c r="M180" s="22"/>
      <c r="N180" s="12"/>
      <c r="O180" s="22"/>
      <c r="P180" s="12"/>
      <c r="Q180" s="22"/>
      <c r="R180" s="12"/>
      <c r="S180" s="22"/>
      <c r="T180" s="12"/>
      <c r="U180" s="13"/>
      <c r="V180" s="12"/>
      <c r="W180" s="22"/>
      <c r="X180" s="12"/>
      <c r="Y180" s="22"/>
      <c r="Z180" s="12"/>
      <c r="AA180" s="22"/>
      <c r="AB180" s="12"/>
      <c r="AC180" s="22"/>
      <c r="AD180" s="12"/>
      <c r="AE180" s="22"/>
      <c r="AF180" s="12"/>
      <c r="AG180" s="22"/>
      <c r="AH180" s="12"/>
      <c r="AI180" s="22"/>
      <c r="AJ180" s="12"/>
      <c r="AK180" s="22"/>
      <c r="AL180" s="12"/>
      <c r="AM180" s="22"/>
      <c r="AN180" s="12"/>
      <c r="AO180" s="22"/>
      <c r="AP180" s="12"/>
      <c r="AQ180" s="22"/>
      <c r="AR180" s="12" t="str">
        <f>IF(OR($C180="",AQ180=""),"",IFERROR(IF(AND(IFERROR(--LEFT(AQ180,FIND("-",AQ180)-1),"")=AW180,IFERROR(--MID(AQ180,FIND("-",AQ180)+1,99),"")=AX180),10,5*(SIGN((IFERROR(--LEFT(AQ180,FIND("-",AQ180)-1),""))-(IFERROR(--MID(AQ180,FIND("-",AQ180)+1,99),"")))=SIGN((AW180)-(AX180)))+2*(((IFERROR(--LEFT(AQ180,FIND("-",AQ180)-1),""))-(IFERROR(--MID(AQ180,FIND("-",AQ180)+1,99),"")))=((AW180)-(AX180)))+2*((IFERROR(--LEFT(AQ180,FIND("-",AQ180)-1),""))=(AW180))+2*((IFERROR(--MID(AQ180,FIND("-",AQ180)+1,99),""))=(AX180))),""))</f>
        <v/>
      </c>
      <c r="AS180" s="22"/>
      <c r="AT180" s="12" t="str">
        <f>IF(OR($C180="",AS180=""),"",IFERROR(IF(AND(IFERROR(--LEFT(AS180,FIND("-",AS180)-1),"")=AW180,IFERROR(--MID(AS180,FIND("-",AS180)+1,99),"")=AX180),10,5*(SIGN((IFERROR(--LEFT(AS180,FIND("-",AS180)-1),""))-(IFERROR(--MID(AS180,FIND("-",AS180)+1,99),"")))=SIGN((AW180)-(AX180)))+2*(((IFERROR(--LEFT(AS180,FIND("-",AS180)-1),""))-(IFERROR(--MID(AS180,FIND("-",AS180)+1,99),"")))=((AW180)-(AX180)))+2*((IFERROR(--LEFT(AS180,FIND("-",AS180)-1),""))=(AW180))+2*((IFERROR(--MID(AS180,FIND("-",AS180)+1,99),""))=(AX180))),""))</f>
        <v/>
      </c>
      <c r="AU180" s="22"/>
      <c r="AV180" s="12"/>
      <c r="AW180" s="12"/>
      <c r="AX180" s="12"/>
    </row>
    <row r="181" spans="1:50" ht="20.100000000000001" customHeight="1" x14ac:dyDescent="0.3">
      <c r="A181" s="36" t="s">
        <v>145</v>
      </c>
      <c r="B181" s="37"/>
      <c r="C181" s="38"/>
      <c r="D181" s="37"/>
      <c r="E181" s="38"/>
      <c r="F181" s="37"/>
      <c r="G181" s="38"/>
      <c r="H181" s="37"/>
      <c r="I181" s="38"/>
      <c r="J181" s="37"/>
      <c r="K181" s="38"/>
      <c r="L181" s="37"/>
      <c r="M181" s="38"/>
      <c r="N181" s="37"/>
      <c r="O181" s="38"/>
      <c r="P181" s="37"/>
      <c r="Q181" s="38"/>
      <c r="R181" s="37"/>
      <c r="S181" s="38"/>
      <c r="T181" s="37"/>
      <c r="U181" s="38"/>
      <c r="V181" s="37"/>
      <c r="W181" s="38"/>
      <c r="X181" s="37"/>
      <c r="Y181" s="38"/>
      <c r="Z181" s="37"/>
      <c r="AA181" s="38"/>
      <c r="AB181" s="37"/>
      <c r="AC181" s="38"/>
      <c r="AD181" s="37"/>
      <c r="AE181" s="38"/>
      <c r="AF181" s="37"/>
      <c r="AG181" s="38"/>
      <c r="AH181" s="37"/>
      <c r="AI181" s="38"/>
      <c r="AJ181" s="37"/>
      <c r="AK181" s="38"/>
      <c r="AL181" s="37"/>
      <c r="AM181" s="38"/>
      <c r="AN181" s="37"/>
      <c r="AO181" s="38"/>
      <c r="AP181" s="37"/>
      <c r="AQ181" s="37"/>
      <c r="AR181" s="37"/>
      <c r="AS181" s="37"/>
      <c r="AT181" s="37"/>
      <c r="AU181" s="38"/>
      <c r="AV181" s="39"/>
      <c r="AW181" s="8"/>
      <c r="AX181" s="8"/>
    </row>
    <row r="182" spans="1:50" ht="18" customHeight="1" x14ac:dyDescent="0.3">
      <c r="A182" s="9">
        <v>1.875</v>
      </c>
      <c r="B182" s="18" t="s">
        <v>101</v>
      </c>
      <c r="C182" s="10" t="s">
        <v>37</v>
      </c>
      <c r="D182" s="1" t="s">
        <v>95</v>
      </c>
      <c r="E182" s="10" t="s">
        <v>33</v>
      </c>
      <c r="F182" s="11">
        <f>IF(OR($C182="",E182=""),"",IFERROR(IF(AND(IFERROR(--LEFT(E182,FIND("-",E182)-1),"")=AW182,IFERROR(--MID(E182,FIND("-",E182)+1,99),"")=AX182),10,5*(SIGN((IFERROR(--LEFT(E182,FIND("-",E182)-1),""))-(IFERROR(--MID(E182,FIND("-",E182)+1,99),"")))=SIGN((AW182)-(AX182)))+2*(((IFERROR(--LEFT(E182,FIND("-",E182)-1),""))-(IFERROR(--MID(E182,FIND("-",E182)+1,99),"")))=((AW182)-(AX182)))+2*((IFERROR(--LEFT(E182,FIND("-",E182)-1),""))=(AW182))+2*((IFERROR(--MID(E182,FIND("-",E182)+1,99),""))=(AX182))),""))</f>
        <v>0</v>
      </c>
      <c r="G182" s="10" t="s">
        <v>57</v>
      </c>
      <c r="H182" s="11">
        <f>IF(OR($C182="",G182=""),"",IFERROR(IF(AND(IFERROR(--LEFT(G182,FIND("-",G182)-1),"")=AW182,IFERROR(--MID(G182,FIND("-",G182)+1,99),"")=AX182),10,5*(SIGN((IFERROR(--LEFT(G182,FIND("-",G182)-1),""))-(IFERROR(--MID(G182,FIND("-",G182)+1,99),"")))=SIGN((AW182)-(AX182)))+2*(((IFERROR(--LEFT(G182,FIND("-",G182)-1),""))-(IFERROR(--MID(G182,FIND("-",G182)+1,99),"")))=((AW182)-(AX182)))+2*((IFERROR(--LEFT(G182,FIND("-",G182)-1),""))=(AW182))+2*((IFERROR(--MID(G182,FIND("-",G182)+1,99),""))=(AX182))),""))</f>
        <v>7</v>
      </c>
      <c r="I182" s="10" t="s">
        <v>35</v>
      </c>
      <c r="J182" s="11">
        <f>IF(OR($C182="",I182=""),"",IFERROR(IF(AND(IFERROR(--LEFT(I182,FIND("-",I182)-1),"")=AW182,IFERROR(--MID(I182,FIND("-",I182)+1,99),"")=AX182),10,5*(SIGN((IFERROR(--LEFT(I182,FIND("-",I182)-1),""))-(IFERROR(--MID(I182,FIND("-",I182)+1,99),"")))=SIGN((AW182)-(AX182)))+2*(((IFERROR(--LEFT(I182,FIND("-",I182)-1),""))-(IFERROR(--MID(I182,FIND("-",I182)+1,99),"")))=((AW182)-(AX182)))+2*((IFERROR(--LEFT(I182,FIND("-",I182)-1),""))=(AW182))+2*((IFERROR(--MID(I182,FIND("-",I182)+1,99),""))=(AX182))),""))</f>
        <v>2</v>
      </c>
      <c r="K182" s="10" t="s">
        <v>37</v>
      </c>
      <c r="L182" s="11">
        <f>IF(OR($C182="",K182=""),"",IFERROR(IF(AND(IFERROR(--LEFT(K182,FIND("-",K182)-1),"")=AW182,IFERROR(--MID(K182,FIND("-",K182)+1,99),"")=AX182),10,5*(SIGN((IFERROR(--LEFT(K182,FIND("-",K182)-1),""))-(IFERROR(--MID(K182,FIND("-",K182)+1,99),"")))=SIGN((AW182)-(AX182)))+2*(((IFERROR(--LEFT(K182,FIND("-",K182)-1),""))-(IFERROR(--MID(K182,FIND("-",K182)+1,99),"")))=((AW182)-(AX182)))+2*((IFERROR(--LEFT(K182,FIND("-",K182)-1),""))=(AW182))+2*((IFERROR(--MID(K182,FIND("-",K182)+1,99),""))=(AX182))),""))</f>
        <v>10</v>
      </c>
      <c r="M182" s="10" t="s">
        <v>34</v>
      </c>
      <c r="N182" s="11">
        <f>IF(OR($C182="",M182=""),"",IFERROR(IF(AND(IFERROR(--LEFT(M182,FIND("-",M182)-1),"")=AW182,IFERROR(--MID(M182,FIND("-",M182)+1,99),"")=AX182),10,5*(SIGN((IFERROR(--LEFT(M182,FIND("-",M182)-1),""))-(IFERROR(--MID(M182,FIND("-",M182)+1,99),"")))=SIGN((AW182)-(AX182)))+2*(((IFERROR(--LEFT(M182,FIND("-",M182)-1),""))-(IFERROR(--MID(M182,FIND("-",M182)+1,99),"")))=((AW182)-(AX182)))+2*((IFERROR(--LEFT(M182,FIND("-",M182)-1),""))=(AW182))+2*((IFERROR(--MID(M182,FIND("-",M182)+1,99),""))=(AX182))),""))</f>
        <v>0</v>
      </c>
      <c r="O182" s="10" t="s">
        <v>35</v>
      </c>
      <c r="P182" s="11">
        <f>IF(OR($C182="",O182=""),"",IFERROR(IF(AND(IFERROR(--LEFT(O182,FIND("-",O182)-1),"")=AW182,IFERROR(--MID(O182,FIND("-",O182)+1,99),"")=AX182),10,5*(SIGN((IFERROR(--LEFT(O182,FIND("-",O182)-1),""))-(IFERROR(--MID(O182,FIND("-",O182)+1,99),"")))=SIGN((AW182)-(AX182)))+2*(((IFERROR(--LEFT(O182,FIND("-",O182)-1),""))-(IFERROR(--MID(O182,FIND("-",O182)+1,99),"")))=((AW182)-(AX182)))+2*((IFERROR(--LEFT(O182,FIND("-",O182)-1),""))=(AW182))+2*((IFERROR(--MID(O182,FIND("-",O182)+1,99),""))=(AX182))),""))</f>
        <v>2</v>
      </c>
      <c r="Q182" s="10" t="s">
        <v>35</v>
      </c>
      <c r="R182" s="11">
        <f>IF(OR($C182="",Q182=""),"",IFERROR(IF(AND(IFERROR(--LEFT(Q182,FIND("-",Q182)-1),"")=AW182,IFERROR(--MID(Q182,FIND("-",Q182)+1,99),"")=AX182),10,5*(SIGN((IFERROR(--LEFT(Q182,FIND("-",Q182)-1),""))-(IFERROR(--MID(Q182,FIND("-",Q182)+1,99),"")))=SIGN((AW182)-(AX182)))+2*(((IFERROR(--LEFT(Q182,FIND("-",Q182)-1),""))-(IFERROR(--MID(Q182,FIND("-",Q182)+1,99),"")))=((AW182)-(AX182)))+2*((IFERROR(--LEFT(Q182,FIND("-",Q182)-1),""))=(AW182))+2*((IFERROR(--MID(Q182,FIND("-",Q182)+1,99),""))=(AX182))),""))</f>
        <v>2</v>
      </c>
      <c r="S182" s="10" t="s">
        <v>35</v>
      </c>
      <c r="T182" s="11">
        <f>IF(OR($C182="",S182=""),"",IFERROR(IF(AND(IFERROR(--LEFT(S182,FIND("-",S182)-1),"")=AW182,IFERROR(--MID(S182,FIND("-",S182)+1,99),"")=AX182),10,5*(SIGN((IFERROR(--LEFT(S182,FIND("-",S182)-1),""))-(IFERROR(--MID(S182,FIND("-",S182)+1,99),"")))=SIGN((AW182)-(AX182)))+2*(((IFERROR(--LEFT(S182,FIND("-",S182)-1),""))-(IFERROR(--MID(S182,FIND("-",S182)+1,99),"")))=((AW182)-(AX182)))+2*((IFERROR(--LEFT(S182,FIND("-",S182)-1),""))=(AW182))+2*((IFERROR(--MID(S182,FIND("-",S182)+1,99),""))=(AX182))),""))</f>
        <v>2</v>
      </c>
      <c r="U182" s="10" t="s">
        <v>39</v>
      </c>
      <c r="V182" s="11">
        <f>IF(OR($C182="",U182=""),"",IFERROR(IF(AND(IFERROR(--LEFT(U182,FIND("-",U182)-1),"")=AW182,IFERROR(--MID(U182,FIND("-",U182)+1,99),"")=AX182),10,5*(SIGN((IFERROR(--LEFT(U182,FIND("-",U182)-1),""))-(IFERROR(--MID(U182,FIND("-",U182)+1,99),"")))=SIGN((AW182)-(AX182)))+2*(((IFERROR(--LEFT(U182,FIND("-",U182)-1),""))-(IFERROR(--MID(U182,FIND("-",U182)+1,99),"")))=((AW182)-(AX182)))+2*((IFERROR(--LEFT(U182,FIND("-",U182)-1),""))=(AW182))+2*((IFERROR(--MID(U182,FIND("-",U182)+1,99),""))=(AX182))),""))</f>
        <v>2</v>
      </c>
      <c r="W182" s="10" t="s">
        <v>37</v>
      </c>
      <c r="X182" s="11">
        <f>IF(OR($C182="",W182=""),"",IFERROR(IF(AND(IFERROR(--LEFT(W182,FIND("-",W182)-1),"")=AW182,IFERROR(--MID(W182,FIND("-",W182)+1,99),"")=AX182),10,5*(SIGN((IFERROR(--LEFT(W182,FIND("-",W182)-1),""))-(IFERROR(--MID(W182,FIND("-",W182)+1,99),"")))=SIGN((AW182)-(AX182)))+2*(((IFERROR(--LEFT(W182,FIND("-",W182)-1),""))-(IFERROR(--MID(W182,FIND("-",W182)+1,99),"")))=((AW182)-(AX182)))+2*((IFERROR(--LEFT(W182,FIND("-",W182)-1),""))=(AW182))+2*((IFERROR(--MID(W182,FIND("-",W182)+1,99),""))=(AX182))),""))</f>
        <v>10</v>
      </c>
      <c r="Y182" s="10" t="s">
        <v>38</v>
      </c>
      <c r="Z182" s="11">
        <f>IF(OR($C182="",Y182=""),"",IFERROR(IF(AND(IFERROR(--LEFT(Y182,FIND("-",Y182)-1),"")=AW182,IFERROR(--MID(Y182,FIND("-",Y182)+1,99),"")=AX182),10,5*(SIGN((IFERROR(--LEFT(Y182,FIND("-",Y182)-1),""))-(IFERROR(--MID(Y182,FIND("-",Y182)+1,99),"")))=SIGN((AW182)-(AX182)))+2*(((IFERROR(--LEFT(Y182,FIND("-",Y182)-1),""))-(IFERROR(--MID(Y182,FIND("-",Y182)+1,99),"")))=((AW182)-(AX182)))+2*((IFERROR(--LEFT(Y182,FIND("-",Y182)-1),""))=(AW182))+2*((IFERROR(--MID(Y182,FIND("-",Y182)+1,99),""))=(AX182))),""))</f>
        <v>0</v>
      </c>
      <c r="AA182" s="10" t="s">
        <v>33</v>
      </c>
      <c r="AB182" s="11">
        <f>IF(OR($C182="",AA182=""),"",IFERROR(IF(AND(IFERROR(--LEFT(AA182,FIND("-",AA182)-1),"")=AW182,IFERROR(--MID(AA182,FIND("-",AA182)+1,99),"")=AX182),10,5*(SIGN((IFERROR(--LEFT(AA182,FIND("-",AA182)-1),""))-(IFERROR(--MID(AA182,FIND("-",AA182)+1,99),"")))=SIGN((AW182)-(AX182)))+2*(((IFERROR(--LEFT(AA182,FIND("-",AA182)-1),""))-(IFERROR(--MID(AA182,FIND("-",AA182)+1,99),"")))=((AW182)-(AX182)))+2*((IFERROR(--LEFT(AA182,FIND("-",AA182)-1),""))=(AW182))+2*((IFERROR(--MID(AA182,FIND("-",AA182)+1,99),""))=(AX182))),""))</f>
        <v>0</v>
      </c>
      <c r="AC182" s="10" t="s">
        <v>37</v>
      </c>
      <c r="AD182" s="11">
        <f>IF(OR($C182="",AC182=""),"",IFERROR(IF(AND(IFERROR(--LEFT(AC182,FIND("-",AC182)-1),"")=AW182,IFERROR(--MID(AC182,FIND("-",AC182)+1,99),"")=AX182),10,5*(SIGN((IFERROR(--LEFT(AC182,FIND("-",AC182)-1),""))-(IFERROR(--MID(AC182,FIND("-",AC182)+1,99),"")))=SIGN((AW182)-(AX182)))+2*(((IFERROR(--LEFT(AC182,FIND("-",AC182)-1),""))-(IFERROR(--MID(AC182,FIND("-",AC182)+1,99),"")))=((AW182)-(AX182)))+2*((IFERROR(--LEFT(AC182,FIND("-",AC182)-1),""))=(AW182))+2*((IFERROR(--MID(AC182,FIND("-",AC182)+1,99),""))=(AX182))),""))</f>
        <v>10</v>
      </c>
      <c r="AE182" s="10" t="s">
        <v>49</v>
      </c>
      <c r="AF182" s="11">
        <f>IF(OR($C182="",AE182=""),"",IFERROR(IF(AND(IFERROR(--LEFT(AE182,FIND("-",AE182)-1),"")=AW182,IFERROR(--MID(AE182,FIND("-",AE182)+1,99),"")=AX182),10,5*(SIGN((IFERROR(--LEFT(AE182,FIND("-",AE182)-1),""))-(IFERROR(--MID(AE182,FIND("-",AE182)+1,99),"")))=SIGN((AW182)-(AX182)))+2*(((IFERROR(--LEFT(AE182,FIND("-",AE182)-1),""))-(IFERROR(--MID(AE182,FIND("-",AE182)+1,99),"")))=((AW182)-(AX182)))+2*((IFERROR(--LEFT(AE182,FIND("-",AE182)-1),""))=(AW182))+2*((IFERROR(--MID(AE182,FIND("-",AE182)+1,99),""))=(AX182))),""))</f>
        <v>2</v>
      </c>
      <c r="AG182" s="10" t="s">
        <v>45</v>
      </c>
      <c r="AH182" s="11">
        <f>IF(OR($C182="",AG182=""),"",IFERROR(IF(AND(IFERROR(--LEFT(AG182,FIND("-",AG182)-1),"")=AW182,IFERROR(--MID(AG182,FIND("-",AG182)+1,99),"")=AX182),10,5*(SIGN((IFERROR(--LEFT(AG182,FIND("-",AG182)-1),""))-(IFERROR(--MID(AG182,FIND("-",AG182)+1,99),"")))=SIGN((AW182)-(AX182)))+2*(((IFERROR(--LEFT(AG182,FIND("-",AG182)-1),""))-(IFERROR(--MID(AG182,FIND("-",AG182)+1,99),"")))=((AW182)-(AX182)))+2*((IFERROR(--LEFT(AG182,FIND("-",AG182)-1),""))=(AW182))+2*((IFERROR(--MID(AG182,FIND("-",AG182)+1,99),""))=(AX182))),""))</f>
        <v>7</v>
      </c>
      <c r="AI182" s="10" t="s">
        <v>37</v>
      </c>
      <c r="AJ182" s="11">
        <f>IF(OR($C182="",AI182=""),"",IFERROR(IF(AND(IFERROR(--LEFT(AI182,FIND("-",AI182)-1),"")=AW182,IFERROR(--MID(AI182,FIND("-",AI182)+1,99),"")=AX182),10,5*(SIGN((IFERROR(--LEFT(AI182,FIND("-",AI182)-1),""))-(IFERROR(--MID(AI182,FIND("-",AI182)+1,99),"")))=SIGN((AW182)-(AX182)))+2*(((IFERROR(--LEFT(AI182,FIND("-",AI182)-1),""))-(IFERROR(--MID(AI182,FIND("-",AI182)+1,99),"")))=((AW182)-(AX182)))+2*((IFERROR(--LEFT(AI182,FIND("-",AI182)-1),""))=(AW182))+2*((IFERROR(--MID(AI182,FIND("-",AI182)+1,99),""))=(AX182))),""))</f>
        <v>10</v>
      </c>
      <c r="AK182" s="10" t="s">
        <v>35</v>
      </c>
      <c r="AL182" s="11">
        <f>IF(OR($C182="",AK182=""),"",IFERROR(IF(AND(IFERROR(--LEFT(AK182,FIND("-",AK182)-1),"")=AW182,IFERROR(--MID(AK182,FIND("-",AK182)+1,99),"")=AX182),10,5*(SIGN((IFERROR(--LEFT(AK182,FIND("-",AK182)-1),""))-(IFERROR(--MID(AK182,FIND("-",AK182)+1,99),"")))=SIGN((AW182)-(AX182)))+2*(((IFERROR(--LEFT(AK182,FIND("-",AK182)-1),""))-(IFERROR(--MID(AK182,FIND("-",AK182)+1,99),"")))=((AW182)-(AX182)))+2*((IFERROR(--LEFT(AK182,FIND("-",AK182)-1),""))=(AW182))+2*((IFERROR(--MID(AK182,FIND("-",AK182)+1,99),""))=(AX182))),""))</f>
        <v>2</v>
      </c>
      <c r="AM182" s="10" t="s">
        <v>49</v>
      </c>
      <c r="AN182" s="11">
        <f>IF(OR($C182="",AM182=""),"",IFERROR(IF(AND(IFERROR(--LEFT(AM182,FIND("-",AM182)-1),"")=AW182,IFERROR(--MID(AM182,FIND("-",AM182)+1,99),"")=AX182),10,5*(SIGN((IFERROR(--LEFT(AM182,FIND("-",AM182)-1),""))-(IFERROR(--MID(AM182,FIND("-",AM182)+1,99),"")))=SIGN((AW182)-(AX182)))+2*(((IFERROR(--LEFT(AM182,FIND("-",AM182)-1),""))-(IFERROR(--MID(AM182,FIND("-",AM182)+1,99),"")))=((AW182)-(AX182)))+2*((IFERROR(--LEFT(AM182,FIND("-",AM182)-1),""))=(AW182))+2*((IFERROR(--MID(AM182,FIND("-",AM182)+1,99),""))=(AX182))),""))</f>
        <v>2</v>
      </c>
      <c r="AO182" s="10" t="s">
        <v>35</v>
      </c>
      <c r="AP182" s="11">
        <f>IF(OR($C182="",AO182=""),"",IFERROR(IF(AND(IFERROR(--LEFT(AO182,FIND("-",AO182)-1),"")=AW182,IFERROR(--MID(AO182,FIND("-",AO182)+1,99),"")=AX182),10,5*(SIGN((IFERROR(--LEFT(AO182,FIND("-",AO182)-1),""))-(IFERROR(--MID(AO182,FIND("-",AO182)+1,99),"")))=SIGN((AW182)-(AX182)))+2*(((IFERROR(--LEFT(AO182,FIND("-",AO182)-1),""))-(IFERROR(--MID(AO182,FIND("-",AO182)+1,99),"")))=((AW182)-(AX182)))+2*((IFERROR(--LEFT(AO182,FIND("-",AO182)-1),""))=(AW182))+2*((IFERROR(--MID(AO182,FIND("-",AO182)+1,99),""))=(AX182))),""))</f>
        <v>2</v>
      </c>
      <c r="AQ182" s="10" t="s">
        <v>37</v>
      </c>
      <c r="AR182" s="11">
        <f>IF(OR($C182="",AQ182=""),"",IFERROR(IF(AND(IFERROR(--LEFT(AQ182,FIND("-",AQ182)-1),"")=AW182,IFERROR(--MID(AQ182,FIND("-",AQ182)+1,99),"")=AX182),10,5*(SIGN((IFERROR(--LEFT(AQ182,FIND("-",AQ182)-1),""))-(IFERROR(--MID(AQ182,FIND("-",AQ182)+1,99),"")))=SIGN((AW182)-(AX182)))+2*(((IFERROR(--LEFT(AQ182,FIND("-",AQ182)-1),""))-(IFERROR(--MID(AQ182,FIND("-",AQ182)+1,99),"")))=((AW182)-(AX182)))+2*((IFERROR(--LEFT(AQ182,FIND("-",AQ182)-1),""))=(AW182))+2*((IFERROR(--MID(AQ182,FIND("-",AQ182)+1,99),""))=(AX182))),""))</f>
        <v>10</v>
      </c>
      <c r="AS182" s="10" t="s">
        <v>39</v>
      </c>
      <c r="AT182" s="11">
        <f>IF(OR($C182="",AS182=""),"",IFERROR(IF(AND(IFERROR(--LEFT(AS182,FIND("-",AS182)-1),"")=AW182,IFERROR(--MID(AS182,FIND("-",AS182)+1,99),"")=AX182),10,5*(SIGN((IFERROR(--LEFT(AS182,FIND("-",AS182)-1),""))-(IFERROR(--MID(AS182,FIND("-",AS182)+1,99),"")))=SIGN((AW182)-(AX182)))+2*(((IFERROR(--LEFT(AS182,FIND("-",AS182)-1),""))-(IFERROR(--MID(AS182,FIND("-",AS182)+1,99),"")))=((AW182)-(AX182)))+2*((IFERROR(--LEFT(AS182,FIND("-",AS182)-1),""))=(AW182))+2*((IFERROR(--MID(AS182,FIND("-",AS182)+1,99),""))=(AX182))),""))</f>
        <v>2</v>
      </c>
      <c r="AU182" s="10" t="s">
        <v>39</v>
      </c>
      <c r="AV182" s="11">
        <f>IF(OR($C182="",AU182=""),"",IFERROR(IF(AND(IFERROR(--LEFT(AU182,FIND("-",AU182)-1),"")=AW182,IFERROR(--MID(AU182,FIND("-",AU182)+1,99),"")=AX182),10,5*(SIGN((IFERROR(--LEFT(AU182,FIND("-",AU182)-1),""))-(IFERROR(--MID(AU182,FIND("-",AU182)+1,99),"")))=SIGN((AW182)-(AX182)))+2*(((IFERROR(--LEFT(AU182,FIND("-",AU182)-1),""))-(IFERROR(--MID(AU182,FIND("-",AU182)+1,99),"")))=((AW182)-(AX182)))+2*((IFERROR(--LEFT(AU182,FIND("-",AU182)-1),""))=(AW182))+2*((IFERROR(--MID(AU182,FIND("-",AU182)+1,99),""))=(AX182))),""))</f>
        <v>2</v>
      </c>
      <c r="AW182" s="11">
        <f>IF($C182="","",IFERROR(--LEFT($C182,FIND("-",$C182)-1),""))</f>
        <v>1</v>
      </c>
      <c r="AX182" s="11">
        <f>IF($C182="","",IFERROR(--MID($C182,FIND("-",$C182)+1,99),""))</f>
        <v>2</v>
      </c>
    </row>
    <row r="183" spans="1:50" ht="18" customHeight="1" x14ac:dyDescent="0.3">
      <c r="A183" s="12"/>
      <c r="B183" s="18"/>
      <c r="C183" s="13"/>
      <c r="D183" s="1"/>
      <c r="E183" s="22"/>
      <c r="F183" s="12"/>
      <c r="G183" s="22"/>
      <c r="H183" s="12"/>
      <c r="I183" s="22"/>
      <c r="J183" s="12"/>
      <c r="K183" s="22"/>
      <c r="L183" s="12"/>
      <c r="M183" s="22"/>
      <c r="N183" s="12"/>
      <c r="O183" s="22"/>
      <c r="P183" s="12"/>
      <c r="Q183" s="22"/>
      <c r="R183" s="12"/>
      <c r="S183" s="22"/>
      <c r="T183" s="12"/>
      <c r="U183" s="13"/>
      <c r="V183" s="12"/>
      <c r="W183" s="22"/>
      <c r="X183" s="12"/>
      <c r="Y183" s="22"/>
      <c r="Z183" s="12"/>
      <c r="AA183" s="22"/>
      <c r="AB183" s="12"/>
      <c r="AC183" s="22"/>
      <c r="AD183" s="12"/>
      <c r="AE183" s="22"/>
      <c r="AF183" s="12"/>
      <c r="AG183" s="22"/>
      <c r="AH183" s="12"/>
      <c r="AI183" s="22"/>
      <c r="AJ183" s="12"/>
      <c r="AK183" s="22"/>
      <c r="AL183" s="12"/>
      <c r="AM183" s="22"/>
      <c r="AN183" s="12"/>
      <c r="AO183" s="22"/>
      <c r="AP183" s="12"/>
      <c r="AQ183" s="22"/>
      <c r="AR183" s="12" t="str">
        <f>IF(OR($C183="",AQ183=""),"",IFERROR(IF(AND(IFERROR(--LEFT(AQ183,FIND("-",AQ183)-1),"")=AW183,IFERROR(--MID(AQ183,FIND("-",AQ183)+1,99),"")=AX183),10,5*(SIGN((IFERROR(--LEFT(AQ183,FIND("-",AQ183)-1),""))-(IFERROR(--MID(AQ183,FIND("-",AQ183)+1,99),"")))=SIGN((AW183)-(AX183)))+2*(((IFERROR(--LEFT(AQ183,FIND("-",AQ183)-1),""))-(IFERROR(--MID(AQ183,FIND("-",AQ183)+1,99),"")))=((AW183)-(AX183)))+2*((IFERROR(--LEFT(AQ183,FIND("-",AQ183)-1),""))=(AW183))+2*((IFERROR(--MID(AQ183,FIND("-",AQ183)+1,99),""))=(AX183))),""))</f>
        <v/>
      </c>
      <c r="AS183" s="22"/>
      <c r="AT183" s="12" t="str">
        <f>IF(OR($C183="",AS183=""),"",IFERROR(IF(AND(IFERROR(--LEFT(AS183,FIND("-",AS183)-1),"")=AW183,IFERROR(--MID(AS183,FIND("-",AS183)+1,99),"")=AX183),10,5*(SIGN((IFERROR(--LEFT(AS183,FIND("-",AS183)-1),""))-(IFERROR(--MID(AS183,FIND("-",AS183)+1,99),"")))=SIGN((AW183)-(AX183)))+2*(((IFERROR(--LEFT(AS183,FIND("-",AS183)-1),""))-(IFERROR(--MID(AS183,FIND("-",AS183)+1,99),"")))=((AW183)-(AX183)))+2*((IFERROR(--LEFT(AS183,FIND("-",AS183)-1),""))=(AW183))+2*((IFERROR(--MID(AS183,FIND("-",AS183)+1,99),""))=(AX183))),""))</f>
        <v/>
      </c>
      <c r="AU183" s="22"/>
      <c r="AV183" s="12"/>
      <c r="AW183" s="12"/>
      <c r="AX183" s="12"/>
    </row>
    <row r="184" spans="1:50" ht="18" customHeight="1" x14ac:dyDescent="0.3">
      <c r="A184" s="12"/>
      <c r="B184" s="18"/>
      <c r="C184" s="13"/>
      <c r="D184" s="1"/>
      <c r="E184" s="22"/>
      <c r="F184" s="12"/>
      <c r="G184" s="22"/>
      <c r="H184" s="12"/>
      <c r="I184" s="22"/>
      <c r="J184" s="12"/>
      <c r="K184" s="22"/>
      <c r="L184" s="12"/>
      <c r="M184" s="22"/>
      <c r="N184" s="12"/>
      <c r="O184" s="22"/>
      <c r="P184" s="12"/>
      <c r="Q184" s="22"/>
      <c r="R184" s="12"/>
      <c r="S184" s="22"/>
      <c r="T184" s="12"/>
      <c r="U184" s="13"/>
      <c r="V184" s="12"/>
      <c r="W184" s="22"/>
      <c r="X184" s="12"/>
      <c r="Y184" s="22"/>
      <c r="Z184" s="12"/>
      <c r="AA184" s="22"/>
      <c r="AB184" s="12"/>
      <c r="AC184" s="22"/>
      <c r="AD184" s="12"/>
      <c r="AE184" s="22"/>
      <c r="AF184" s="12"/>
      <c r="AG184" s="22"/>
      <c r="AH184" s="12"/>
      <c r="AI184" s="22"/>
      <c r="AJ184" s="12"/>
      <c r="AK184" s="22"/>
      <c r="AL184" s="12"/>
      <c r="AM184" s="22"/>
      <c r="AN184" s="12"/>
      <c r="AO184" s="22"/>
      <c r="AP184" s="12"/>
      <c r="AQ184" s="22"/>
      <c r="AR184" s="12" t="str">
        <f>IF(OR($C184="",AQ184=""),"",IFERROR(IF(AND(IFERROR(--LEFT(AQ184,FIND("-",AQ184)-1),"")=AW184,IFERROR(--MID(AQ184,FIND("-",AQ184)+1,99),"")=AX184),10,5*(SIGN((IFERROR(--LEFT(AQ184,FIND("-",AQ184)-1),""))-(IFERROR(--MID(AQ184,FIND("-",AQ184)+1,99),"")))=SIGN((AW184)-(AX184)))+2*(((IFERROR(--LEFT(AQ184,FIND("-",AQ184)-1),""))-(IFERROR(--MID(AQ184,FIND("-",AQ184)+1,99),"")))=((AW184)-(AX184)))+2*((IFERROR(--LEFT(AQ184,FIND("-",AQ184)-1),""))=(AW184))+2*((IFERROR(--MID(AQ184,FIND("-",AQ184)+1,99),""))=(AX184))),""))</f>
        <v/>
      </c>
      <c r="AS184" s="22"/>
      <c r="AT184" s="12" t="str">
        <f>IF(OR($C184="",AS184=""),"",IFERROR(IF(AND(IFERROR(--LEFT(AS184,FIND("-",AS184)-1),"")=AW184,IFERROR(--MID(AS184,FIND("-",AS184)+1,99),"")=AX184),10,5*(SIGN((IFERROR(--LEFT(AS184,FIND("-",AS184)-1),""))-(IFERROR(--MID(AS184,FIND("-",AS184)+1,99),"")))=SIGN((AW184)-(AX184)))+2*(((IFERROR(--LEFT(AS184,FIND("-",AS184)-1),""))-(IFERROR(--MID(AS184,FIND("-",AS184)+1,99),"")))=((AW184)-(AX184)))+2*((IFERROR(--LEFT(AS184,FIND("-",AS184)-1),""))=(AW184))+2*((IFERROR(--MID(AS184,FIND("-",AS184)+1,99),""))=(AX184))),""))</f>
        <v/>
      </c>
      <c r="AU184" s="22"/>
      <c r="AV184" s="12"/>
      <c r="AW184" s="12"/>
      <c r="AX184" s="12"/>
    </row>
    <row r="185" spans="1:50" ht="20.100000000000001" customHeight="1" x14ac:dyDescent="0.3">
      <c r="A185" s="41" t="s">
        <v>146</v>
      </c>
      <c r="B185" s="37"/>
      <c r="C185" s="38"/>
      <c r="D185" s="37"/>
      <c r="E185" s="38"/>
      <c r="F185" s="37"/>
      <c r="G185" s="38"/>
      <c r="H185" s="37"/>
      <c r="I185" s="38"/>
      <c r="J185" s="37"/>
      <c r="K185" s="38"/>
      <c r="L185" s="37"/>
      <c r="M185" s="38"/>
      <c r="N185" s="37"/>
      <c r="O185" s="38"/>
      <c r="P185" s="37"/>
      <c r="Q185" s="38"/>
      <c r="R185" s="37"/>
      <c r="S185" s="38"/>
      <c r="T185" s="37"/>
      <c r="U185" s="38"/>
      <c r="V185" s="37"/>
      <c r="W185" s="38"/>
      <c r="X185" s="37"/>
      <c r="Y185" s="38"/>
      <c r="Z185" s="37"/>
      <c r="AA185" s="38"/>
      <c r="AB185" s="37"/>
      <c r="AC185" s="38"/>
      <c r="AD185" s="37"/>
      <c r="AE185" s="38"/>
      <c r="AF185" s="37"/>
      <c r="AG185" s="38"/>
      <c r="AH185" s="37"/>
      <c r="AI185" s="38"/>
      <c r="AJ185" s="37"/>
      <c r="AK185" s="38"/>
      <c r="AL185" s="37"/>
      <c r="AM185" s="38"/>
      <c r="AN185" s="37"/>
      <c r="AO185" s="38"/>
      <c r="AP185" s="37"/>
      <c r="AQ185" s="37"/>
      <c r="AR185" s="37"/>
      <c r="AS185" s="37"/>
      <c r="AT185" s="37"/>
      <c r="AU185" s="38"/>
      <c r="AV185" s="39"/>
      <c r="AW185" s="7"/>
      <c r="AX185" s="7"/>
    </row>
    <row r="186" spans="1:50" ht="20.100000000000001" customHeight="1" x14ac:dyDescent="0.3">
      <c r="A186" s="36" t="s">
        <v>147</v>
      </c>
      <c r="B186" s="37"/>
      <c r="C186" s="38"/>
      <c r="D186" s="37"/>
      <c r="E186" s="38"/>
      <c r="F186" s="37"/>
      <c r="G186" s="38"/>
      <c r="H186" s="37"/>
      <c r="I186" s="38"/>
      <c r="J186" s="37"/>
      <c r="K186" s="38"/>
      <c r="L186" s="37"/>
      <c r="M186" s="38"/>
      <c r="N186" s="37"/>
      <c r="O186" s="38"/>
      <c r="P186" s="37"/>
      <c r="Q186" s="38"/>
      <c r="R186" s="37"/>
      <c r="S186" s="38"/>
      <c r="T186" s="37"/>
      <c r="U186" s="38"/>
      <c r="V186" s="37"/>
      <c r="W186" s="38"/>
      <c r="X186" s="37"/>
      <c r="Y186" s="38"/>
      <c r="Z186" s="37"/>
      <c r="AA186" s="38"/>
      <c r="AB186" s="37"/>
      <c r="AC186" s="38"/>
      <c r="AD186" s="37"/>
      <c r="AE186" s="38"/>
      <c r="AF186" s="37"/>
      <c r="AG186" s="38"/>
      <c r="AH186" s="37"/>
      <c r="AI186" s="38"/>
      <c r="AJ186" s="37"/>
      <c r="AK186" s="38"/>
      <c r="AL186" s="37"/>
      <c r="AM186" s="38"/>
      <c r="AN186" s="37"/>
      <c r="AO186" s="38"/>
      <c r="AP186" s="37"/>
      <c r="AQ186" s="37"/>
      <c r="AR186" s="37"/>
      <c r="AS186" s="37"/>
      <c r="AT186" s="37"/>
      <c r="AU186" s="38"/>
      <c r="AV186" s="39"/>
      <c r="AW186" s="8"/>
      <c r="AX186" s="8"/>
    </row>
    <row r="187" spans="1:50" ht="18" customHeight="1" x14ac:dyDescent="0.3">
      <c r="A187" s="9">
        <v>1.958333333333333</v>
      </c>
      <c r="B187" s="18" t="s">
        <v>89</v>
      </c>
      <c r="C187" s="10" t="s">
        <v>277</v>
      </c>
      <c r="D187" s="1" t="s">
        <v>101</v>
      </c>
      <c r="E187" s="10" t="s">
        <v>39</v>
      </c>
      <c r="F187" s="11">
        <f>IF(OR($C187="",E187=""),"",IFERROR(IF(AND(IFERROR(--LEFT(E187,FIND("-",E187)-1),"")=AW187,IFERROR(--MID(E187,FIND("-",E187)+1,99),"")=AX187),10,5*(SIGN((IFERROR(--LEFT(E187,FIND("-",E187)-1),""))-(IFERROR(--MID(E187,FIND("-",E187)+1,99),"")))=SIGN((AW187)-(AX187)))+2*(((IFERROR(--LEFT(E187,FIND("-",E187)-1),""))-(IFERROR(--MID(E187,FIND("-",E187)+1,99),"")))=((AW187)-(AX187)))+2*((IFERROR(--LEFT(E187,FIND("-",E187)-1),""))=(AW187))+2*((IFERROR(--MID(E187,FIND("-",E187)+1,99),""))=(AX187))),""))</f>
        <v>0</v>
      </c>
      <c r="G187" s="10" t="s">
        <v>33</v>
      </c>
      <c r="H187" s="11">
        <f>IF(OR($C187="",G187=""),"",IFERROR(IF(AND(IFERROR(--LEFT(G187,FIND("-",G187)-1),"")=AW187,IFERROR(--MID(G187,FIND("-",G187)+1,99),"")=AX187),10,5*(SIGN((IFERROR(--LEFT(G187,FIND("-",G187)-1),""))-(IFERROR(--MID(G187,FIND("-",G187)+1,99),"")))=SIGN((AW187)-(AX187)))+2*(((IFERROR(--LEFT(G187,FIND("-",G187)-1),""))-(IFERROR(--MID(G187,FIND("-",G187)+1,99),"")))=((AW187)-(AX187)))+2*((IFERROR(--LEFT(G187,FIND("-",G187)-1),""))=(AW187))+2*((IFERROR(--MID(G187,FIND("-",G187)+1,99),""))=(AX187))),""))</f>
        <v>0</v>
      </c>
      <c r="I187" s="10" t="s">
        <v>33</v>
      </c>
      <c r="J187" s="11">
        <f>IF(OR($C187="",I187=""),"",IFERROR(IF(AND(IFERROR(--LEFT(I187,FIND("-",I187)-1),"")=AW187,IFERROR(--MID(I187,FIND("-",I187)+1,99),"")=AX187),10,5*(SIGN((IFERROR(--LEFT(I187,FIND("-",I187)-1),""))-(IFERROR(--MID(I187,FIND("-",I187)+1,99),"")))=SIGN((AW187)-(AX187)))+2*(((IFERROR(--LEFT(I187,FIND("-",I187)-1),""))-(IFERROR(--MID(I187,FIND("-",I187)+1,99),"")))=((AW187)-(AX187)))+2*((IFERROR(--LEFT(I187,FIND("-",I187)-1),""))=(AW187))+2*((IFERROR(--MID(I187,FIND("-",I187)+1,99),""))=(AX187))),""))</f>
        <v>0</v>
      </c>
      <c r="K187" s="10" t="s">
        <v>61</v>
      </c>
      <c r="L187" s="11">
        <f>IF(OR($C187="",K187=""),"",IFERROR(IF(AND(IFERROR(--LEFT(K187,FIND("-",K187)-1),"")=AW187,IFERROR(--MID(K187,FIND("-",K187)+1,99),"")=AX187),10,5*(SIGN((IFERROR(--LEFT(K187,FIND("-",K187)-1),""))-(IFERROR(--MID(K187,FIND("-",K187)+1,99),"")))=SIGN((AW187)-(AX187)))+2*(((IFERROR(--LEFT(K187,FIND("-",K187)-1),""))-(IFERROR(--MID(K187,FIND("-",K187)+1,99),"")))=((AW187)-(AX187)))+2*((IFERROR(--LEFT(K187,FIND("-",K187)-1),""))=(AW187))+2*((IFERROR(--MID(K187,FIND("-",K187)+1,99),""))=(AX187))),""))</f>
        <v>0</v>
      </c>
      <c r="M187" s="10" t="s">
        <v>50</v>
      </c>
      <c r="N187" s="11">
        <f>IF(OR($C187="",M187=""),"",IFERROR(IF(AND(IFERROR(--LEFT(M187,FIND("-",M187)-1),"")=AW187,IFERROR(--MID(M187,FIND("-",M187)+1,99),"")=AX187),10,5*(SIGN((IFERROR(--LEFT(M187,FIND("-",M187)-1),""))-(IFERROR(--MID(M187,FIND("-",M187)+1,99),"")))=SIGN((AW187)-(AX187)))+2*(((IFERROR(--LEFT(M187,FIND("-",M187)-1),""))-(IFERROR(--MID(M187,FIND("-",M187)+1,99),"")))=((AW187)-(AX187)))+2*((IFERROR(--LEFT(M187,FIND("-",M187)-1),""))=(AW187))+2*((IFERROR(--MID(M187,FIND("-",M187)+1,99),""))=(AX187))),""))</f>
        <v>0</v>
      </c>
      <c r="O187" s="10" t="s">
        <v>36</v>
      </c>
      <c r="P187" s="11">
        <f>IF(OR($C187="",O187=""),"",IFERROR(IF(AND(IFERROR(--LEFT(O187,FIND("-",O187)-1),"")=AW187,IFERROR(--MID(O187,FIND("-",O187)+1,99),"")=AX187),10,5*(SIGN((IFERROR(--LEFT(O187,FIND("-",O187)-1),""))-(IFERROR(--MID(O187,FIND("-",O187)+1,99),"")))=SIGN((AW187)-(AX187)))+2*(((IFERROR(--LEFT(O187,FIND("-",O187)-1),""))-(IFERROR(--MID(O187,FIND("-",O187)+1,99),"")))=((AW187)-(AX187)))+2*((IFERROR(--LEFT(O187,FIND("-",O187)-1),""))=(AW187))+2*((IFERROR(--MID(O187,FIND("-",O187)+1,99),""))=(AX187))),""))</f>
        <v>0</v>
      </c>
      <c r="Q187" s="10" t="s">
        <v>61</v>
      </c>
      <c r="R187" s="11">
        <f>IF(OR($C187="",Q187=""),"",IFERROR(IF(AND(IFERROR(--LEFT(Q187,FIND("-",Q187)-1),"")=AW187,IFERROR(--MID(Q187,FIND("-",Q187)+1,99),"")=AX187),10,5*(SIGN((IFERROR(--LEFT(Q187,FIND("-",Q187)-1),""))-(IFERROR(--MID(Q187,FIND("-",Q187)+1,99),"")))=SIGN((AW187)-(AX187)))+2*(((IFERROR(--LEFT(Q187,FIND("-",Q187)-1),""))-(IFERROR(--MID(Q187,FIND("-",Q187)+1,99),"")))=((AW187)-(AX187)))+2*((IFERROR(--LEFT(Q187,FIND("-",Q187)-1),""))=(AW187))+2*((IFERROR(--MID(Q187,FIND("-",Q187)+1,99),""))=(AX187))),""))</f>
        <v>0</v>
      </c>
      <c r="S187" s="10" t="s">
        <v>39</v>
      </c>
      <c r="T187" s="11">
        <f>IF(OR($C187="",S187=""),"",IFERROR(IF(AND(IFERROR(--LEFT(S187,FIND("-",S187)-1),"")=AW187,IFERROR(--MID(S187,FIND("-",S187)+1,99),"")=AX187),10,5*(SIGN((IFERROR(--LEFT(S187,FIND("-",S187)-1),""))-(IFERROR(--MID(S187,FIND("-",S187)+1,99),"")))=SIGN((AW187)-(AX187)))+2*(((IFERROR(--LEFT(S187,FIND("-",S187)-1),""))-(IFERROR(--MID(S187,FIND("-",S187)+1,99),"")))=((AW187)-(AX187)))+2*((IFERROR(--LEFT(S187,FIND("-",S187)-1),""))=(AW187))+2*((IFERROR(--MID(S187,FIND("-",S187)+1,99),""))=(AX187))),""))</f>
        <v>0</v>
      </c>
      <c r="U187" s="10" t="s">
        <v>36</v>
      </c>
      <c r="V187" s="11">
        <f>IF(OR($C187="",U187=""),"",IFERROR(IF(AND(IFERROR(--LEFT(U187,FIND("-",U187)-1),"")=AW187,IFERROR(--MID(U187,FIND("-",U187)+1,99),"")=AX187),10,5*(SIGN((IFERROR(--LEFT(U187,FIND("-",U187)-1),""))-(IFERROR(--MID(U187,FIND("-",U187)+1,99),"")))=SIGN((AW187)-(AX187)))+2*(((IFERROR(--LEFT(U187,FIND("-",U187)-1),""))-(IFERROR(--MID(U187,FIND("-",U187)+1,99),"")))=((AW187)-(AX187)))+2*((IFERROR(--LEFT(U187,FIND("-",U187)-1),""))=(AW187))+2*((IFERROR(--MID(U187,FIND("-",U187)+1,99),""))=(AX187))),""))</f>
        <v>0</v>
      </c>
      <c r="W187" s="10" t="s">
        <v>50</v>
      </c>
      <c r="X187" s="11">
        <f>IF(OR($C187="",W187=""),"",IFERROR(IF(AND(IFERROR(--LEFT(W187,FIND("-",W187)-1),"")=AW187,IFERROR(--MID(W187,FIND("-",W187)+1,99),"")=AX187),10,5*(SIGN((IFERROR(--LEFT(W187,FIND("-",W187)-1),""))-(IFERROR(--MID(W187,FIND("-",W187)+1,99),"")))=SIGN((AW187)-(AX187)))+2*(((IFERROR(--LEFT(W187,FIND("-",W187)-1),""))-(IFERROR(--MID(W187,FIND("-",W187)+1,99),"")))=((AW187)-(AX187)))+2*((IFERROR(--LEFT(W187,FIND("-",W187)-1),""))=(AW187))+2*((IFERROR(--MID(W187,FIND("-",W187)+1,99),""))=(AX187))),""))</f>
        <v>0</v>
      </c>
      <c r="Y187" s="10" t="s">
        <v>49</v>
      </c>
      <c r="Z187" s="11">
        <f>IF(OR($C187="",Y187=""),"",IFERROR(IF(AND(IFERROR(--LEFT(Y187,FIND("-",Y187)-1),"")=AW187,IFERROR(--MID(Y187,FIND("-",Y187)+1,99),"")=AX187),10,5*(SIGN((IFERROR(--LEFT(Y187,FIND("-",Y187)-1),""))-(IFERROR(--MID(Y187,FIND("-",Y187)+1,99),"")))=SIGN((AW187)-(AX187)))+2*(((IFERROR(--LEFT(Y187,FIND("-",Y187)-1),""))-(IFERROR(--MID(Y187,FIND("-",Y187)+1,99),"")))=((AW187)-(AX187)))+2*((IFERROR(--LEFT(Y187,FIND("-",Y187)-1),""))=(AW187))+2*((IFERROR(--MID(Y187,FIND("-",Y187)+1,99),""))=(AX187))),""))</f>
        <v>0</v>
      </c>
      <c r="AA187" s="10" t="s">
        <v>33</v>
      </c>
      <c r="AB187" s="11">
        <f>IF(OR($C187="",AA187=""),"",IFERROR(IF(AND(IFERROR(--LEFT(AA187,FIND("-",AA187)-1),"")=AW187,IFERROR(--MID(AA187,FIND("-",AA187)+1,99),"")=AX187),10,5*(SIGN((IFERROR(--LEFT(AA187,FIND("-",AA187)-1),""))-(IFERROR(--MID(AA187,FIND("-",AA187)+1,99),"")))=SIGN((AW187)-(AX187)))+2*(((IFERROR(--LEFT(AA187,FIND("-",AA187)-1),""))-(IFERROR(--MID(AA187,FIND("-",AA187)+1,99),"")))=((AW187)-(AX187)))+2*((IFERROR(--LEFT(AA187,FIND("-",AA187)-1),""))=(AW187))+2*((IFERROR(--MID(AA187,FIND("-",AA187)+1,99),""))=(AX187))),""))</f>
        <v>0</v>
      </c>
      <c r="AC187" s="10" t="s">
        <v>33</v>
      </c>
      <c r="AD187" s="11">
        <f>IF(OR($C187="",AC187=""),"",IFERROR(IF(AND(IFERROR(--LEFT(AC187,FIND("-",AC187)-1),"")=AW187,IFERROR(--MID(AC187,FIND("-",AC187)+1,99),"")=AX187),10,5*(SIGN((IFERROR(--LEFT(AC187,FIND("-",AC187)-1),""))-(IFERROR(--MID(AC187,FIND("-",AC187)+1,99),"")))=SIGN((AW187)-(AX187)))+2*(((IFERROR(--LEFT(AC187,FIND("-",AC187)-1),""))-(IFERROR(--MID(AC187,FIND("-",AC187)+1,99),"")))=((AW187)-(AX187)))+2*((IFERROR(--LEFT(AC187,FIND("-",AC187)-1),""))=(AW187))+2*((IFERROR(--MID(AC187,FIND("-",AC187)+1,99),""))=(AX187))),""))</f>
        <v>0</v>
      </c>
      <c r="AE187" s="10" t="s">
        <v>61</v>
      </c>
      <c r="AF187" s="11">
        <f>IF(OR($C187="",AE187=""),"",IFERROR(IF(AND(IFERROR(--LEFT(AE187,FIND("-",AE187)-1),"")=AW187,IFERROR(--MID(AE187,FIND("-",AE187)+1,99),"")=AX187),10,5*(SIGN((IFERROR(--LEFT(AE187,FIND("-",AE187)-1),""))-(IFERROR(--MID(AE187,FIND("-",AE187)+1,99),"")))=SIGN((AW187)-(AX187)))+2*(((IFERROR(--LEFT(AE187,FIND("-",AE187)-1),""))-(IFERROR(--MID(AE187,FIND("-",AE187)+1,99),"")))=((AW187)-(AX187)))+2*((IFERROR(--LEFT(AE187,FIND("-",AE187)-1),""))=(AW187))+2*((IFERROR(--MID(AE187,FIND("-",AE187)+1,99),""))=(AX187))),""))</f>
        <v>0</v>
      </c>
      <c r="AG187" s="10" t="s">
        <v>45</v>
      </c>
      <c r="AH187" s="11">
        <f>IF(OR($C187="",AG187=""),"",IFERROR(IF(AND(IFERROR(--LEFT(AG187,FIND("-",AG187)-1),"")=AW187,IFERROR(--MID(AG187,FIND("-",AG187)+1,99),"")=AX187),10,5*(SIGN((IFERROR(--LEFT(AG187,FIND("-",AG187)-1),""))-(IFERROR(--MID(AG187,FIND("-",AG187)+1,99),"")))=SIGN((AW187)-(AX187)))+2*(((IFERROR(--LEFT(AG187,FIND("-",AG187)-1),""))-(IFERROR(--MID(AG187,FIND("-",AG187)+1,99),"")))=((AW187)-(AX187)))+2*((IFERROR(--LEFT(AG187,FIND("-",AG187)-1),""))=(AW187))+2*((IFERROR(--MID(AG187,FIND("-",AG187)+1,99),""))=(AX187))),""))</f>
        <v>5</v>
      </c>
      <c r="AI187" s="10" t="s">
        <v>50</v>
      </c>
      <c r="AJ187" s="11">
        <f>IF(OR($C187="",AI187=""),"",IFERROR(IF(AND(IFERROR(--LEFT(AI187,FIND("-",AI187)-1),"")=AW187,IFERROR(--MID(AI187,FIND("-",AI187)+1,99),"")=AX187),10,5*(SIGN((IFERROR(--LEFT(AI187,FIND("-",AI187)-1),""))-(IFERROR(--MID(AI187,FIND("-",AI187)+1,99),"")))=SIGN((AW187)-(AX187)))+2*(((IFERROR(--LEFT(AI187,FIND("-",AI187)-1),""))-(IFERROR(--MID(AI187,FIND("-",AI187)+1,99),"")))=((AW187)-(AX187)))+2*((IFERROR(--LEFT(AI187,FIND("-",AI187)-1),""))=(AW187))+2*((IFERROR(--MID(AI187,FIND("-",AI187)+1,99),""))=(AX187))),""))</f>
        <v>0</v>
      </c>
      <c r="AK187" s="10" t="s">
        <v>33</v>
      </c>
      <c r="AL187" s="11">
        <f>IF(OR($C187="",AK187=""),"",IFERROR(IF(AND(IFERROR(--LEFT(AK187,FIND("-",AK187)-1),"")=AW187,IFERROR(--MID(AK187,FIND("-",AK187)+1,99),"")=AX187),10,5*(SIGN((IFERROR(--LEFT(AK187,FIND("-",AK187)-1),""))-(IFERROR(--MID(AK187,FIND("-",AK187)+1,99),"")))=SIGN((AW187)-(AX187)))+2*(((IFERROR(--LEFT(AK187,FIND("-",AK187)-1),""))-(IFERROR(--MID(AK187,FIND("-",AK187)+1,99),"")))=((AW187)-(AX187)))+2*((IFERROR(--LEFT(AK187,FIND("-",AK187)-1),""))=(AW187))+2*((IFERROR(--MID(AK187,FIND("-",AK187)+1,99),""))=(AX187))),""))</f>
        <v>0</v>
      </c>
      <c r="AM187" s="10" t="s">
        <v>33</v>
      </c>
      <c r="AN187" s="11">
        <f>IF(OR($C187="",AM187=""),"",IFERROR(IF(AND(IFERROR(--LEFT(AM187,FIND("-",AM187)-1),"")=AW187,IFERROR(--MID(AM187,FIND("-",AM187)+1,99),"")=AX187),10,5*(SIGN((IFERROR(--LEFT(AM187,FIND("-",AM187)-1),""))-(IFERROR(--MID(AM187,FIND("-",AM187)+1,99),"")))=SIGN((AW187)-(AX187)))+2*(((IFERROR(--LEFT(AM187,FIND("-",AM187)-1),""))-(IFERROR(--MID(AM187,FIND("-",AM187)+1,99),"")))=((AW187)-(AX187)))+2*((IFERROR(--LEFT(AM187,FIND("-",AM187)-1),""))=(AW187))+2*((IFERROR(--MID(AM187,FIND("-",AM187)+1,99),""))=(AX187))),""))</f>
        <v>0</v>
      </c>
      <c r="AO187" s="10" t="s">
        <v>33</v>
      </c>
      <c r="AP187" s="11">
        <f>IF(OR($C187="",AO187=""),"",IFERROR(IF(AND(IFERROR(--LEFT(AO187,FIND("-",AO187)-1),"")=AW187,IFERROR(--MID(AO187,FIND("-",AO187)+1,99),"")=AX187),10,5*(SIGN((IFERROR(--LEFT(AO187,FIND("-",AO187)-1),""))-(IFERROR(--MID(AO187,FIND("-",AO187)+1,99),"")))=SIGN((AW187)-(AX187)))+2*(((IFERROR(--LEFT(AO187,FIND("-",AO187)-1),""))-(IFERROR(--MID(AO187,FIND("-",AO187)+1,99),"")))=((AW187)-(AX187)))+2*((IFERROR(--LEFT(AO187,FIND("-",AO187)-1),""))=(AW187))+2*((IFERROR(--MID(AO187,FIND("-",AO187)+1,99),""))=(AX187))),""))</f>
        <v>0</v>
      </c>
      <c r="AQ187" s="10" t="s">
        <v>36</v>
      </c>
      <c r="AR187" s="11">
        <f>IF(OR($C187="",AQ187=""),"",IFERROR(IF(AND(IFERROR(--LEFT(AQ187,FIND("-",AQ187)-1),"")=AW187,IFERROR(--MID(AQ187,FIND("-",AQ187)+1,99),"")=AX187),10,5*(SIGN((IFERROR(--LEFT(AQ187,FIND("-",AQ187)-1),""))-(IFERROR(--MID(AQ187,FIND("-",AQ187)+1,99),"")))=SIGN((AW187)-(AX187)))+2*(((IFERROR(--LEFT(AQ187,FIND("-",AQ187)-1),""))-(IFERROR(--MID(AQ187,FIND("-",AQ187)+1,99),"")))=((AW187)-(AX187)))+2*((IFERROR(--LEFT(AQ187,FIND("-",AQ187)-1),""))=(AW187))+2*((IFERROR(--MID(AQ187,FIND("-",AQ187)+1,99),""))=(AX187))),""))</f>
        <v>0</v>
      </c>
      <c r="AS187" s="10" t="s">
        <v>35</v>
      </c>
      <c r="AT187" s="11">
        <f>IF(OR($C187="",AS187=""),"",IFERROR(IF(AND(IFERROR(--LEFT(AS187,FIND("-",AS187)-1),"")=AW187,IFERROR(--MID(AS187,FIND("-",AS187)+1,99),"")=AX187),10,5*(SIGN((IFERROR(--LEFT(AS187,FIND("-",AS187)-1),""))-(IFERROR(--MID(AS187,FIND("-",AS187)+1,99),"")))=SIGN((AW187)-(AX187)))+2*(((IFERROR(--LEFT(AS187,FIND("-",AS187)-1),""))-(IFERROR(--MID(AS187,FIND("-",AS187)+1,99),"")))=((AW187)-(AX187)))+2*((IFERROR(--LEFT(AS187,FIND("-",AS187)-1),""))=(AW187))+2*((IFERROR(--MID(AS187,FIND("-",AS187)+1,99),""))=(AX187))),""))</f>
        <v>0</v>
      </c>
      <c r="AU187" s="10" t="s">
        <v>39</v>
      </c>
      <c r="AV187" s="11">
        <f>IF(OR($C187="",AU187=""),"",IFERROR(IF(AND(IFERROR(--LEFT(AU187,FIND("-",AU187)-1),"")=AW187,IFERROR(--MID(AU187,FIND("-",AU187)+1,99),"")=AX187),10,5*(SIGN((IFERROR(--LEFT(AU187,FIND("-",AU187)-1),""))-(IFERROR(--MID(AU187,FIND("-",AU187)+1,99),"")))=SIGN((AW187)-(AX187)))+2*(((IFERROR(--LEFT(AU187,FIND("-",AU187)-1),""))-(IFERROR(--MID(AU187,FIND("-",AU187)+1,99),"")))=((AW187)-(AX187)))+2*((IFERROR(--LEFT(AU187,FIND("-",AU187)-1),""))=(AW187))+2*((IFERROR(--MID(AU187,FIND("-",AU187)+1,99),""))=(AX187))),""))</f>
        <v>0</v>
      </c>
      <c r="AW187" s="11">
        <f>IF($C187="","",IFERROR(--LEFT($C187,FIND("-",$C187)-1),""))</f>
        <v>4</v>
      </c>
      <c r="AX187" s="11">
        <f>IF($C187="","",IFERROR(--MID($C187,FIND("-",$C187)+1,99),""))</f>
        <v>6</v>
      </c>
    </row>
    <row r="188" spans="1:50" ht="18" customHeight="1" x14ac:dyDescent="0.3">
      <c r="A188" s="12"/>
      <c r="B188" s="18"/>
      <c r="C188" s="13"/>
      <c r="D188" s="1"/>
      <c r="E188" s="22"/>
      <c r="F188" s="12"/>
      <c r="G188" s="22"/>
      <c r="H188" s="12"/>
      <c r="I188" s="22"/>
      <c r="J188" s="12"/>
      <c r="K188" s="22"/>
      <c r="L188" s="12"/>
      <c r="M188" s="22"/>
      <c r="N188" s="12"/>
      <c r="O188" s="22"/>
      <c r="P188" s="12"/>
      <c r="Q188" s="22"/>
      <c r="R188" s="12"/>
      <c r="S188" s="22"/>
      <c r="T188" s="12"/>
      <c r="U188" s="13"/>
      <c r="V188" s="12"/>
      <c r="W188" s="22"/>
      <c r="X188" s="12"/>
      <c r="Y188" s="22"/>
      <c r="Z188" s="12"/>
      <c r="AA188" s="22"/>
      <c r="AB188" s="12"/>
      <c r="AC188" s="22"/>
      <c r="AD188" s="12"/>
      <c r="AE188" s="22"/>
      <c r="AF188" s="12"/>
      <c r="AG188" s="22"/>
      <c r="AH188" s="12"/>
      <c r="AI188" s="22"/>
      <c r="AJ188" s="12"/>
      <c r="AK188" s="22"/>
      <c r="AL188" s="12"/>
      <c r="AM188" s="22"/>
      <c r="AN188" s="12"/>
      <c r="AO188" s="22"/>
      <c r="AP188" s="12"/>
      <c r="AQ188" s="22"/>
      <c r="AR188" s="12" t="str">
        <f>IF(OR($C188="",AQ188=""),"",IFERROR(IF(AND(IFERROR(--LEFT(AQ188,FIND("-",AQ188)-1),"")=AW188,IFERROR(--MID(AQ188,FIND("-",AQ188)+1,99),"")=AX188),10,5*(SIGN((IFERROR(--LEFT(AQ188,FIND("-",AQ188)-1),""))-(IFERROR(--MID(AQ188,FIND("-",AQ188)+1,99),"")))=SIGN((AW188)-(AX188)))+2*(((IFERROR(--LEFT(AQ188,FIND("-",AQ188)-1),""))-(IFERROR(--MID(AQ188,FIND("-",AQ188)+1,99),"")))=((AW188)-(AX188)))+2*((IFERROR(--LEFT(AQ188,FIND("-",AQ188)-1),""))=(AW188))+2*((IFERROR(--MID(AQ188,FIND("-",AQ188)+1,99),""))=(AX188))),""))</f>
        <v/>
      </c>
      <c r="AS188" s="22"/>
      <c r="AT188" s="12" t="str">
        <f>IF(OR($C188="",AS188=""),"",IFERROR(IF(AND(IFERROR(--LEFT(AS188,FIND("-",AS188)-1),"")=AW188,IFERROR(--MID(AS188,FIND("-",AS188)+1,99),"")=AX188),10,5*(SIGN((IFERROR(--LEFT(AS188,FIND("-",AS188)-1),""))-(IFERROR(--MID(AS188,FIND("-",AS188)+1,99),"")))=SIGN((AW188)-(AX188)))+2*(((IFERROR(--LEFT(AS188,FIND("-",AS188)-1),""))-(IFERROR(--MID(AS188,FIND("-",AS188)+1,99),"")))=((AW188)-(AX188)))+2*((IFERROR(--LEFT(AS188,FIND("-",AS188)-1),""))=(AW188))+2*((IFERROR(--MID(AS188,FIND("-",AS188)+1,99),""))=(AX188))),""))</f>
        <v/>
      </c>
      <c r="AU188" s="22"/>
      <c r="AV188" s="12"/>
      <c r="AW188" s="12"/>
      <c r="AX188" s="12"/>
    </row>
    <row r="189" spans="1:50" ht="18" customHeight="1" x14ac:dyDescent="0.3">
      <c r="A189" s="12"/>
      <c r="B189" s="18"/>
      <c r="C189" s="13"/>
      <c r="D189" s="1"/>
      <c r="E189" s="22"/>
      <c r="F189" s="12"/>
      <c r="G189" s="22"/>
      <c r="H189" s="12"/>
      <c r="I189" s="22"/>
      <c r="J189" s="12"/>
      <c r="K189" s="22"/>
      <c r="L189" s="12"/>
      <c r="M189" s="22"/>
      <c r="N189" s="12"/>
      <c r="O189" s="22"/>
      <c r="P189" s="12"/>
      <c r="Q189" s="22"/>
      <c r="R189" s="12"/>
      <c r="S189" s="22"/>
      <c r="T189" s="12"/>
      <c r="U189" s="13"/>
      <c r="V189" s="12"/>
      <c r="W189" s="22"/>
      <c r="X189" s="12"/>
      <c r="Y189" s="22"/>
      <c r="Z189" s="12"/>
      <c r="AA189" s="22"/>
      <c r="AB189" s="12"/>
      <c r="AC189" s="22"/>
      <c r="AD189" s="12"/>
      <c r="AE189" s="22"/>
      <c r="AF189" s="12"/>
      <c r="AG189" s="22"/>
      <c r="AH189" s="12"/>
      <c r="AI189" s="22"/>
      <c r="AJ189" s="12"/>
      <c r="AK189" s="22"/>
      <c r="AL189" s="12"/>
      <c r="AM189" s="22"/>
      <c r="AN189" s="12"/>
      <c r="AO189" s="22"/>
      <c r="AP189" s="12"/>
      <c r="AQ189" s="22"/>
      <c r="AR189" s="12" t="str">
        <f>IF(OR($C189="",AQ189=""),"",IFERROR(IF(AND(IFERROR(--LEFT(AQ189,FIND("-",AQ189)-1),"")=AW189,IFERROR(--MID(AQ189,FIND("-",AQ189)+1,99),"")=AX189),10,5*(SIGN((IFERROR(--LEFT(AQ189,FIND("-",AQ189)-1),""))-(IFERROR(--MID(AQ189,FIND("-",AQ189)+1,99),"")))=SIGN((AW189)-(AX189)))+2*(((IFERROR(--LEFT(AQ189,FIND("-",AQ189)-1),""))-(IFERROR(--MID(AQ189,FIND("-",AQ189)+1,99),"")))=((AW189)-(AX189)))+2*((IFERROR(--LEFT(AQ189,FIND("-",AQ189)-1),""))=(AW189))+2*((IFERROR(--MID(AQ189,FIND("-",AQ189)+1,99),""))=(AX189))),""))</f>
        <v/>
      </c>
      <c r="AS189" s="22"/>
      <c r="AT189" s="12" t="str">
        <f>IF(OR($C189="",AS189=""),"",IFERROR(IF(AND(IFERROR(--LEFT(AS189,FIND("-",AS189)-1),"")=AW189,IFERROR(--MID(AS189,FIND("-",AS189)+1,99),"")=AX189),10,5*(SIGN((IFERROR(--LEFT(AS189,FIND("-",AS189)-1),""))-(IFERROR(--MID(AS189,FIND("-",AS189)+1,99),"")))=SIGN((AW189)-(AX189)))+2*(((IFERROR(--LEFT(AS189,FIND("-",AS189)-1),""))-(IFERROR(--MID(AS189,FIND("-",AS189)+1,99),"")))=((AW189)-(AX189)))+2*((IFERROR(--LEFT(AS189,FIND("-",AS189)-1),""))=(AW189))+2*((IFERROR(--MID(AS189,FIND("-",AS189)+1,99),""))=(AX189))),""))</f>
        <v/>
      </c>
      <c r="AU189" s="22"/>
      <c r="AV189" s="12"/>
      <c r="AW189" s="12"/>
      <c r="AX189" s="12"/>
    </row>
    <row r="190" spans="1:50" ht="20.100000000000001" customHeight="1" x14ac:dyDescent="0.3">
      <c r="A190" s="41" t="s">
        <v>148</v>
      </c>
      <c r="B190" s="37"/>
      <c r="C190" s="38"/>
      <c r="D190" s="37"/>
      <c r="E190" s="38"/>
      <c r="F190" s="37"/>
      <c r="G190" s="38"/>
      <c r="H190" s="37"/>
      <c r="I190" s="38"/>
      <c r="J190" s="37"/>
      <c r="K190" s="38"/>
      <c r="L190" s="37"/>
      <c r="M190" s="38"/>
      <c r="N190" s="37"/>
      <c r="O190" s="38"/>
      <c r="P190" s="37"/>
      <c r="Q190" s="38"/>
      <c r="R190" s="37"/>
      <c r="S190" s="38"/>
      <c r="T190" s="37"/>
      <c r="U190" s="38"/>
      <c r="V190" s="37"/>
      <c r="W190" s="38"/>
      <c r="X190" s="37"/>
      <c r="Y190" s="38"/>
      <c r="Z190" s="37"/>
      <c r="AA190" s="38"/>
      <c r="AB190" s="37"/>
      <c r="AC190" s="38"/>
      <c r="AD190" s="37"/>
      <c r="AE190" s="38"/>
      <c r="AF190" s="37"/>
      <c r="AG190" s="38"/>
      <c r="AH190" s="37"/>
      <c r="AI190" s="38"/>
      <c r="AJ190" s="37"/>
      <c r="AK190" s="38"/>
      <c r="AL190" s="37"/>
      <c r="AM190" s="38"/>
      <c r="AN190" s="37"/>
      <c r="AO190" s="38"/>
      <c r="AP190" s="37"/>
      <c r="AQ190" s="37"/>
      <c r="AR190" s="37"/>
      <c r="AS190" s="37"/>
      <c r="AT190" s="37"/>
      <c r="AU190" s="38"/>
      <c r="AV190" s="39"/>
      <c r="AW190" s="7"/>
      <c r="AX190" s="7"/>
    </row>
    <row r="191" spans="1:50" ht="20.100000000000001" customHeight="1" x14ac:dyDescent="0.3">
      <c r="A191" s="36" t="s">
        <v>149</v>
      </c>
      <c r="B191" s="37"/>
      <c r="C191" s="38"/>
      <c r="D191" s="37"/>
      <c r="E191" s="38"/>
      <c r="F191" s="37"/>
      <c r="G191" s="38"/>
      <c r="H191" s="37"/>
      <c r="I191" s="38"/>
      <c r="J191" s="37"/>
      <c r="K191" s="38"/>
      <c r="L191" s="37"/>
      <c r="M191" s="38"/>
      <c r="N191" s="37"/>
      <c r="O191" s="38"/>
      <c r="P191" s="37"/>
      <c r="Q191" s="38"/>
      <c r="R191" s="37"/>
      <c r="S191" s="38"/>
      <c r="T191" s="37"/>
      <c r="U191" s="38"/>
      <c r="V191" s="37"/>
      <c r="W191" s="38"/>
      <c r="X191" s="37"/>
      <c r="Y191" s="38"/>
      <c r="Z191" s="37"/>
      <c r="AA191" s="38"/>
      <c r="AB191" s="37"/>
      <c r="AC191" s="38"/>
      <c r="AD191" s="37"/>
      <c r="AE191" s="38"/>
      <c r="AF191" s="37"/>
      <c r="AG191" s="38"/>
      <c r="AH191" s="37"/>
      <c r="AI191" s="38"/>
      <c r="AJ191" s="37"/>
      <c r="AK191" s="38"/>
      <c r="AL191" s="37"/>
      <c r="AM191" s="38"/>
      <c r="AN191" s="37"/>
      <c r="AO191" s="38"/>
      <c r="AP191" s="37"/>
      <c r="AQ191" s="37"/>
      <c r="AR191" s="37"/>
      <c r="AS191" s="37"/>
      <c r="AT191" s="37"/>
      <c r="AU191" s="38"/>
      <c r="AV191" s="39"/>
      <c r="AW191" s="8"/>
      <c r="AX191" s="8"/>
    </row>
    <row r="192" spans="1:50" ht="18" customHeight="1" x14ac:dyDescent="0.3">
      <c r="A192" s="9">
        <v>1.875</v>
      </c>
      <c r="B192" s="18" t="s">
        <v>80</v>
      </c>
      <c r="C192" s="10" t="s">
        <v>50</v>
      </c>
      <c r="D192" s="1" t="s">
        <v>95</v>
      </c>
      <c r="E192" s="10" t="s">
        <v>33</v>
      </c>
      <c r="F192" s="11">
        <f>IF(OR($C192="",E192=""),"",IFERROR(IF(AND(IFERROR(--LEFT(E192,FIND("-",E192)-1),"")=AW192,IFERROR(--MID(E192,FIND("-",E192)+1,99),"")=AX192),10,5*(SIGN((IFERROR(--LEFT(E192,FIND("-",E192)-1),""))-(IFERROR(--MID(E192,FIND("-",E192)+1,99),"")))=SIGN((AW192)-(AX192)))+2*(((IFERROR(--LEFT(E192,FIND("-",E192)-1),""))-(IFERROR(--MID(E192,FIND("-",E192)+1,99),"")))=((AW192)-(AX192)))+2*((IFERROR(--LEFT(E192,FIND("-",E192)-1),""))=(AW192))+2*((IFERROR(--MID(E192,FIND("-",E192)+1,99),""))=(AX192))),""))</f>
        <v>0</v>
      </c>
      <c r="G192" s="10" t="s">
        <v>57</v>
      </c>
      <c r="H192" s="11">
        <f>IF(OR($C192="",G192=""),"",IFERROR(IF(AND(IFERROR(--LEFT(G192,FIND("-",G192)-1),"")=AW192,IFERROR(--MID(G192,FIND("-",G192)+1,99),"")=AX192),10,5*(SIGN((IFERROR(--LEFT(G192,FIND("-",G192)-1),""))-(IFERROR(--MID(G192,FIND("-",G192)+1,99),"")))=SIGN((AW192)-(AX192)))+2*(((IFERROR(--LEFT(G192,FIND("-",G192)-1),""))-(IFERROR(--MID(G192,FIND("-",G192)+1,99),"")))=((AW192)-(AX192)))+2*((IFERROR(--LEFT(G192,FIND("-",G192)-1),""))=(AW192))+2*((IFERROR(--MID(G192,FIND("-",G192)+1,99),""))=(AX192))),""))</f>
        <v>0</v>
      </c>
      <c r="I192" s="10" t="s">
        <v>33</v>
      </c>
      <c r="J192" s="11">
        <f>IF(OR($C192="",I192=""),"",IFERROR(IF(AND(IFERROR(--LEFT(I192,FIND("-",I192)-1),"")=AW192,IFERROR(--MID(I192,FIND("-",I192)+1,99),"")=AX192),10,5*(SIGN((IFERROR(--LEFT(I192,FIND("-",I192)-1),""))-(IFERROR(--MID(I192,FIND("-",I192)+1,99),"")))=SIGN((AW192)-(AX192)))+2*(((IFERROR(--LEFT(I192,FIND("-",I192)-1),""))-(IFERROR(--MID(I192,FIND("-",I192)+1,99),"")))=((AW192)-(AX192)))+2*((IFERROR(--LEFT(I192,FIND("-",I192)-1),""))=(AW192))+2*((IFERROR(--MID(I192,FIND("-",I192)+1,99),""))=(AX192))),""))</f>
        <v>0</v>
      </c>
      <c r="K192" s="10" t="s">
        <v>33</v>
      </c>
      <c r="L192" s="11">
        <f>IF(OR($C192="",K192=""),"",IFERROR(IF(AND(IFERROR(--LEFT(K192,FIND("-",K192)-1),"")=AW192,IFERROR(--MID(K192,FIND("-",K192)+1,99),"")=AX192),10,5*(SIGN((IFERROR(--LEFT(K192,FIND("-",K192)-1),""))-(IFERROR(--MID(K192,FIND("-",K192)+1,99),"")))=SIGN((AW192)-(AX192)))+2*(((IFERROR(--LEFT(K192,FIND("-",K192)-1),""))-(IFERROR(--MID(K192,FIND("-",K192)+1,99),"")))=((AW192)-(AX192)))+2*((IFERROR(--LEFT(K192,FIND("-",K192)-1),""))=(AW192))+2*((IFERROR(--MID(K192,FIND("-",K192)+1,99),""))=(AX192))),""))</f>
        <v>0</v>
      </c>
      <c r="M192" s="10" t="s">
        <v>50</v>
      </c>
      <c r="N192" s="11">
        <f>IF(OR($C192="",M192=""),"",IFERROR(IF(AND(IFERROR(--LEFT(M192,FIND("-",M192)-1),"")=AW192,IFERROR(--MID(M192,FIND("-",M192)+1,99),"")=AX192),10,5*(SIGN((IFERROR(--LEFT(M192,FIND("-",M192)-1),""))-(IFERROR(--MID(M192,FIND("-",M192)+1,99),"")))=SIGN((AW192)-(AX192)))+2*(((IFERROR(--LEFT(M192,FIND("-",M192)-1),""))-(IFERROR(--MID(M192,FIND("-",M192)+1,99),"")))=((AW192)-(AX192)))+2*((IFERROR(--LEFT(M192,FIND("-",M192)-1),""))=(AW192))+2*((IFERROR(--MID(M192,FIND("-",M192)+1,99),""))=(AX192))),""))</f>
        <v>10</v>
      </c>
      <c r="O192" s="10" t="s">
        <v>34</v>
      </c>
      <c r="P192" s="11">
        <f>IF(OR($C192="",O192=""),"",IFERROR(IF(AND(IFERROR(--LEFT(O192,FIND("-",O192)-1),"")=AW192,IFERROR(--MID(O192,FIND("-",O192)+1,99),"")=AX192),10,5*(SIGN((IFERROR(--LEFT(O192,FIND("-",O192)-1),""))-(IFERROR(--MID(O192,FIND("-",O192)+1,99),"")))=SIGN((AW192)-(AX192)))+2*(((IFERROR(--LEFT(O192,FIND("-",O192)-1),""))-(IFERROR(--MID(O192,FIND("-",O192)+1,99),"")))=((AW192)-(AX192)))+2*((IFERROR(--LEFT(O192,FIND("-",O192)-1),""))=(AW192))+2*((IFERROR(--MID(O192,FIND("-",O192)+1,99),""))=(AX192))),""))</f>
        <v>0</v>
      </c>
      <c r="Q192" s="10" t="s">
        <v>35</v>
      </c>
      <c r="R192" s="11">
        <f>IF(OR($C192="",Q192=""),"",IFERROR(IF(AND(IFERROR(--LEFT(Q192,FIND("-",Q192)-1),"")=AW192,IFERROR(--MID(Q192,FIND("-",Q192)+1,99),"")=AX192),10,5*(SIGN((IFERROR(--LEFT(Q192,FIND("-",Q192)-1),""))-(IFERROR(--MID(Q192,FIND("-",Q192)+1,99),"")))=SIGN((AW192)-(AX192)))+2*(((IFERROR(--LEFT(Q192,FIND("-",Q192)-1),""))-(IFERROR(--MID(Q192,FIND("-",Q192)+1,99),"")))=((AW192)-(AX192)))+2*((IFERROR(--LEFT(Q192,FIND("-",Q192)-1),""))=(AW192))+2*((IFERROR(--MID(Q192,FIND("-",Q192)+1,99),""))=(AX192))),""))</f>
        <v>7</v>
      </c>
      <c r="S192" s="10" t="s">
        <v>35</v>
      </c>
      <c r="T192" s="11">
        <f>IF(OR($C192="",S192=""),"",IFERROR(IF(AND(IFERROR(--LEFT(S192,FIND("-",S192)-1),"")=AW192,IFERROR(--MID(S192,FIND("-",S192)+1,99),"")=AX192),10,5*(SIGN((IFERROR(--LEFT(S192,FIND("-",S192)-1),""))-(IFERROR(--MID(S192,FIND("-",S192)+1,99),"")))=SIGN((AW192)-(AX192)))+2*(((IFERROR(--LEFT(S192,FIND("-",S192)-1),""))-(IFERROR(--MID(S192,FIND("-",S192)+1,99),"")))=((AW192)-(AX192)))+2*((IFERROR(--LEFT(S192,FIND("-",S192)-1),""))=(AW192))+2*((IFERROR(--MID(S192,FIND("-",S192)+1,99),""))=(AX192))),""))</f>
        <v>7</v>
      </c>
      <c r="U192" s="10" t="s">
        <v>33</v>
      </c>
      <c r="V192" s="11">
        <f>IF(OR($C192="",U192=""),"",IFERROR(IF(AND(IFERROR(--LEFT(U192,FIND("-",U192)-1),"")=AW192,IFERROR(--MID(U192,FIND("-",U192)+1,99),"")=AX192),10,5*(SIGN((IFERROR(--LEFT(U192,FIND("-",U192)-1),""))-(IFERROR(--MID(U192,FIND("-",U192)+1,99),"")))=SIGN((AW192)-(AX192)))+2*(((IFERROR(--LEFT(U192,FIND("-",U192)-1),""))-(IFERROR(--MID(U192,FIND("-",U192)+1,99),"")))=((AW192)-(AX192)))+2*((IFERROR(--LEFT(U192,FIND("-",U192)-1),""))=(AW192))+2*((IFERROR(--MID(U192,FIND("-",U192)+1,99),""))=(AX192))),""))</f>
        <v>0</v>
      </c>
      <c r="W192" s="10" t="s">
        <v>33</v>
      </c>
      <c r="X192" s="11">
        <f>IF(OR($C192="",W192=""),"",IFERROR(IF(AND(IFERROR(--LEFT(W192,FIND("-",W192)-1),"")=AW192,IFERROR(--MID(W192,FIND("-",W192)+1,99),"")=AX192),10,5*(SIGN((IFERROR(--LEFT(W192,FIND("-",W192)-1),""))-(IFERROR(--MID(W192,FIND("-",W192)+1,99),"")))=SIGN((AW192)-(AX192)))+2*(((IFERROR(--LEFT(W192,FIND("-",W192)-1),""))-(IFERROR(--MID(W192,FIND("-",W192)+1,99),"")))=((AW192)-(AX192)))+2*((IFERROR(--LEFT(W192,FIND("-",W192)-1),""))=(AW192))+2*((IFERROR(--MID(W192,FIND("-",W192)+1,99),""))=(AX192))),""))</f>
        <v>0</v>
      </c>
      <c r="Y192" s="10" t="s">
        <v>63</v>
      </c>
      <c r="Z192" s="11">
        <f>IF(OR($C192="",Y192=""),"",IFERROR(IF(AND(IFERROR(--LEFT(Y192,FIND("-",Y192)-1),"")=AW192,IFERROR(--MID(Y192,FIND("-",Y192)+1,99),"")=AX192),10,5*(SIGN((IFERROR(--LEFT(Y192,FIND("-",Y192)-1),""))-(IFERROR(--MID(Y192,FIND("-",Y192)+1,99),"")))=SIGN((AW192)-(AX192)))+2*(((IFERROR(--LEFT(Y192,FIND("-",Y192)-1),""))-(IFERROR(--MID(Y192,FIND("-",Y192)+1,99),"")))=((AW192)-(AX192)))+2*((IFERROR(--LEFT(Y192,FIND("-",Y192)-1),""))=(AW192))+2*((IFERROR(--MID(Y192,FIND("-",Y192)+1,99),""))=(AX192))),""))</f>
        <v>2</v>
      </c>
      <c r="AA192" s="10" t="s">
        <v>33</v>
      </c>
      <c r="AB192" s="11">
        <f>IF(OR($C192="",AA192=""),"",IFERROR(IF(AND(IFERROR(--LEFT(AA192,FIND("-",AA192)-1),"")=AW192,IFERROR(--MID(AA192,FIND("-",AA192)+1,99),"")=AX192),10,5*(SIGN((IFERROR(--LEFT(AA192,FIND("-",AA192)-1),""))-(IFERROR(--MID(AA192,FIND("-",AA192)+1,99),"")))=SIGN((AW192)-(AX192)))+2*(((IFERROR(--LEFT(AA192,FIND("-",AA192)-1),""))-(IFERROR(--MID(AA192,FIND("-",AA192)+1,99),"")))=((AW192)-(AX192)))+2*((IFERROR(--LEFT(AA192,FIND("-",AA192)-1),""))=(AW192))+2*((IFERROR(--MID(AA192,FIND("-",AA192)+1,99),""))=(AX192))),""))</f>
        <v>0</v>
      </c>
      <c r="AC192" s="10" t="s">
        <v>34</v>
      </c>
      <c r="AD192" s="11">
        <f>IF(OR($C192="",AC192=""),"",IFERROR(IF(AND(IFERROR(--LEFT(AC192,FIND("-",AC192)-1),"")=AW192,IFERROR(--MID(AC192,FIND("-",AC192)+1,99),"")=AX192),10,5*(SIGN((IFERROR(--LEFT(AC192,FIND("-",AC192)-1),""))-(IFERROR(--MID(AC192,FIND("-",AC192)+1,99),"")))=SIGN((AW192)-(AX192)))+2*(((IFERROR(--LEFT(AC192,FIND("-",AC192)-1),""))-(IFERROR(--MID(AC192,FIND("-",AC192)+1,99),"")))=((AW192)-(AX192)))+2*((IFERROR(--LEFT(AC192,FIND("-",AC192)-1),""))=(AW192))+2*((IFERROR(--MID(AC192,FIND("-",AC192)+1,99),""))=(AX192))),""))</f>
        <v>0</v>
      </c>
      <c r="AE192" s="10" t="s">
        <v>35</v>
      </c>
      <c r="AF192" s="11">
        <f>IF(OR($C192="",AE192=""),"",IFERROR(IF(AND(IFERROR(--LEFT(AE192,FIND("-",AE192)-1),"")=AW192,IFERROR(--MID(AE192,FIND("-",AE192)+1,99),"")=AX192),10,5*(SIGN((IFERROR(--LEFT(AE192,FIND("-",AE192)-1),""))-(IFERROR(--MID(AE192,FIND("-",AE192)+1,99),"")))=SIGN((AW192)-(AX192)))+2*(((IFERROR(--LEFT(AE192,FIND("-",AE192)-1),""))-(IFERROR(--MID(AE192,FIND("-",AE192)+1,99),"")))=((AW192)-(AX192)))+2*((IFERROR(--LEFT(AE192,FIND("-",AE192)-1),""))=(AW192))+2*((IFERROR(--MID(AE192,FIND("-",AE192)+1,99),""))=(AX192))),""))</f>
        <v>7</v>
      </c>
      <c r="AG192" s="10" t="s">
        <v>36</v>
      </c>
      <c r="AH192" s="11">
        <f>IF(OR($C192="",AG192=""),"",IFERROR(IF(AND(IFERROR(--LEFT(AG192,FIND("-",AG192)-1),"")=AW192,IFERROR(--MID(AG192,FIND("-",AG192)+1,99),"")=AX192),10,5*(SIGN((IFERROR(--LEFT(AG192,FIND("-",AG192)-1),""))-(IFERROR(--MID(AG192,FIND("-",AG192)+1,99),"")))=SIGN((AW192)-(AX192)))+2*(((IFERROR(--LEFT(AG192,FIND("-",AG192)-1),""))-(IFERROR(--MID(AG192,FIND("-",AG192)+1,99),"")))=((AW192)-(AX192)))+2*((IFERROR(--LEFT(AG192,FIND("-",AG192)-1),""))=(AW192))+2*((IFERROR(--MID(AG192,FIND("-",AG192)+1,99),""))=(AX192))),""))</f>
        <v>2</v>
      </c>
      <c r="AI192" s="10" t="s">
        <v>50</v>
      </c>
      <c r="AJ192" s="11">
        <f>IF(OR($C192="",AI192=""),"",IFERROR(IF(AND(IFERROR(--LEFT(AI192,FIND("-",AI192)-1),"")=AW192,IFERROR(--MID(AI192,FIND("-",AI192)+1,99),"")=AX192),10,5*(SIGN((IFERROR(--LEFT(AI192,FIND("-",AI192)-1),""))-(IFERROR(--MID(AI192,FIND("-",AI192)+1,99),"")))=SIGN((AW192)-(AX192)))+2*(((IFERROR(--LEFT(AI192,FIND("-",AI192)-1),""))-(IFERROR(--MID(AI192,FIND("-",AI192)+1,99),"")))=((AW192)-(AX192)))+2*((IFERROR(--LEFT(AI192,FIND("-",AI192)-1),""))=(AW192))+2*((IFERROR(--MID(AI192,FIND("-",AI192)+1,99),""))=(AX192))),""))</f>
        <v>10</v>
      </c>
      <c r="AK192" s="10" t="s">
        <v>35</v>
      </c>
      <c r="AL192" s="11">
        <f>IF(OR($C192="",AK192=""),"",IFERROR(IF(AND(IFERROR(--LEFT(AK192,FIND("-",AK192)-1),"")=AW192,IFERROR(--MID(AK192,FIND("-",AK192)+1,99),"")=AX192),10,5*(SIGN((IFERROR(--LEFT(AK192,FIND("-",AK192)-1),""))-(IFERROR(--MID(AK192,FIND("-",AK192)+1,99),"")))=SIGN((AW192)-(AX192)))+2*(((IFERROR(--LEFT(AK192,FIND("-",AK192)-1),""))-(IFERROR(--MID(AK192,FIND("-",AK192)+1,99),"")))=((AW192)-(AX192)))+2*((IFERROR(--LEFT(AK192,FIND("-",AK192)-1),""))=(AW192))+2*((IFERROR(--MID(AK192,FIND("-",AK192)+1,99),""))=(AX192))),""))</f>
        <v>7</v>
      </c>
      <c r="AM192" s="10" t="s">
        <v>61</v>
      </c>
      <c r="AN192" s="11">
        <f>IF(OR($C192="",AM192=""),"",IFERROR(IF(AND(IFERROR(--LEFT(AM192,FIND("-",AM192)-1),"")=AW192,IFERROR(--MID(AM192,FIND("-",AM192)+1,99),"")=AX192),10,5*(SIGN((IFERROR(--LEFT(AM192,FIND("-",AM192)-1),""))-(IFERROR(--MID(AM192,FIND("-",AM192)+1,99),"")))=SIGN((AW192)-(AX192)))+2*(((IFERROR(--LEFT(AM192,FIND("-",AM192)-1),""))-(IFERROR(--MID(AM192,FIND("-",AM192)+1,99),"")))=((AW192)-(AX192)))+2*((IFERROR(--LEFT(AM192,FIND("-",AM192)-1),""))=(AW192))+2*((IFERROR(--MID(AM192,FIND("-",AM192)+1,99),""))=(AX192))),""))</f>
        <v>0</v>
      </c>
      <c r="AO192" s="10" t="s">
        <v>33</v>
      </c>
      <c r="AP192" s="11">
        <f>IF(OR($C192="",AO192=""),"",IFERROR(IF(AND(IFERROR(--LEFT(AO192,FIND("-",AO192)-1),"")=AW192,IFERROR(--MID(AO192,FIND("-",AO192)+1,99),"")=AX192),10,5*(SIGN((IFERROR(--LEFT(AO192,FIND("-",AO192)-1),""))-(IFERROR(--MID(AO192,FIND("-",AO192)+1,99),"")))=SIGN((AW192)-(AX192)))+2*(((IFERROR(--LEFT(AO192,FIND("-",AO192)-1),""))-(IFERROR(--MID(AO192,FIND("-",AO192)+1,99),"")))=((AW192)-(AX192)))+2*((IFERROR(--LEFT(AO192,FIND("-",AO192)-1),""))=(AW192))+2*((IFERROR(--MID(AO192,FIND("-",AO192)+1,99),""))=(AX192))),""))</f>
        <v>0</v>
      </c>
      <c r="AQ192" s="10" t="s">
        <v>45</v>
      </c>
      <c r="AR192" s="11">
        <f>IF(OR($C192="",AQ192=""),"",IFERROR(IF(AND(IFERROR(--LEFT(AQ192,FIND("-",AQ192)-1),"")=AW192,IFERROR(--MID(AQ192,FIND("-",AQ192)+1,99),"")=AX192),10,5*(SIGN((IFERROR(--LEFT(AQ192,FIND("-",AQ192)-1),""))-(IFERROR(--MID(AQ192,FIND("-",AQ192)+1,99),"")))=SIGN((AW192)-(AX192)))+2*(((IFERROR(--LEFT(AQ192,FIND("-",AQ192)-1),""))-(IFERROR(--MID(AQ192,FIND("-",AQ192)+1,99),"")))=((AW192)-(AX192)))+2*((IFERROR(--LEFT(AQ192,FIND("-",AQ192)-1),""))=(AW192))+2*((IFERROR(--MID(AQ192,FIND("-",AQ192)+1,99),""))=(AX192))),""))</f>
        <v>2</v>
      </c>
      <c r="AS192" s="10" t="s">
        <v>35</v>
      </c>
      <c r="AT192" s="11">
        <f>IF(OR($C192="",AS192=""),"",IFERROR(IF(AND(IFERROR(--LEFT(AS192,FIND("-",AS192)-1),"")=AW192,IFERROR(--MID(AS192,FIND("-",AS192)+1,99),"")=AX192),10,5*(SIGN((IFERROR(--LEFT(AS192,FIND("-",AS192)-1),""))-(IFERROR(--MID(AS192,FIND("-",AS192)+1,99),"")))=SIGN((AW192)-(AX192)))+2*(((IFERROR(--LEFT(AS192,FIND("-",AS192)-1),""))-(IFERROR(--MID(AS192,FIND("-",AS192)+1,99),"")))=((AW192)-(AX192)))+2*((IFERROR(--LEFT(AS192,FIND("-",AS192)-1),""))=(AW192))+2*((IFERROR(--MID(AS192,FIND("-",AS192)+1,99),""))=(AX192))),""))</f>
        <v>7</v>
      </c>
      <c r="AU192" s="10" t="s">
        <v>39</v>
      </c>
      <c r="AV192" s="11">
        <f>IF(OR($C192="",AU192=""),"",IFERROR(IF(AND(IFERROR(--LEFT(AU192,FIND("-",AU192)-1),"")=AW192,IFERROR(--MID(AU192,FIND("-",AU192)+1,99),"")=AX192),10,5*(SIGN((IFERROR(--LEFT(AU192,FIND("-",AU192)-1),""))-(IFERROR(--MID(AU192,FIND("-",AU192)+1,99),"")))=SIGN((AW192)-(AX192)))+2*(((IFERROR(--LEFT(AU192,FIND("-",AU192)-1),""))-(IFERROR(--MID(AU192,FIND("-",AU192)+1,99),"")))=((AW192)-(AX192)))+2*((IFERROR(--LEFT(AU192,FIND("-",AU192)-1),""))=(AW192))+2*((IFERROR(--MID(AU192,FIND("-",AU192)+1,99),""))=(AX192))),""))</f>
        <v>2</v>
      </c>
      <c r="AW192" s="11">
        <f>IF($C192="","",IFERROR(--LEFT($C192,FIND("-",$C192)-1),""))</f>
        <v>0</v>
      </c>
      <c r="AX192" s="11">
        <f>IF($C192="","",IFERROR(--MID($C192,FIND("-",$C192)+1,99),""))</f>
        <v>0</v>
      </c>
    </row>
    <row r="193" spans="1:50" ht="18" customHeight="1" x14ac:dyDescent="0.3">
      <c r="A193" s="12"/>
      <c r="B193" s="18"/>
      <c r="C193" s="13"/>
      <c r="D193" s="1"/>
      <c r="E193" s="22"/>
      <c r="F193" s="12"/>
      <c r="G193" s="22"/>
      <c r="H193" s="12"/>
      <c r="I193" s="22"/>
      <c r="J193" s="12"/>
      <c r="K193" s="22"/>
      <c r="L193" s="12"/>
      <c r="M193" s="22"/>
      <c r="N193" s="12"/>
      <c r="O193" s="22"/>
      <c r="P193" s="12"/>
      <c r="Q193" s="22"/>
      <c r="R193" s="12"/>
      <c r="S193" s="22"/>
      <c r="T193" s="12"/>
      <c r="U193" s="13"/>
      <c r="V193" s="12"/>
      <c r="W193" s="22"/>
      <c r="X193" s="12"/>
      <c r="Y193" s="22"/>
      <c r="Z193" s="12"/>
      <c r="AA193" s="22"/>
      <c r="AB193" s="12"/>
      <c r="AC193" s="22"/>
      <c r="AD193" s="12"/>
      <c r="AE193" s="22"/>
      <c r="AF193" s="12"/>
      <c r="AG193" s="22"/>
      <c r="AH193" s="12"/>
      <c r="AI193" s="22"/>
      <c r="AJ193" s="12"/>
      <c r="AK193" s="22"/>
      <c r="AL193" s="12"/>
      <c r="AM193" s="22"/>
      <c r="AN193" s="12"/>
      <c r="AO193" s="22"/>
      <c r="AP193" s="12"/>
      <c r="AQ193" s="22"/>
      <c r="AR193" s="12" t="str">
        <f>IF(OR($C193="",AQ193=""),"",IFERROR(IF(AND(IFERROR(--LEFT(AQ193,FIND("-",AQ193)-1),"")=AW193,IFERROR(--MID(AQ193,FIND("-",AQ193)+1,99),"")=AX193),10,5*(SIGN((IFERROR(--LEFT(AQ193,FIND("-",AQ193)-1),""))-(IFERROR(--MID(AQ193,FIND("-",AQ193)+1,99),"")))=SIGN((AW193)-(AX193)))+2*(((IFERROR(--LEFT(AQ193,FIND("-",AQ193)-1),""))-(IFERROR(--MID(AQ193,FIND("-",AQ193)+1,99),"")))=((AW193)-(AX193)))+2*((IFERROR(--LEFT(AQ193,FIND("-",AQ193)-1),""))=(AW193))+2*((IFERROR(--MID(AQ193,FIND("-",AQ193)+1,99),""))=(AX193))),""))</f>
        <v/>
      </c>
      <c r="AS193" s="22"/>
      <c r="AT193" s="12" t="str">
        <f>IF(OR($C193="",AS193=""),"",IFERROR(IF(AND(IFERROR(--LEFT(AS193,FIND("-",AS193)-1),"")=AW193,IFERROR(--MID(AS193,FIND("-",AS193)+1,99),"")=AX193),10,5*(SIGN((IFERROR(--LEFT(AS193,FIND("-",AS193)-1),""))-(IFERROR(--MID(AS193,FIND("-",AS193)+1,99),"")))=SIGN((AW193)-(AX193)))+2*(((IFERROR(--LEFT(AS193,FIND("-",AS193)-1),""))-(IFERROR(--MID(AS193,FIND("-",AS193)+1,99),"")))=((AW193)-(AX193)))+2*((IFERROR(--LEFT(AS193,FIND("-",AS193)-1),""))=(AW193))+2*((IFERROR(--MID(AS193,FIND("-",AS193)+1,99),""))=(AX193))),""))</f>
        <v/>
      </c>
      <c r="AU193" s="22"/>
      <c r="AV193" s="12"/>
      <c r="AW193" s="12"/>
      <c r="AX193" s="12"/>
    </row>
    <row r="194" spans="1:50" ht="18" customHeight="1" x14ac:dyDescent="0.3">
      <c r="A194" s="12"/>
      <c r="B194" s="18"/>
      <c r="C194" s="13"/>
      <c r="D194" s="1"/>
      <c r="E194" s="22"/>
      <c r="F194" s="12"/>
      <c r="G194" s="22"/>
      <c r="H194" s="12"/>
      <c r="I194" s="22"/>
      <c r="J194" s="12"/>
      <c r="K194" s="22"/>
      <c r="L194" s="12"/>
      <c r="M194" s="22"/>
      <c r="N194" s="12"/>
      <c r="O194" s="22"/>
      <c r="P194" s="12"/>
      <c r="Q194" s="22"/>
      <c r="R194" s="12"/>
      <c r="S194" s="22"/>
      <c r="T194" s="12"/>
      <c r="U194" s="13"/>
      <c r="V194" s="12"/>
      <c r="W194" s="22"/>
      <c r="X194" s="12"/>
      <c r="Y194" s="22"/>
      <c r="Z194" s="12"/>
      <c r="AA194" s="22"/>
      <c r="AB194" s="12"/>
      <c r="AC194" s="22"/>
      <c r="AD194" s="12"/>
      <c r="AE194" s="22"/>
      <c r="AF194" s="12"/>
      <c r="AG194" s="22"/>
      <c r="AH194" s="12"/>
      <c r="AI194" s="22"/>
      <c r="AJ194" s="12"/>
      <c r="AK194" s="22"/>
      <c r="AL194" s="12"/>
      <c r="AM194" s="22"/>
      <c r="AN194" s="12"/>
      <c r="AO194" s="22"/>
      <c r="AP194" s="12"/>
      <c r="AQ194" s="22"/>
      <c r="AR194" s="12" t="str">
        <f>IF(OR($C194="",AQ194=""),"",IFERROR(IF(AND(IFERROR(--LEFT(AQ194,FIND("-",AQ194)-1),"")=AW194,IFERROR(--MID(AQ194,FIND("-",AQ194)+1,99),"")=AX194),10,5*(SIGN((IFERROR(--LEFT(AQ194,FIND("-",AQ194)-1),""))-(IFERROR(--MID(AQ194,FIND("-",AQ194)+1,99),"")))=SIGN((AW194)-(AX194)))+2*(((IFERROR(--LEFT(AQ194,FIND("-",AQ194)-1),""))-(IFERROR(--MID(AQ194,FIND("-",AQ194)+1,99),"")))=((AW194)-(AX194)))+2*((IFERROR(--LEFT(AQ194,FIND("-",AQ194)-1),""))=(AW194))+2*((IFERROR(--MID(AQ194,FIND("-",AQ194)+1,99),""))=(AX194))),""))</f>
        <v/>
      </c>
      <c r="AS194" s="22"/>
      <c r="AT194" s="12" t="str">
        <f>IF(OR($C194="",AS194=""),"",IFERROR(IF(AND(IFERROR(--LEFT(AS194,FIND("-",AS194)-1),"")=AW194,IFERROR(--MID(AS194,FIND("-",AS194)+1,99),"")=AX194),10,5*(SIGN((IFERROR(--LEFT(AS194,FIND("-",AS194)-1),""))-(IFERROR(--MID(AS194,FIND("-",AS194)+1,99),"")))=SIGN((AW194)-(AX194)))+2*(((IFERROR(--LEFT(AS194,FIND("-",AS194)-1),""))-(IFERROR(--MID(AS194,FIND("-",AS194)+1,99),"")))=((AW194)-(AX194)))+2*((IFERROR(--LEFT(AS194,FIND("-",AS194)-1),""))=(AW194))+2*((IFERROR(--MID(AS194,FIND("-",AS194)+1,99),""))=(AX194))),""))</f>
        <v/>
      </c>
      <c r="AU194" s="22"/>
      <c r="AV194" s="12"/>
      <c r="AW194" s="12"/>
      <c r="AX194" s="12"/>
    </row>
  </sheetData>
  <autoFilter ref="A1:AX194" xr:uid="{00000000-0001-0000-0000-000000000000}"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  <filterColumn colId="34" showButton="0"/>
    <filterColumn colId="36" showButton="0"/>
    <filterColumn colId="38" showButton="0"/>
    <filterColumn colId="40" showButton="0"/>
    <filterColumn colId="42" showButton="0"/>
    <filterColumn colId="44" showButton="0"/>
    <filterColumn colId="46" showButton="0"/>
  </autoFilter>
  <mergeCells count="70">
    <mergeCell ref="A64:AV64"/>
    <mergeCell ref="A178:AV178"/>
    <mergeCell ref="A82:AV82"/>
    <mergeCell ref="A4:AV4"/>
    <mergeCell ref="AE1:AF1"/>
    <mergeCell ref="W1:X1"/>
    <mergeCell ref="AI1:AJ1"/>
    <mergeCell ref="Y1:Z1"/>
    <mergeCell ref="AK1:AL1"/>
    <mergeCell ref="U1:V1"/>
    <mergeCell ref="AG1:AH1"/>
    <mergeCell ref="AM1:AN1"/>
    <mergeCell ref="A3:AV3"/>
    <mergeCell ref="AO1:AP1"/>
    <mergeCell ref="B1:B2"/>
    <mergeCell ref="A51:AV51"/>
    <mergeCell ref="A58:AV58"/>
    <mergeCell ref="A7:AV7"/>
    <mergeCell ref="K1:L1"/>
    <mergeCell ref="A191:AV191"/>
    <mergeCell ref="A145:AV145"/>
    <mergeCell ref="A163:AV163"/>
    <mergeCell ref="A173:AV173"/>
    <mergeCell ref="A114:AV114"/>
    <mergeCell ref="A186:AV186"/>
    <mergeCell ref="A167:AV167"/>
    <mergeCell ref="A157:AV157"/>
    <mergeCell ref="A181:AV181"/>
    <mergeCell ref="A126:AV126"/>
    <mergeCell ref="A140:AV140"/>
    <mergeCell ref="A131:AV131"/>
    <mergeCell ref="A190:AV190"/>
    <mergeCell ref="A185:AV185"/>
    <mergeCell ref="S1:T1"/>
    <mergeCell ref="I1:J1"/>
    <mergeCell ref="O1:P1"/>
    <mergeCell ref="C1:C2"/>
    <mergeCell ref="E1:F1"/>
    <mergeCell ref="A170:AV170"/>
    <mergeCell ref="A46:AV46"/>
    <mergeCell ref="M1:N1"/>
    <mergeCell ref="A33:AV33"/>
    <mergeCell ref="A15:AV15"/>
    <mergeCell ref="AS1:AT1"/>
    <mergeCell ref="A40:AV40"/>
    <mergeCell ref="A28:AV28"/>
    <mergeCell ref="AA1:AB1"/>
    <mergeCell ref="D1:D2"/>
    <mergeCell ref="A11:AV11"/>
    <mergeCell ref="AU1:AV1"/>
    <mergeCell ref="AC1:AD1"/>
    <mergeCell ref="Q1:R1"/>
    <mergeCell ref="G1:H1"/>
    <mergeCell ref="A1:A2"/>
    <mergeCell ref="A22:AV22"/>
    <mergeCell ref="AQ1:AR1"/>
    <mergeCell ref="A70:AV70"/>
    <mergeCell ref="A153:AV153"/>
    <mergeCell ref="A177:AV177"/>
    <mergeCell ref="A113:AV113"/>
    <mergeCell ref="A117:AV117"/>
    <mergeCell ref="A146:AV146"/>
    <mergeCell ref="A76:AV76"/>
    <mergeCell ref="A164:AV164"/>
    <mergeCell ref="A106:AV106"/>
    <mergeCell ref="A150:AV150"/>
    <mergeCell ref="A90:AV90"/>
    <mergeCell ref="A98:AV98"/>
    <mergeCell ref="A121:AV121"/>
    <mergeCell ref="A135:AV135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O25" sqref="AO25"/>
    </sheetView>
  </sheetViews>
  <sheetFormatPr defaultRowHeight="14.4" x14ac:dyDescent="0.3"/>
  <cols>
    <col min="1" max="1" width="4" customWidth="1"/>
    <col min="2" max="2" width="75.33203125" customWidth="1"/>
    <col min="3" max="3" width="28" customWidth="1"/>
    <col min="4" max="4" width="12.5546875" style="23" customWidth="1"/>
    <col min="5" max="5" width="10.5546875" customWidth="1"/>
    <col min="6" max="6" width="12.5546875" customWidth="1"/>
    <col min="7" max="7" width="10.5546875" customWidth="1"/>
    <col min="8" max="8" width="12.5546875" customWidth="1"/>
    <col min="9" max="9" width="10.5546875" customWidth="1"/>
    <col min="10" max="10" width="12.5546875" customWidth="1"/>
    <col min="11" max="11" width="10.5546875" customWidth="1"/>
    <col min="12" max="12" width="12.5546875" customWidth="1"/>
    <col min="13" max="13" width="10.5546875" customWidth="1"/>
    <col min="14" max="14" width="12.5546875" style="23" customWidth="1"/>
    <col min="15" max="15" width="10.5546875" customWidth="1"/>
    <col min="16" max="16" width="12.5546875" style="23" customWidth="1"/>
    <col min="17" max="17" width="10.5546875" customWidth="1"/>
    <col min="18" max="18" width="12.5546875" style="23" customWidth="1"/>
    <col min="19" max="19" width="10.5546875" customWidth="1"/>
    <col min="20" max="20" width="12.5546875" customWidth="1"/>
    <col min="21" max="21" width="10.5546875" customWidth="1"/>
    <col min="22" max="22" width="12.5546875" style="23" customWidth="1"/>
    <col min="23" max="23" width="10.5546875" customWidth="1"/>
    <col min="24" max="24" width="12.5546875" style="23" customWidth="1"/>
    <col min="25" max="25" width="10.5546875" customWidth="1"/>
    <col min="26" max="26" width="12.5546875" style="23" customWidth="1"/>
    <col min="27" max="27" width="10.5546875" customWidth="1"/>
    <col min="28" max="28" width="12.5546875" style="23" customWidth="1"/>
    <col min="29" max="29" width="10.5546875" customWidth="1"/>
    <col min="30" max="30" width="12.5546875" style="23" customWidth="1"/>
    <col min="31" max="31" width="10.5546875" customWidth="1"/>
    <col min="32" max="32" width="12.5546875" style="23" customWidth="1"/>
    <col min="33" max="33" width="10.5546875" customWidth="1"/>
    <col min="34" max="34" width="12.5546875" style="23" customWidth="1"/>
    <col min="35" max="35" width="10.5546875" customWidth="1"/>
    <col min="36" max="36" width="12.5546875" style="23" customWidth="1"/>
    <col min="37" max="37" width="10.5546875" customWidth="1"/>
    <col min="38" max="38" width="12.5546875" style="23" customWidth="1"/>
    <col min="39" max="39" width="10.5546875" customWidth="1"/>
    <col min="40" max="40" width="12.5546875" style="23" customWidth="1"/>
    <col min="41" max="41" width="10.5546875" customWidth="1"/>
    <col min="42" max="42" width="12.5546875" customWidth="1"/>
    <col min="43" max="43" width="10.5546875" customWidth="1"/>
    <col min="44" max="44" width="12.5546875" style="23" customWidth="1"/>
    <col min="45" max="45" width="10.5546875" customWidth="1"/>
    <col min="46" max="46" width="12.5546875" style="23" customWidth="1"/>
    <col min="47" max="47" width="10.5546875" customWidth="1"/>
  </cols>
  <sheetData>
    <row r="1" spans="1:47" x14ac:dyDescent="0.3">
      <c r="A1" s="2"/>
      <c r="B1" s="2"/>
      <c r="C1" s="2"/>
      <c r="D1" s="48" t="str">
        <f>Wedstrijden_beheer!E1</f>
        <v>Roland</v>
      </c>
      <c r="E1" s="39"/>
      <c r="F1" s="48" t="str">
        <f>Wedstrijden_beheer!G1</f>
        <v>Nikki</v>
      </c>
      <c r="G1" s="39"/>
      <c r="H1" s="48" t="str">
        <f>Wedstrijden_beheer!I1</f>
        <v>Abdussamed</v>
      </c>
      <c r="I1" s="39"/>
      <c r="J1" s="48" t="str">
        <f>Wedstrijden_beheer!K1</f>
        <v>Karsten</v>
      </c>
      <c r="K1" s="39"/>
      <c r="L1" s="48" t="str">
        <f>Wedstrijden_beheer!M1</f>
        <v>Bas</v>
      </c>
      <c r="M1" s="39"/>
      <c r="N1" s="48" t="str">
        <f>Wedstrijden_beheer!O1</f>
        <v>Maik</v>
      </c>
      <c r="O1" s="39"/>
      <c r="P1" s="48" t="str">
        <f>Wedstrijden_beheer!Q1</f>
        <v>Simone</v>
      </c>
      <c r="Q1" s="39"/>
      <c r="R1" s="48" t="str">
        <f>Wedstrijden_beheer!S1</f>
        <v>Marc</v>
      </c>
      <c r="S1" s="39"/>
      <c r="T1" s="48" t="str">
        <f>Wedstrijden_beheer!U1</f>
        <v>Tom</v>
      </c>
      <c r="U1" s="39"/>
      <c r="V1" s="48" t="str">
        <f>Wedstrijden_beheer!W1</f>
        <v>Jos</v>
      </c>
      <c r="W1" s="39"/>
      <c r="X1" s="48" t="str">
        <f>Wedstrijden_beheer!Y1</f>
        <v>Lesley</v>
      </c>
      <c r="Y1" s="39"/>
      <c r="Z1" s="48" t="str">
        <f>Wedstrijden_beheer!AA1</f>
        <v>Ivo</v>
      </c>
      <c r="AA1" s="39"/>
      <c r="AB1" s="48" t="str">
        <f>Wedstrijden_beheer!AC1</f>
        <v>Ron</v>
      </c>
      <c r="AC1" s="39"/>
      <c r="AD1" s="48" t="str">
        <f>Wedstrijden_beheer!AE1</f>
        <v>Jeroen</v>
      </c>
      <c r="AE1" s="39"/>
      <c r="AF1" s="48" t="str">
        <f>Wedstrijden_beheer!AG1</f>
        <v>Erwin</v>
      </c>
      <c r="AG1" s="39"/>
      <c r="AH1" s="48" t="str">
        <f>Wedstrijden_beheer!AI1</f>
        <v>Tim</v>
      </c>
      <c r="AI1" s="39"/>
      <c r="AJ1" s="48" t="s">
        <v>20</v>
      </c>
      <c r="AK1" s="39"/>
      <c r="AL1" s="48" t="s">
        <v>21</v>
      </c>
      <c r="AM1" s="39"/>
      <c r="AN1" s="48" t="str">
        <f>Wedstrijden_beheer!AO1</f>
        <v>Patrick</v>
      </c>
      <c r="AO1" s="39"/>
      <c r="AP1" s="48" t="str">
        <f>Wedstrijden_beheer!AQ1</f>
        <v>Jeno</v>
      </c>
      <c r="AQ1" s="39"/>
      <c r="AR1" s="40" t="str">
        <f>Wedstrijden_beheer!AS1</f>
        <v>Andre</v>
      </c>
      <c r="AS1" s="42"/>
      <c r="AT1" s="40" t="str">
        <f>Wedstrijden_beheer!AU1</f>
        <v>Raymond</v>
      </c>
      <c r="AU1" s="42"/>
    </row>
    <row r="2" spans="1:47" s="32" customFormat="1" ht="14.4" customHeight="1" x14ac:dyDescent="0.3">
      <c r="A2" s="21"/>
      <c r="B2" s="25" t="s">
        <v>150</v>
      </c>
      <c r="C2" s="21" t="s">
        <v>151</v>
      </c>
      <c r="D2" s="24" t="s">
        <v>152</v>
      </c>
      <c r="E2" s="21" t="s">
        <v>28</v>
      </c>
      <c r="F2" s="21" t="s">
        <v>152</v>
      </c>
      <c r="G2" s="21" t="s">
        <v>28</v>
      </c>
      <c r="H2" s="21" t="s">
        <v>152</v>
      </c>
      <c r="I2" s="21" t="s">
        <v>28</v>
      </c>
      <c r="J2" s="21" t="s">
        <v>152</v>
      </c>
      <c r="K2" s="21" t="s">
        <v>28</v>
      </c>
      <c r="L2" s="21" t="s">
        <v>152</v>
      </c>
      <c r="M2" s="21" t="s">
        <v>28</v>
      </c>
      <c r="N2" s="24" t="s">
        <v>152</v>
      </c>
      <c r="O2" s="21" t="s">
        <v>28</v>
      </c>
      <c r="P2" s="24" t="s">
        <v>152</v>
      </c>
      <c r="Q2" s="21" t="s">
        <v>28</v>
      </c>
      <c r="R2" s="24" t="s">
        <v>152</v>
      </c>
      <c r="S2" s="21" t="s">
        <v>28</v>
      </c>
      <c r="T2" s="21" t="s">
        <v>152</v>
      </c>
      <c r="U2" s="21" t="s">
        <v>28</v>
      </c>
      <c r="V2" s="24" t="s">
        <v>152</v>
      </c>
      <c r="W2" s="21" t="s">
        <v>28</v>
      </c>
      <c r="X2" s="24" t="s">
        <v>152</v>
      </c>
      <c r="Y2" s="21" t="s">
        <v>28</v>
      </c>
      <c r="Z2" s="24" t="s">
        <v>152</v>
      </c>
      <c r="AA2" s="21" t="s">
        <v>28</v>
      </c>
      <c r="AB2" s="24" t="s">
        <v>152</v>
      </c>
      <c r="AC2" s="21" t="s">
        <v>28</v>
      </c>
      <c r="AD2" s="24" t="s">
        <v>152</v>
      </c>
      <c r="AE2" s="21" t="s">
        <v>28</v>
      </c>
      <c r="AF2" s="24" t="s">
        <v>152</v>
      </c>
      <c r="AG2" s="21" t="s">
        <v>28</v>
      </c>
      <c r="AH2" s="24" t="s">
        <v>152</v>
      </c>
      <c r="AI2" s="21" t="s">
        <v>28</v>
      </c>
      <c r="AJ2" s="24" t="s">
        <v>152</v>
      </c>
      <c r="AK2" s="21" t="s">
        <v>28</v>
      </c>
      <c r="AL2" s="8" t="s">
        <v>152</v>
      </c>
      <c r="AM2" s="21" t="s">
        <v>28</v>
      </c>
      <c r="AN2" s="24" t="s">
        <v>152</v>
      </c>
      <c r="AO2" s="21" t="s">
        <v>28</v>
      </c>
      <c r="AP2" s="21" t="s">
        <v>152</v>
      </c>
      <c r="AQ2" s="21" t="s">
        <v>28</v>
      </c>
      <c r="AR2" s="24" t="s">
        <v>152</v>
      </c>
      <c r="AS2" s="21" t="s">
        <v>28</v>
      </c>
      <c r="AT2" s="24" t="s">
        <v>152</v>
      </c>
      <c r="AU2" s="21" t="s">
        <v>28</v>
      </c>
    </row>
    <row r="3" spans="1:47" ht="14.4" customHeight="1" x14ac:dyDescent="0.3">
      <c r="A3" s="11">
        <v>1</v>
      </c>
      <c r="B3" s="1" t="s">
        <v>153</v>
      </c>
      <c r="C3" s="1" t="s">
        <v>80</v>
      </c>
      <c r="D3" s="10" t="s">
        <v>80</v>
      </c>
      <c r="E3" s="11">
        <f t="shared" ref="E3:E16" si="0">IF(OR($C3="",D3=""),"",IF(D3=$C3,10,0))</f>
        <v>10</v>
      </c>
      <c r="F3" s="10" t="s">
        <v>89</v>
      </c>
      <c r="G3" s="11">
        <f t="shared" ref="G3:G16" si="1">IF(OR($C3="",F3=""),"",IF(F3=$C3,10,0))</f>
        <v>0</v>
      </c>
      <c r="H3" s="10" t="s">
        <v>89</v>
      </c>
      <c r="I3" s="11">
        <f t="shared" ref="I3:I16" si="2">IF(OR($C3="",H3=""),"",IF(H3=$C3,10,0))</f>
        <v>0</v>
      </c>
      <c r="J3" s="10" t="s">
        <v>73</v>
      </c>
      <c r="K3" s="11">
        <f t="shared" ref="K3:K16" si="3">IF(OR($C3="",J3=""),"",IF(J3=$C3,10,0))</f>
        <v>0</v>
      </c>
      <c r="L3" s="10" t="s">
        <v>101</v>
      </c>
      <c r="M3" s="11">
        <f t="shared" ref="M3:M16" si="4">IF(OR($C3="",L3=""),"",IF(L3=$C3,10,0))</f>
        <v>0</v>
      </c>
      <c r="N3" s="10" t="s">
        <v>80</v>
      </c>
      <c r="O3" s="11">
        <f t="shared" ref="O3:O16" si="5">IF(OR($C3="",N3=""),"",IF(N3=$C3,10,0))</f>
        <v>10</v>
      </c>
      <c r="P3" s="10" t="s">
        <v>73</v>
      </c>
      <c r="Q3" s="11">
        <f t="shared" ref="Q3:Q16" si="6">IF(OR($C3="",P3=""),"",IF(P3=$C3,10,0))</f>
        <v>0</v>
      </c>
      <c r="R3" s="10" t="s">
        <v>80</v>
      </c>
      <c r="S3" s="11">
        <f t="shared" ref="S3:S16" si="7">IF(OR($C3="",R3=""),"",IF(R3=$C3,10,0))</f>
        <v>10</v>
      </c>
      <c r="T3" s="10" t="s">
        <v>80</v>
      </c>
      <c r="U3" s="11">
        <f t="shared" ref="U3:U16" si="8">IF(OR($C3="",T3=""),"",IF(T3=$C3,10,0))</f>
        <v>10</v>
      </c>
      <c r="V3" s="10" t="s">
        <v>80</v>
      </c>
      <c r="W3" s="11">
        <f t="shared" ref="W3:W16" si="9">IF(OR($C3="",V3=""),"",IF(V3=$C3,10,0))</f>
        <v>10</v>
      </c>
      <c r="X3" s="10" t="s">
        <v>73</v>
      </c>
      <c r="Y3" s="11">
        <f t="shared" ref="Y3:Y16" si="10">IF(OR($C3="",X3=""),"",IF(X3=$C3,10,0))</f>
        <v>0</v>
      </c>
      <c r="Z3" s="10" t="s">
        <v>99</v>
      </c>
      <c r="AA3" s="11">
        <f t="shared" ref="AA3:AA16" si="11">IF(OR($C3="",Z3=""),"",IF(Z3=$C3,10,0))</f>
        <v>0</v>
      </c>
      <c r="AB3" s="10" t="s">
        <v>89</v>
      </c>
      <c r="AC3" s="11">
        <f t="shared" ref="AC3:AC16" si="12">IF(OR($C3="",AB3=""),"",IF(AB3=$C3,10,0))</f>
        <v>0</v>
      </c>
      <c r="AD3" s="10" t="s">
        <v>89</v>
      </c>
      <c r="AE3" s="11">
        <f t="shared" ref="AE3:AE16" si="13">IF(OR($C3="",AD3=""),"",IF(AD3=$C3,10,0))</f>
        <v>0</v>
      </c>
      <c r="AF3" s="10" t="s">
        <v>80</v>
      </c>
      <c r="AG3" s="11">
        <f t="shared" ref="AG3:AG16" si="14">IF(OR($C3="",AF3=""),"",IF(AF3=$C3,10,0))</f>
        <v>10</v>
      </c>
      <c r="AH3" s="10" t="s">
        <v>80</v>
      </c>
      <c r="AI3" s="11">
        <f t="shared" ref="AI3:AI16" si="15">IF(OR($C3="",AH3=""),"",IF(AH3=$C3,10,0))</f>
        <v>10</v>
      </c>
      <c r="AJ3" s="10" t="s">
        <v>80</v>
      </c>
      <c r="AK3" s="11">
        <f t="shared" ref="AK3:AK16" si="16">IF(OR($C3="",AJ3=""),"",IF(AJ3=$C3,10,0))</f>
        <v>10</v>
      </c>
      <c r="AL3" s="10" t="s">
        <v>73</v>
      </c>
      <c r="AM3" s="11">
        <f t="shared" ref="AM3:AM16" si="17">IF(OR($C3="",AL3=""),"",IF(AL3=$C3,10,0))</f>
        <v>0</v>
      </c>
      <c r="AN3" s="10" t="s">
        <v>80</v>
      </c>
      <c r="AO3" s="11">
        <f t="shared" ref="AO3:AO16" si="18">IF(OR($C3="",AN3=""),"",IF(AN3=$C3,10,0))</f>
        <v>10</v>
      </c>
      <c r="AP3" s="10" t="s">
        <v>80</v>
      </c>
      <c r="AQ3" s="11">
        <f t="shared" ref="AQ3:AQ16" si="19">IF(OR($C3="",AP3=""),"",IF(AP3=$C3,10,0))</f>
        <v>10</v>
      </c>
      <c r="AR3" s="10" t="s">
        <v>73</v>
      </c>
      <c r="AS3" s="11">
        <f t="shared" ref="AS3:AS16" si="20">IF(OR($C3="",AR3=""),"",IF(AR3=$C3,10,0))</f>
        <v>0</v>
      </c>
      <c r="AT3" s="10" t="s">
        <v>59</v>
      </c>
      <c r="AU3" s="11">
        <f t="shared" ref="AU3:AU16" si="21">IF(OR($C3="",AT3=""),"",IF(AT3=$C3,10,0))</f>
        <v>0</v>
      </c>
    </row>
    <row r="4" spans="1:47" ht="14.4" customHeight="1" x14ac:dyDescent="0.3">
      <c r="A4" s="11">
        <v>2</v>
      </c>
      <c r="B4" s="1" t="s">
        <v>154</v>
      </c>
      <c r="C4" s="34" t="s">
        <v>95</v>
      </c>
      <c r="D4" s="10" t="s">
        <v>59</v>
      </c>
      <c r="E4" s="11">
        <f t="shared" si="0"/>
        <v>0</v>
      </c>
      <c r="F4" s="10" t="s">
        <v>80</v>
      </c>
      <c r="G4" s="11">
        <f t="shared" si="1"/>
        <v>0</v>
      </c>
      <c r="H4" s="10" t="s">
        <v>80</v>
      </c>
      <c r="I4" s="11">
        <f t="shared" si="2"/>
        <v>0</v>
      </c>
      <c r="J4" s="10" t="s">
        <v>101</v>
      </c>
      <c r="K4" s="11">
        <f t="shared" si="3"/>
        <v>0</v>
      </c>
      <c r="L4" s="10" t="s">
        <v>60</v>
      </c>
      <c r="M4" s="11">
        <f t="shared" si="4"/>
        <v>0</v>
      </c>
      <c r="N4" s="10" t="s">
        <v>89</v>
      </c>
      <c r="O4" s="11">
        <f t="shared" si="5"/>
        <v>0</v>
      </c>
      <c r="P4" s="10" t="s">
        <v>80</v>
      </c>
      <c r="Q4" s="11">
        <f t="shared" si="6"/>
        <v>0</v>
      </c>
      <c r="R4" s="10" t="s">
        <v>89</v>
      </c>
      <c r="S4" s="11">
        <f t="shared" si="7"/>
        <v>0</v>
      </c>
      <c r="T4" s="10" t="s">
        <v>89</v>
      </c>
      <c r="U4" s="11">
        <f t="shared" si="8"/>
        <v>0</v>
      </c>
      <c r="V4" s="10" t="s">
        <v>89</v>
      </c>
      <c r="W4" s="11">
        <f t="shared" si="9"/>
        <v>0</v>
      </c>
      <c r="X4" s="10" t="s">
        <v>99</v>
      </c>
      <c r="Y4" s="11">
        <f t="shared" si="10"/>
        <v>0</v>
      </c>
      <c r="Z4" s="10" t="s">
        <v>80</v>
      </c>
      <c r="AA4" s="11">
        <f t="shared" si="11"/>
        <v>0</v>
      </c>
      <c r="AB4" s="10" t="s">
        <v>59</v>
      </c>
      <c r="AC4" s="11">
        <f t="shared" si="12"/>
        <v>0</v>
      </c>
      <c r="AD4" s="10" t="s">
        <v>59</v>
      </c>
      <c r="AE4" s="11">
        <f t="shared" si="13"/>
        <v>0</v>
      </c>
      <c r="AF4" s="10" t="s">
        <v>89</v>
      </c>
      <c r="AG4" s="11">
        <f t="shared" si="14"/>
        <v>0</v>
      </c>
      <c r="AH4" s="10" t="s">
        <v>69</v>
      </c>
      <c r="AI4" s="11">
        <f t="shared" si="15"/>
        <v>0</v>
      </c>
      <c r="AJ4" s="10" t="s">
        <v>89</v>
      </c>
      <c r="AK4" s="11">
        <f t="shared" si="16"/>
        <v>0</v>
      </c>
      <c r="AL4" s="10" t="s">
        <v>89</v>
      </c>
      <c r="AM4" s="11">
        <f t="shared" si="17"/>
        <v>0</v>
      </c>
      <c r="AN4" s="10" t="s">
        <v>95</v>
      </c>
      <c r="AO4" s="11">
        <v>10</v>
      </c>
      <c r="AP4" s="10" t="s">
        <v>101</v>
      </c>
      <c r="AQ4" s="11">
        <f t="shared" si="19"/>
        <v>0</v>
      </c>
      <c r="AR4" s="10" t="s">
        <v>99</v>
      </c>
      <c r="AS4" s="11">
        <f t="shared" si="20"/>
        <v>0</v>
      </c>
      <c r="AT4" s="10" t="s">
        <v>89</v>
      </c>
      <c r="AU4" s="11">
        <f t="shared" si="21"/>
        <v>0</v>
      </c>
    </row>
    <row r="5" spans="1:47" ht="14.4" customHeight="1" x14ac:dyDescent="0.3">
      <c r="A5" s="11">
        <v>3</v>
      </c>
      <c r="B5" s="1" t="s">
        <v>155</v>
      </c>
      <c r="C5" s="1" t="s">
        <v>101</v>
      </c>
      <c r="D5" s="10" t="s">
        <v>89</v>
      </c>
      <c r="E5" s="11">
        <f t="shared" si="0"/>
        <v>0</v>
      </c>
      <c r="F5" s="10" t="s">
        <v>69</v>
      </c>
      <c r="G5" s="11">
        <f t="shared" si="1"/>
        <v>0</v>
      </c>
      <c r="H5" s="10" t="s">
        <v>69</v>
      </c>
      <c r="I5" s="11">
        <f t="shared" si="2"/>
        <v>0</v>
      </c>
      <c r="J5" s="10" t="s">
        <v>69</v>
      </c>
      <c r="K5" s="11">
        <f t="shared" si="3"/>
        <v>0</v>
      </c>
      <c r="L5" s="10" t="s">
        <v>74</v>
      </c>
      <c r="M5" s="11">
        <f t="shared" si="4"/>
        <v>0</v>
      </c>
      <c r="N5" s="10" t="s">
        <v>69</v>
      </c>
      <c r="O5" s="11">
        <f t="shared" si="5"/>
        <v>0</v>
      </c>
      <c r="P5" s="10" t="s">
        <v>59</v>
      </c>
      <c r="Q5" s="11">
        <f t="shared" si="6"/>
        <v>0</v>
      </c>
      <c r="R5" s="10" t="s">
        <v>95</v>
      </c>
      <c r="S5" s="11">
        <f t="shared" si="7"/>
        <v>0</v>
      </c>
      <c r="T5" s="10" t="s">
        <v>69</v>
      </c>
      <c r="U5" s="11">
        <f t="shared" si="8"/>
        <v>0</v>
      </c>
      <c r="V5" s="10" t="s">
        <v>101</v>
      </c>
      <c r="W5" s="11">
        <f t="shared" si="9"/>
        <v>10</v>
      </c>
      <c r="X5" s="10" t="s">
        <v>69</v>
      </c>
      <c r="Y5" s="11">
        <f t="shared" si="10"/>
        <v>0</v>
      </c>
      <c r="Z5" s="10" t="s">
        <v>73</v>
      </c>
      <c r="AA5" s="11">
        <f t="shared" si="11"/>
        <v>0</v>
      </c>
      <c r="AB5" s="10" t="s">
        <v>101</v>
      </c>
      <c r="AC5" s="11">
        <f t="shared" si="12"/>
        <v>10</v>
      </c>
      <c r="AD5" s="10" t="s">
        <v>101</v>
      </c>
      <c r="AE5" s="11">
        <f t="shared" si="13"/>
        <v>10</v>
      </c>
      <c r="AF5" s="10" t="s">
        <v>95</v>
      </c>
      <c r="AG5" s="11">
        <f t="shared" si="14"/>
        <v>0</v>
      </c>
      <c r="AH5" s="10" t="s">
        <v>73</v>
      </c>
      <c r="AI5" s="11">
        <f t="shared" si="15"/>
        <v>0</v>
      </c>
      <c r="AJ5" s="10" t="s">
        <v>99</v>
      </c>
      <c r="AK5" s="11">
        <f t="shared" si="16"/>
        <v>0</v>
      </c>
      <c r="AL5" s="10" t="s">
        <v>80</v>
      </c>
      <c r="AM5" s="11">
        <f t="shared" si="17"/>
        <v>0</v>
      </c>
      <c r="AN5" s="10" t="s">
        <v>156</v>
      </c>
      <c r="AO5" s="11">
        <f t="shared" si="18"/>
        <v>0</v>
      </c>
      <c r="AP5" s="10" t="s">
        <v>73</v>
      </c>
      <c r="AQ5" s="11">
        <f t="shared" si="19"/>
        <v>0</v>
      </c>
      <c r="AR5" s="10" t="s">
        <v>89</v>
      </c>
      <c r="AS5" s="11">
        <f t="shared" si="20"/>
        <v>0</v>
      </c>
      <c r="AT5" s="10" t="s">
        <v>69</v>
      </c>
      <c r="AU5" s="11">
        <f t="shared" si="21"/>
        <v>0</v>
      </c>
    </row>
    <row r="6" spans="1:47" ht="14.4" customHeight="1" x14ac:dyDescent="0.3">
      <c r="A6" s="11">
        <v>4</v>
      </c>
      <c r="B6" s="1" t="s">
        <v>157</v>
      </c>
      <c r="C6" s="1" t="s">
        <v>160</v>
      </c>
      <c r="D6" s="28" t="s">
        <v>158</v>
      </c>
      <c r="E6" s="11">
        <f t="shared" si="0"/>
        <v>0</v>
      </c>
      <c r="F6" s="10" t="s">
        <v>159</v>
      </c>
      <c r="G6" s="11">
        <f t="shared" si="1"/>
        <v>0</v>
      </c>
      <c r="H6" s="10" t="s">
        <v>160</v>
      </c>
      <c r="I6" s="11">
        <f t="shared" si="2"/>
        <v>10</v>
      </c>
      <c r="J6" s="10" t="s">
        <v>159</v>
      </c>
      <c r="K6" s="11">
        <f t="shared" si="3"/>
        <v>0</v>
      </c>
      <c r="L6" s="10" t="s">
        <v>158</v>
      </c>
      <c r="M6" s="11">
        <f t="shared" si="4"/>
        <v>0</v>
      </c>
      <c r="N6" s="10" t="s">
        <v>158</v>
      </c>
      <c r="O6" s="11">
        <f t="shared" si="5"/>
        <v>0</v>
      </c>
      <c r="P6" s="10" t="s">
        <v>160</v>
      </c>
      <c r="Q6" s="11">
        <f t="shared" si="6"/>
        <v>10</v>
      </c>
      <c r="R6" s="10" t="s">
        <v>159</v>
      </c>
      <c r="S6" s="11">
        <f t="shared" si="7"/>
        <v>0</v>
      </c>
      <c r="T6" s="10" t="s">
        <v>160</v>
      </c>
      <c r="U6" s="11">
        <f t="shared" si="8"/>
        <v>10</v>
      </c>
      <c r="V6" s="10" t="s">
        <v>158</v>
      </c>
      <c r="W6" s="11">
        <f t="shared" si="9"/>
        <v>0</v>
      </c>
      <c r="X6" s="10" t="s">
        <v>160</v>
      </c>
      <c r="Y6" s="11">
        <f t="shared" si="10"/>
        <v>10</v>
      </c>
      <c r="Z6" s="10" t="s">
        <v>158</v>
      </c>
      <c r="AA6" s="11">
        <f t="shared" si="11"/>
        <v>0</v>
      </c>
      <c r="AB6" s="23" t="s">
        <v>159</v>
      </c>
      <c r="AC6" s="11">
        <f t="shared" si="12"/>
        <v>0</v>
      </c>
      <c r="AD6" s="10" t="s">
        <v>158</v>
      </c>
      <c r="AE6" s="11">
        <f t="shared" si="13"/>
        <v>0</v>
      </c>
      <c r="AF6" s="10" t="s">
        <v>160</v>
      </c>
      <c r="AG6" s="11">
        <f t="shared" si="14"/>
        <v>10</v>
      </c>
      <c r="AH6" s="10" t="s">
        <v>158</v>
      </c>
      <c r="AI6" s="11">
        <f t="shared" si="15"/>
        <v>0</v>
      </c>
      <c r="AJ6" s="10" t="s">
        <v>160</v>
      </c>
      <c r="AK6" s="11">
        <f t="shared" si="16"/>
        <v>10</v>
      </c>
      <c r="AL6" s="10" t="s">
        <v>160</v>
      </c>
      <c r="AM6" s="11">
        <f t="shared" si="17"/>
        <v>10</v>
      </c>
      <c r="AN6" s="10" t="s">
        <v>160</v>
      </c>
      <c r="AO6" s="11">
        <f t="shared" si="18"/>
        <v>10</v>
      </c>
      <c r="AP6" s="10" t="s">
        <v>160</v>
      </c>
      <c r="AQ6" s="11">
        <f t="shared" si="19"/>
        <v>10</v>
      </c>
      <c r="AR6" s="10" t="s">
        <v>257</v>
      </c>
      <c r="AS6" s="11">
        <f t="shared" si="20"/>
        <v>0</v>
      </c>
      <c r="AT6" s="10" t="s">
        <v>158</v>
      </c>
      <c r="AU6" s="11">
        <f t="shared" si="21"/>
        <v>0</v>
      </c>
    </row>
    <row r="7" spans="1:47" ht="14.4" customHeight="1" x14ac:dyDescent="0.3">
      <c r="A7" s="11">
        <v>5</v>
      </c>
      <c r="B7" s="1" t="s">
        <v>161</v>
      </c>
      <c r="C7" s="1">
        <v>22</v>
      </c>
      <c r="D7" s="11">
        <v>21</v>
      </c>
      <c r="E7" s="11">
        <f t="shared" si="0"/>
        <v>0</v>
      </c>
      <c r="F7" s="11">
        <v>20</v>
      </c>
      <c r="G7" s="11">
        <f t="shared" si="1"/>
        <v>0</v>
      </c>
      <c r="H7" s="11">
        <v>16</v>
      </c>
      <c r="I7" s="11">
        <f t="shared" si="2"/>
        <v>0</v>
      </c>
      <c r="J7" s="11">
        <v>20</v>
      </c>
      <c r="K7" s="11">
        <f t="shared" si="3"/>
        <v>0</v>
      </c>
      <c r="L7" s="11">
        <v>22</v>
      </c>
      <c r="M7" s="11">
        <f t="shared" si="4"/>
        <v>10</v>
      </c>
      <c r="N7" s="11">
        <v>22</v>
      </c>
      <c r="O7" s="11">
        <f t="shared" si="5"/>
        <v>10</v>
      </c>
      <c r="P7" s="11">
        <v>21</v>
      </c>
      <c r="Q7" s="11">
        <f t="shared" si="6"/>
        <v>0</v>
      </c>
      <c r="R7" s="11">
        <v>16</v>
      </c>
      <c r="S7" s="11">
        <f t="shared" si="7"/>
        <v>0</v>
      </c>
      <c r="T7" s="11">
        <v>20</v>
      </c>
      <c r="U7" s="11">
        <f t="shared" si="8"/>
        <v>0</v>
      </c>
      <c r="V7" s="11">
        <v>22</v>
      </c>
      <c r="W7" s="11">
        <f t="shared" si="9"/>
        <v>10</v>
      </c>
      <c r="X7" s="11">
        <v>19</v>
      </c>
      <c r="Y7" s="11">
        <f t="shared" si="10"/>
        <v>0</v>
      </c>
      <c r="Z7" s="11">
        <v>18</v>
      </c>
      <c r="AA7" s="11">
        <f t="shared" si="11"/>
        <v>0</v>
      </c>
      <c r="AB7" s="11">
        <v>19</v>
      </c>
      <c r="AC7" s="11">
        <f t="shared" si="12"/>
        <v>0</v>
      </c>
      <c r="AD7" s="11">
        <v>21</v>
      </c>
      <c r="AE7" s="11">
        <f t="shared" si="13"/>
        <v>0</v>
      </c>
      <c r="AF7" s="11">
        <v>19</v>
      </c>
      <c r="AG7" s="11">
        <f t="shared" si="14"/>
        <v>0</v>
      </c>
      <c r="AH7" s="11">
        <v>22</v>
      </c>
      <c r="AI7" s="11">
        <f t="shared" si="15"/>
        <v>10</v>
      </c>
      <c r="AJ7" s="11">
        <v>19</v>
      </c>
      <c r="AK7" s="11">
        <f t="shared" si="16"/>
        <v>0</v>
      </c>
      <c r="AL7" s="11">
        <v>20</v>
      </c>
      <c r="AM7" s="11">
        <f t="shared" si="17"/>
        <v>0</v>
      </c>
      <c r="AN7" s="11">
        <v>19</v>
      </c>
      <c r="AO7" s="11">
        <f t="shared" si="18"/>
        <v>0</v>
      </c>
      <c r="AP7" s="10" t="s">
        <v>162</v>
      </c>
      <c r="AQ7" s="11">
        <f t="shared" si="19"/>
        <v>0</v>
      </c>
      <c r="AR7" s="11">
        <v>19</v>
      </c>
      <c r="AS7" s="11">
        <f t="shared" si="20"/>
        <v>0</v>
      </c>
      <c r="AT7" s="11">
        <v>20</v>
      </c>
      <c r="AU7" s="11">
        <f t="shared" si="21"/>
        <v>0</v>
      </c>
    </row>
    <row r="8" spans="1:47" ht="14.4" customHeight="1" x14ac:dyDescent="0.3">
      <c r="A8" s="11">
        <v>6</v>
      </c>
      <c r="B8" s="1" t="s">
        <v>163</v>
      </c>
      <c r="C8" s="1" t="s">
        <v>89</v>
      </c>
      <c r="D8" s="10" t="s">
        <v>80</v>
      </c>
      <c r="E8" s="11">
        <f t="shared" si="0"/>
        <v>0</v>
      </c>
      <c r="F8" s="10" t="s">
        <v>89</v>
      </c>
      <c r="G8" s="11">
        <f t="shared" si="1"/>
        <v>10</v>
      </c>
      <c r="H8" s="10" t="s">
        <v>80</v>
      </c>
      <c r="I8" s="11">
        <f t="shared" si="2"/>
        <v>0</v>
      </c>
      <c r="J8" s="10" t="s">
        <v>80</v>
      </c>
      <c r="K8" s="11">
        <f t="shared" si="3"/>
        <v>0</v>
      </c>
      <c r="L8" s="10" t="s">
        <v>60</v>
      </c>
      <c r="M8" s="11">
        <f t="shared" si="4"/>
        <v>0</v>
      </c>
      <c r="N8" s="10" t="s">
        <v>80</v>
      </c>
      <c r="O8" s="11">
        <f t="shared" si="5"/>
        <v>0</v>
      </c>
      <c r="P8" s="10" t="s">
        <v>69</v>
      </c>
      <c r="Q8" s="11">
        <f t="shared" si="6"/>
        <v>0</v>
      </c>
      <c r="R8" s="10" t="s">
        <v>69</v>
      </c>
      <c r="S8" s="11">
        <f t="shared" si="7"/>
        <v>0</v>
      </c>
      <c r="T8" s="10" t="s">
        <v>80</v>
      </c>
      <c r="U8" s="11">
        <f t="shared" si="8"/>
        <v>0</v>
      </c>
      <c r="V8" s="10" t="s">
        <v>89</v>
      </c>
      <c r="W8" s="11">
        <f t="shared" si="9"/>
        <v>10</v>
      </c>
      <c r="X8" s="10" t="s">
        <v>164</v>
      </c>
      <c r="Y8" s="11">
        <f t="shared" si="10"/>
        <v>0</v>
      </c>
      <c r="Z8" s="10" t="s">
        <v>99</v>
      </c>
      <c r="AA8" s="11">
        <f t="shared" si="11"/>
        <v>0</v>
      </c>
      <c r="AB8" s="23" t="s">
        <v>165</v>
      </c>
      <c r="AC8" s="11">
        <f t="shared" si="12"/>
        <v>0</v>
      </c>
      <c r="AD8" s="10" t="s">
        <v>89</v>
      </c>
      <c r="AE8" s="11">
        <f t="shared" si="13"/>
        <v>10</v>
      </c>
      <c r="AF8" s="10" t="s">
        <v>80</v>
      </c>
      <c r="AG8" s="11">
        <f t="shared" si="14"/>
        <v>0</v>
      </c>
      <c r="AH8" s="10" t="s">
        <v>80</v>
      </c>
      <c r="AI8" s="11">
        <f t="shared" si="15"/>
        <v>0</v>
      </c>
      <c r="AJ8" s="10" t="s">
        <v>80</v>
      </c>
      <c r="AK8" s="11">
        <f t="shared" si="16"/>
        <v>0</v>
      </c>
      <c r="AL8" s="10" t="s">
        <v>89</v>
      </c>
      <c r="AM8" s="11">
        <f t="shared" si="17"/>
        <v>10</v>
      </c>
      <c r="AN8" s="10" t="s">
        <v>80</v>
      </c>
      <c r="AO8" s="11">
        <f t="shared" si="18"/>
        <v>0</v>
      </c>
      <c r="AP8" s="10" t="s">
        <v>166</v>
      </c>
      <c r="AQ8" s="11">
        <f t="shared" si="19"/>
        <v>0</v>
      </c>
      <c r="AR8" s="10" t="s">
        <v>80</v>
      </c>
      <c r="AS8" s="11">
        <f t="shared" si="20"/>
        <v>0</v>
      </c>
      <c r="AT8" s="10" t="s">
        <v>59</v>
      </c>
      <c r="AU8" s="11">
        <f t="shared" si="21"/>
        <v>0</v>
      </c>
    </row>
    <row r="9" spans="1:47" ht="14.4" customHeight="1" x14ac:dyDescent="0.3">
      <c r="A9" s="11">
        <v>7</v>
      </c>
      <c r="B9" s="1" t="s">
        <v>167</v>
      </c>
      <c r="C9" s="1" t="s">
        <v>279</v>
      </c>
      <c r="D9" s="10" t="s">
        <v>168</v>
      </c>
      <c r="E9" s="11">
        <f t="shared" si="0"/>
        <v>0</v>
      </c>
      <c r="F9" s="10" t="s">
        <v>101</v>
      </c>
      <c r="G9" s="11">
        <f t="shared" si="1"/>
        <v>0</v>
      </c>
      <c r="H9" s="10" t="s">
        <v>168</v>
      </c>
      <c r="I9" s="11">
        <f t="shared" si="2"/>
        <v>0</v>
      </c>
      <c r="J9" s="10" t="s">
        <v>169</v>
      </c>
      <c r="K9" s="11">
        <f t="shared" si="3"/>
        <v>0</v>
      </c>
      <c r="L9" s="10" t="s">
        <v>169</v>
      </c>
      <c r="M9" s="11">
        <f t="shared" si="4"/>
        <v>0</v>
      </c>
      <c r="N9" s="10" t="s">
        <v>168</v>
      </c>
      <c r="O9" s="11">
        <f t="shared" si="5"/>
        <v>0</v>
      </c>
      <c r="P9" s="10" t="s">
        <v>169</v>
      </c>
      <c r="Q9" s="11">
        <f t="shared" si="6"/>
        <v>0</v>
      </c>
      <c r="R9" s="10" t="s">
        <v>88</v>
      </c>
      <c r="S9" s="11">
        <f t="shared" si="7"/>
        <v>0</v>
      </c>
      <c r="T9" s="10" t="s">
        <v>168</v>
      </c>
      <c r="U9" s="11">
        <f t="shared" si="8"/>
        <v>0</v>
      </c>
      <c r="V9" s="10" t="s">
        <v>168</v>
      </c>
      <c r="W9" s="11">
        <f t="shared" si="9"/>
        <v>0</v>
      </c>
      <c r="X9" s="10" t="s">
        <v>168</v>
      </c>
      <c r="Y9" s="11">
        <f t="shared" si="10"/>
        <v>0</v>
      </c>
      <c r="Z9" s="10" t="s">
        <v>70</v>
      </c>
      <c r="AA9" s="11">
        <f t="shared" si="11"/>
        <v>0</v>
      </c>
      <c r="AB9" s="23" t="s">
        <v>54</v>
      </c>
      <c r="AC9" s="11">
        <f t="shared" si="12"/>
        <v>0</v>
      </c>
      <c r="AD9" s="11" t="s">
        <v>70</v>
      </c>
      <c r="AE9" s="11">
        <f t="shared" si="13"/>
        <v>0</v>
      </c>
      <c r="AF9" s="10" t="s">
        <v>88</v>
      </c>
      <c r="AG9" s="11">
        <f t="shared" si="14"/>
        <v>0</v>
      </c>
      <c r="AH9" s="10" t="s">
        <v>81</v>
      </c>
      <c r="AI9" s="11">
        <f t="shared" si="15"/>
        <v>0</v>
      </c>
      <c r="AJ9" s="10" t="s">
        <v>64</v>
      </c>
      <c r="AK9" s="11">
        <f t="shared" si="16"/>
        <v>0</v>
      </c>
      <c r="AL9" s="10" t="s">
        <v>64</v>
      </c>
      <c r="AM9" s="11">
        <f t="shared" si="17"/>
        <v>0</v>
      </c>
      <c r="AN9" s="23" t="s">
        <v>64</v>
      </c>
      <c r="AO9" s="11">
        <f t="shared" si="18"/>
        <v>0</v>
      </c>
      <c r="AP9" s="10" t="s">
        <v>107</v>
      </c>
      <c r="AQ9" s="11">
        <f t="shared" si="19"/>
        <v>0</v>
      </c>
      <c r="AR9" s="10" t="s">
        <v>169</v>
      </c>
      <c r="AS9" s="11">
        <f t="shared" si="20"/>
        <v>0</v>
      </c>
      <c r="AT9" s="10" t="s">
        <v>170</v>
      </c>
      <c r="AU9" s="11">
        <f t="shared" si="21"/>
        <v>0</v>
      </c>
    </row>
    <row r="10" spans="1:47" ht="14.4" customHeight="1" x14ac:dyDescent="0.3">
      <c r="A10" s="11">
        <v>8</v>
      </c>
      <c r="B10" s="1" t="s">
        <v>171</v>
      </c>
      <c r="C10" s="1" t="s">
        <v>165</v>
      </c>
      <c r="D10" s="10" t="s">
        <v>165</v>
      </c>
      <c r="E10" s="11">
        <f t="shared" si="0"/>
        <v>10</v>
      </c>
      <c r="F10" s="10" t="s">
        <v>165</v>
      </c>
      <c r="G10" s="11">
        <f t="shared" si="1"/>
        <v>10</v>
      </c>
      <c r="H10" s="10" t="s">
        <v>165</v>
      </c>
      <c r="I10" s="11">
        <f t="shared" si="2"/>
        <v>10</v>
      </c>
      <c r="J10" s="10" t="s">
        <v>159</v>
      </c>
      <c r="K10" s="11">
        <f t="shared" si="3"/>
        <v>0</v>
      </c>
      <c r="L10" s="10" t="s">
        <v>172</v>
      </c>
      <c r="M10" s="11">
        <f t="shared" si="4"/>
        <v>0</v>
      </c>
      <c r="N10" s="10" t="s">
        <v>173</v>
      </c>
      <c r="O10" s="11">
        <f t="shared" si="5"/>
        <v>0</v>
      </c>
      <c r="P10" s="10" t="s">
        <v>165</v>
      </c>
      <c r="Q10" s="11">
        <f t="shared" si="6"/>
        <v>10</v>
      </c>
      <c r="R10" s="10" t="s">
        <v>165</v>
      </c>
      <c r="S10" s="11">
        <f t="shared" si="7"/>
        <v>10</v>
      </c>
      <c r="T10" s="10" t="s">
        <v>174</v>
      </c>
      <c r="U10" s="11">
        <f t="shared" si="8"/>
        <v>0</v>
      </c>
      <c r="V10" s="10" t="s">
        <v>175</v>
      </c>
      <c r="W10" s="11">
        <f t="shared" si="9"/>
        <v>0</v>
      </c>
      <c r="X10" s="10" t="s">
        <v>160</v>
      </c>
      <c r="Y10" s="11">
        <f t="shared" si="10"/>
        <v>0</v>
      </c>
      <c r="Z10" s="10" t="s">
        <v>165</v>
      </c>
      <c r="AA10" s="11">
        <f t="shared" si="11"/>
        <v>10</v>
      </c>
      <c r="AB10" s="23" t="s">
        <v>165</v>
      </c>
      <c r="AC10" s="11">
        <f t="shared" si="12"/>
        <v>10</v>
      </c>
      <c r="AD10" s="10" t="s">
        <v>165</v>
      </c>
      <c r="AE10" s="11">
        <f t="shared" si="13"/>
        <v>10</v>
      </c>
      <c r="AF10" s="10" t="s">
        <v>165</v>
      </c>
      <c r="AG10" s="11">
        <f t="shared" si="14"/>
        <v>10</v>
      </c>
      <c r="AH10" s="10" t="s">
        <v>165</v>
      </c>
      <c r="AI10" s="11">
        <f t="shared" si="15"/>
        <v>10</v>
      </c>
      <c r="AJ10" s="10" t="s">
        <v>165</v>
      </c>
      <c r="AK10" s="11">
        <f t="shared" si="16"/>
        <v>10</v>
      </c>
      <c r="AL10" s="10" t="s">
        <v>176</v>
      </c>
      <c r="AM10" s="11">
        <f t="shared" si="17"/>
        <v>0</v>
      </c>
      <c r="AN10" s="10" t="s">
        <v>177</v>
      </c>
      <c r="AO10" s="11">
        <f t="shared" si="18"/>
        <v>0</v>
      </c>
      <c r="AP10" s="10" t="s">
        <v>165</v>
      </c>
      <c r="AQ10" s="11">
        <f t="shared" si="19"/>
        <v>10</v>
      </c>
      <c r="AR10" s="10" t="s">
        <v>177</v>
      </c>
      <c r="AS10" s="11">
        <f t="shared" si="20"/>
        <v>0</v>
      </c>
      <c r="AT10" s="10" t="s">
        <v>178</v>
      </c>
      <c r="AU10" s="11">
        <f t="shared" si="21"/>
        <v>0</v>
      </c>
    </row>
    <row r="11" spans="1:47" ht="14.4" customHeight="1" x14ac:dyDescent="0.3">
      <c r="A11" s="11">
        <v>9</v>
      </c>
      <c r="B11" s="1" t="s">
        <v>179</v>
      </c>
      <c r="C11" s="1" t="s">
        <v>176</v>
      </c>
      <c r="D11" s="10" t="s">
        <v>173</v>
      </c>
      <c r="E11" s="11">
        <f t="shared" si="0"/>
        <v>0</v>
      </c>
      <c r="F11" s="10" t="s">
        <v>180</v>
      </c>
      <c r="G11" s="11">
        <f t="shared" si="1"/>
        <v>0</v>
      </c>
      <c r="H11" s="10" t="s">
        <v>173</v>
      </c>
      <c r="I11" s="11">
        <f t="shared" si="2"/>
        <v>0</v>
      </c>
      <c r="J11" s="10" t="s">
        <v>158</v>
      </c>
      <c r="K11" s="11">
        <f t="shared" si="3"/>
        <v>0</v>
      </c>
      <c r="L11" s="10" t="s">
        <v>181</v>
      </c>
      <c r="M11" s="11">
        <f t="shared" si="4"/>
        <v>0</v>
      </c>
      <c r="N11" s="10" t="s">
        <v>176</v>
      </c>
      <c r="O11" s="11">
        <f t="shared" si="5"/>
        <v>10</v>
      </c>
      <c r="P11" s="10" t="s">
        <v>173</v>
      </c>
      <c r="Q11" s="11">
        <f t="shared" si="6"/>
        <v>0</v>
      </c>
      <c r="R11" s="10" t="s">
        <v>173</v>
      </c>
      <c r="S11" s="11">
        <f t="shared" si="7"/>
        <v>0</v>
      </c>
      <c r="T11" s="10" t="s">
        <v>182</v>
      </c>
      <c r="U11" s="11">
        <f t="shared" si="8"/>
        <v>0</v>
      </c>
      <c r="V11" s="10" t="s">
        <v>182</v>
      </c>
      <c r="W11" s="11">
        <f t="shared" si="9"/>
        <v>0</v>
      </c>
      <c r="X11" s="10" t="s">
        <v>183</v>
      </c>
      <c r="Y11" s="11">
        <f t="shared" si="10"/>
        <v>0</v>
      </c>
      <c r="Z11" s="10" t="s">
        <v>182</v>
      </c>
      <c r="AA11" s="11">
        <f t="shared" si="11"/>
        <v>0</v>
      </c>
      <c r="AB11" s="23" t="s">
        <v>183</v>
      </c>
      <c r="AC11" s="11">
        <f t="shared" si="12"/>
        <v>0</v>
      </c>
      <c r="AD11" s="10" t="s">
        <v>184</v>
      </c>
      <c r="AE11" s="11">
        <f t="shared" si="13"/>
        <v>0</v>
      </c>
      <c r="AF11" s="10" t="s">
        <v>185</v>
      </c>
      <c r="AG11" s="11">
        <f t="shared" si="14"/>
        <v>0</v>
      </c>
      <c r="AH11" s="10" t="s">
        <v>186</v>
      </c>
      <c r="AI11" s="11">
        <f t="shared" si="15"/>
        <v>0</v>
      </c>
      <c r="AJ11" s="10" t="s">
        <v>173</v>
      </c>
      <c r="AK11" s="11">
        <f t="shared" si="16"/>
        <v>0</v>
      </c>
      <c r="AL11" s="10" t="s">
        <v>187</v>
      </c>
      <c r="AM11" s="11">
        <f t="shared" si="17"/>
        <v>0</v>
      </c>
      <c r="AN11" s="10" t="s">
        <v>176</v>
      </c>
      <c r="AO11" s="11">
        <f t="shared" si="18"/>
        <v>10</v>
      </c>
      <c r="AP11" s="10" t="s">
        <v>188</v>
      </c>
      <c r="AQ11" s="11">
        <f t="shared" si="19"/>
        <v>0</v>
      </c>
      <c r="AR11" s="10" t="s">
        <v>258</v>
      </c>
      <c r="AS11" s="11">
        <f t="shared" si="20"/>
        <v>0</v>
      </c>
      <c r="AT11" s="10" t="s">
        <v>165</v>
      </c>
      <c r="AU11" s="11">
        <f t="shared" si="21"/>
        <v>0</v>
      </c>
    </row>
    <row r="12" spans="1:47" ht="14.4" customHeight="1" x14ac:dyDescent="0.3">
      <c r="A12" s="11">
        <v>10</v>
      </c>
      <c r="B12" s="1" t="s">
        <v>189</v>
      </c>
      <c r="C12" s="1" t="s">
        <v>190</v>
      </c>
      <c r="D12" s="10" t="s">
        <v>190</v>
      </c>
      <c r="E12" s="11">
        <f t="shared" si="0"/>
        <v>10</v>
      </c>
      <c r="F12" s="10" t="s">
        <v>165</v>
      </c>
      <c r="G12" s="11">
        <f t="shared" si="1"/>
        <v>0</v>
      </c>
      <c r="H12" s="10" t="s">
        <v>165</v>
      </c>
      <c r="I12" s="11">
        <f t="shared" si="2"/>
        <v>0</v>
      </c>
      <c r="J12" s="10" t="s">
        <v>191</v>
      </c>
      <c r="K12" s="11">
        <f t="shared" si="3"/>
        <v>0</v>
      </c>
      <c r="L12" s="10" t="s">
        <v>181</v>
      </c>
      <c r="M12" s="11">
        <f t="shared" si="4"/>
        <v>0</v>
      </c>
      <c r="N12" s="10" t="s">
        <v>173</v>
      </c>
      <c r="O12" s="11">
        <f t="shared" si="5"/>
        <v>0</v>
      </c>
      <c r="P12" s="10" t="s">
        <v>188</v>
      </c>
      <c r="Q12" s="11">
        <f t="shared" si="6"/>
        <v>0</v>
      </c>
      <c r="R12" s="10" t="s">
        <v>192</v>
      </c>
      <c r="S12" s="11">
        <f t="shared" si="7"/>
        <v>0</v>
      </c>
      <c r="T12" s="10" t="s">
        <v>176</v>
      </c>
      <c r="U12" s="11">
        <f t="shared" si="8"/>
        <v>0</v>
      </c>
      <c r="V12" s="10" t="s">
        <v>165</v>
      </c>
      <c r="W12" s="11">
        <f t="shared" si="9"/>
        <v>0</v>
      </c>
      <c r="X12" s="10" t="s">
        <v>160</v>
      </c>
      <c r="Y12" s="11">
        <f t="shared" si="10"/>
        <v>0</v>
      </c>
      <c r="Z12" s="10" t="s">
        <v>182</v>
      </c>
      <c r="AA12" s="11">
        <f t="shared" si="11"/>
        <v>0</v>
      </c>
      <c r="AB12" s="23" t="s">
        <v>165</v>
      </c>
      <c r="AC12" s="11">
        <f t="shared" si="12"/>
        <v>0</v>
      </c>
      <c r="AD12" s="10" t="s">
        <v>165</v>
      </c>
      <c r="AE12" s="11">
        <f t="shared" si="13"/>
        <v>0</v>
      </c>
      <c r="AF12" s="10" t="s">
        <v>165</v>
      </c>
      <c r="AG12" s="11">
        <f t="shared" si="14"/>
        <v>0</v>
      </c>
      <c r="AH12" s="10" t="s">
        <v>165</v>
      </c>
      <c r="AI12" s="11">
        <f t="shared" si="15"/>
        <v>0</v>
      </c>
      <c r="AJ12" s="10" t="s">
        <v>185</v>
      </c>
      <c r="AK12" s="11">
        <f t="shared" si="16"/>
        <v>0</v>
      </c>
      <c r="AL12" s="10" t="s">
        <v>165</v>
      </c>
      <c r="AM12" s="11">
        <f t="shared" si="17"/>
        <v>0</v>
      </c>
      <c r="AN12" s="10" t="s">
        <v>173</v>
      </c>
      <c r="AO12" s="11">
        <f t="shared" si="18"/>
        <v>0</v>
      </c>
      <c r="AP12" s="10" t="s">
        <v>165</v>
      </c>
      <c r="AQ12" s="11">
        <f t="shared" si="19"/>
        <v>0</v>
      </c>
      <c r="AR12" s="10" t="s">
        <v>188</v>
      </c>
      <c r="AS12" s="11">
        <f t="shared" si="20"/>
        <v>0</v>
      </c>
      <c r="AT12" s="10" t="s">
        <v>178</v>
      </c>
      <c r="AU12" s="11">
        <f t="shared" si="21"/>
        <v>0</v>
      </c>
    </row>
    <row r="13" spans="1:47" ht="14.4" customHeight="1" x14ac:dyDescent="0.3">
      <c r="A13" s="11">
        <v>11</v>
      </c>
      <c r="B13" s="1" t="s">
        <v>193</v>
      </c>
      <c r="C13" s="1" t="s">
        <v>280</v>
      </c>
      <c r="D13" s="10" t="s">
        <v>173</v>
      </c>
      <c r="E13" s="11">
        <f t="shared" si="0"/>
        <v>0</v>
      </c>
      <c r="F13" s="10" t="s">
        <v>183</v>
      </c>
      <c r="G13" s="11">
        <f t="shared" si="1"/>
        <v>0</v>
      </c>
      <c r="H13" s="10" t="s">
        <v>173</v>
      </c>
      <c r="I13" s="11">
        <f t="shared" si="2"/>
        <v>0</v>
      </c>
      <c r="J13" s="10" t="s">
        <v>173</v>
      </c>
      <c r="K13" s="11">
        <f t="shared" si="3"/>
        <v>0</v>
      </c>
      <c r="L13" s="10" t="s">
        <v>196</v>
      </c>
      <c r="M13" s="11">
        <f t="shared" si="4"/>
        <v>0</v>
      </c>
      <c r="N13" s="10" t="s">
        <v>194</v>
      </c>
      <c r="O13" s="11">
        <f t="shared" si="5"/>
        <v>0</v>
      </c>
      <c r="P13" s="10" t="s">
        <v>195</v>
      </c>
      <c r="Q13" s="11">
        <f t="shared" si="6"/>
        <v>0</v>
      </c>
      <c r="R13" s="23" t="s">
        <v>173</v>
      </c>
      <c r="S13" s="11">
        <f t="shared" si="7"/>
        <v>0</v>
      </c>
      <c r="T13" s="10" t="s">
        <v>173</v>
      </c>
      <c r="U13" s="11">
        <f t="shared" si="8"/>
        <v>0</v>
      </c>
      <c r="V13" s="10" t="s">
        <v>173</v>
      </c>
      <c r="W13" s="11">
        <f t="shared" si="9"/>
        <v>0</v>
      </c>
      <c r="X13" s="10" t="s">
        <v>173</v>
      </c>
      <c r="Y13" s="11">
        <f t="shared" si="10"/>
        <v>0</v>
      </c>
      <c r="Z13" s="10" t="s">
        <v>173</v>
      </c>
      <c r="AA13" s="11">
        <f t="shared" si="11"/>
        <v>0</v>
      </c>
      <c r="AB13" s="23" t="s">
        <v>173</v>
      </c>
      <c r="AC13" s="11">
        <f t="shared" si="12"/>
        <v>0</v>
      </c>
      <c r="AD13" s="10" t="s">
        <v>183</v>
      </c>
      <c r="AE13" s="11">
        <f t="shared" si="13"/>
        <v>0</v>
      </c>
      <c r="AF13" s="10" t="s">
        <v>185</v>
      </c>
      <c r="AG13" s="11">
        <f t="shared" si="14"/>
        <v>0</v>
      </c>
      <c r="AH13" s="10" t="s">
        <v>196</v>
      </c>
      <c r="AI13" s="11">
        <f t="shared" si="15"/>
        <v>0</v>
      </c>
      <c r="AJ13" s="10" t="s">
        <v>173</v>
      </c>
      <c r="AK13" s="11">
        <f t="shared" si="16"/>
        <v>0</v>
      </c>
      <c r="AL13" s="10" t="s">
        <v>173</v>
      </c>
      <c r="AM13" s="11">
        <f t="shared" si="17"/>
        <v>0</v>
      </c>
      <c r="AN13" s="10" t="s">
        <v>197</v>
      </c>
      <c r="AO13" s="11">
        <f t="shared" si="18"/>
        <v>0</v>
      </c>
      <c r="AP13" s="10" t="s">
        <v>173</v>
      </c>
      <c r="AQ13" s="11">
        <f t="shared" si="19"/>
        <v>0</v>
      </c>
      <c r="AR13" s="10" t="s">
        <v>259</v>
      </c>
      <c r="AS13" s="11">
        <f t="shared" si="20"/>
        <v>0</v>
      </c>
      <c r="AT13" s="10" t="s">
        <v>178</v>
      </c>
      <c r="AU13" s="11">
        <f t="shared" si="21"/>
        <v>0</v>
      </c>
    </row>
    <row r="14" spans="1:47" ht="14.4" customHeight="1" x14ac:dyDescent="0.3">
      <c r="A14" s="11">
        <v>12</v>
      </c>
      <c r="B14" s="1" t="s">
        <v>198</v>
      </c>
      <c r="C14" s="1" t="s">
        <v>201</v>
      </c>
      <c r="D14" s="10" t="s">
        <v>199</v>
      </c>
      <c r="E14" s="11">
        <f t="shared" si="0"/>
        <v>0</v>
      </c>
      <c r="F14" s="10" t="s">
        <v>200</v>
      </c>
      <c r="G14" s="11">
        <f t="shared" si="1"/>
        <v>0</v>
      </c>
      <c r="H14" s="10" t="s">
        <v>201</v>
      </c>
      <c r="I14" s="11">
        <f t="shared" si="2"/>
        <v>10</v>
      </c>
      <c r="J14" s="10" t="s">
        <v>202</v>
      </c>
      <c r="K14" s="11">
        <f t="shared" si="3"/>
        <v>0</v>
      </c>
      <c r="L14" s="10" t="s">
        <v>203</v>
      </c>
      <c r="M14" s="11">
        <f t="shared" si="4"/>
        <v>0</v>
      </c>
      <c r="N14" s="10" t="s">
        <v>204</v>
      </c>
      <c r="O14" s="11">
        <f t="shared" si="5"/>
        <v>0</v>
      </c>
      <c r="P14" s="10" t="s">
        <v>202</v>
      </c>
      <c r="Q14" s="11">
        <f t="shared" si="6"/>
        <v>0</v>
      </c>
      <c r="R14" s="10" t="s">
        <v>201</v>
      </c>
      <c r="S14" s="11">
        <f t="shared" si="7"/>
        <v>10</v>
      </c>
      <c r="T14" s="10" t="s">
        <v>202</v>
      </c>
      <c r="U14" s="11">
        <f t="shared" si="8"/>
        <v>0</v>
      </c>
      <c r="V14" s="10" t="s">
        <v>201</v>
      </c>
      <c r="W14" s="11">
        <f t="shared" si="9"/>
        <v>10</v>
      </c>
      <c r="X14" s="10" t="s">
        <v>203</v>
      </c>
      <c r="Y14" s="11">
        <f t="shared" si="10"/>
        <v>0</v>
      </c>
      <c r="Z14" s="10" t="s">
        <v>204</v>
      </c>
      <c r="AA14" s="11">
        <f t="shared" si="11"/>
        <v>0</v>
      </c>
      <c r="AB14" s="23" t="s">
        <v>199</v>
      </c>
      <c r="AC14" s="11">
        <f t="shared" si="12"/>
        <v>0</v>
      </c>
      <c r="AD14" s="10" t="s">
        <v>200</v>
      </c>
      <c r="AE14" s="11">
        <f t="shared" si="13"/>
        <v>0</v>
      </c>
      <c r="AF14" s="10" t="s">
        <v>200</v>
      </c>
      <c r="AG14" s="11">
        <f t="shared" si="14"/>
        <v>0</v>
      </c>
      <c r="AH14" s="10" t="s">
        <v>204</v>
      </c>
      <c r="AI14" s="11">
        <f t="shared" si="15"/>
        <v>0</v>
      </c>
      <c r="AJ14" s="10" t="s">
        <v>205</v>
      </c>
      <c r="AK14" s="11">
        <f t="shared" si="16"/>
        <v>0</v>
      </c>
      <c r="AL14" s="10" t="s">
        <v>206</v>
      </c>
      <c r="AM14" s="11">
        <f t="shared" si="17"/>
        <v>0</v>
      </c>
      <c r="AN14" s="10" t="s">
        <v>206</v>
      </c>
      <c r="AO14" s="11">
        <f t="shared" si="18"/>
        <v>0</v>
      </c>
      <c r="AP14" s="10" t="s">
        <v>203</v>
      </c>
      <c r="AQ14" s="11">
        <f t="shared" si="19"/>
        <v>0</v>
      </c>
      <c r="AR14" s="10" t="s">
        <v>206</v>
      </c>
      <c r="AS14" s="11">
        <f t="shared" si="20"/>
        <v>0</v>
      </c>
      <c r="AT14" s="10" t="s">
        <v>202</v>
      </c>
      <c r="AU14" s="11">
        <f t="shared" si="21"/>
        <v>0</v>
      </c>
    </row>
    <row r="15" spans="1:47" ht="14.4" customHeight="1" x14ac:dyDescent="0.3">
      <c r="A15" s="11">
        <v>13</v>
      </c>
      <c r="B15" s="1" t="s">
        <v>207</v>
      </c>
      <c r="C15" s="1">
        <v>16</v>
      </c>
      <c r="D15" s="11">
        <v>8</v>
      </c>
      <c r="E15" s="11">
        <f t="shared" si="0"/>
        <v>0</v>
      </c>
      <c r="F15" s="11">
        <v>17</v>
      </c>
      <c r="G15" s="11">
        <f t="shared" si="1"/>
        <v>0</v>
      </c>
      <c r="H15" s="11">
        <v>10</v>
      </c>
      <c r="I15" s="11">
        <f t="shared" si="2"/>
        <v>0</v>
      </c>
      <c r="J15" s="11">
        <v>8</v>
      </c>
      <c r="K15" s="11">
        <f t="shared" si="3"/>
        <v>0</v>
      </c>
      <c r="L15" s="11">
        <v>6</v>
      </c>
      <c r="M15" s="11">
        <f t="shared" si="4"/>
        <v>0</v>
      </c>
      <c r="N15" s="11">
        <v>7</v>
      </c>
      <c r="O15" s="11">
        <f t="shared" si="5"/>
        <v>0</v>
      </c>
      <c r="P15" s="11">
        <v>13</v>
      </c>
      <c r="Q15" s="11">
        <f t="shared" si="6"/>
        <v>0</v>
      </c>
      <c r="R15" s="10">
        <v>11</v>
      </c>
      <c r="S15" s="11">
        <f t="shared" si="7"/>
        <v>0</v>
      </c>
      <c r="T15" s="11">
        <v>14</v>
      </c>
      <c r="U15" s="11">
        <f t="shared" si="8"/>
        <v>0</v>
      </c>
      <c r="V15" s="11">
        <v>8</v>
      </c>
      <c r="W15" s="11">
        <f t="shared" si="9"/>
        <v>0</v>
      </c>
      <c r="X15" s="11">
        <v>7</v>
      </c>
      <c r="Y15" s="11">
        <f t="shared" si="10"/>
        <v>0</v>
      </c>
      <c r="Z15" s="11">
        <v>7</v>
      </c>
      <c r="AA15" s="11">
        <f t="shared" si="11"/>
        <v>0</v>
      </c>
      <c r="AB15" s="23">
        <v>16</v>
      </c>
      <c r="AC15" s="11">
        <f t="shared" si="12"/>
        <v>10</v>
      </c>
      <c r="AD15" s="11">
        <v>7</v>
      </c>
      <c r="AE15" s="11">
        <f t="shared" si="13"/>
        <v>0</v>
      </c>
      <c r="AF15" s="11">
        <v>6</v>
      </c>
      <c r="AG15" s="11">
        <f t="shared" si="14"/>
        <v>0</v>
      </c>
      <c r="AH15" s="11">
        <v>11</v>
      </c>
      <c r="AI15" s="11">
        <f t="shared" si="15"/>
        <v>0</v>
      </c>
      <c r="AJ15" s="10">
        <v>9</v>
      </c>
      <c r="AK15" s="11">
        <f t="shared" si="16"/>
        <v>0</v>
      </c>
      <c r="AL15" s="11">
        <v>8</v>
      </c>
      <c r="AM15" s="11">
        <f t="shared" si="17"/>
        <v>0</v>
      </c>
      <c r="AN15" s="35" t="s">
        <v>162</v>
      </c>
      <c r="AO15" s="11">
        <v>10</v>
      </c>
      <c r="AP15" s="10" t="s">
        <v>208</v>
      </c>
      <c r="AQ15" s="11">
        <f t="shared" si="19"/>
        <v>0</v>
      </c>
      <c r="AR15" s="11">
        <v>7</v>
      </c>
      <c r="AS15" s="11">
        <f t="shared" si="20"/>
        <v>0</v>
      </c>
      <c r="AT15" s="11">
        <v>18</v>
      </c>
      <c r="AU15" s="11">
        <f t="shared" si="21"/>
        <v>0</v>
      </c>
    </row>
    <row r="16" spans="1:47" ht="14.4" customHeight="1" x14ac:dyDescent="0.3">
      <c r="A16" s="11">
        <v>14</v>
      </c>
      <c r="B16" s="1" t="s">
        <v>209</v>
      </c>
      <c r="C16" s="1" t="s">
        <v>278</v>
      </c>
      <c r="D16" s="10" t="s">
        <v>210</v>
      </c>
      <c r="E16" s="11">
        <f t="shared" si="0"/>
        <v>0</v>
      </c>
      <c r="F16" s="10" t="s">
        <v>211</v>
      </c>
      <c r="G16" s="11">
        <f t="shared" si="1"/>
        <v>0</v>
      </c>
      <c r="H16" s="10" t="s">
        <v>212</v>
      </c>
      <c r="I16" s="11">
        <f t="shared" si="2"/>
        <v>0</v>
      </c>
      <c r="J16" s="10" t="s">
        <v>213</v>
      </c>
      <c r="K16" s="11">
        <f t="shared" si="3"/>
        <v>0</v>
      </c>
      <c r="L16" s="10" t="s">
        <v>213</v>
      </c>
      <c r="M16" s="11">
        <f t="shared" si="4"/>
        <v>0</v>
      </c>
      <c r="N16" s="10" t="s">
        <v>210</v>
      </c>
      <c r="O16" s="11">
        <f t="shared" si="5"/>
        <v>0</v>
      </c>
      <c r="P16" s="10" t="s">
        <v>211</v>
      </c>
      <c r="Q16" s="11">
        <f t="shared" si="6"/>
        <v>0</v>
      </c>
      <c r="R16" s="10" t="s">
        <v>211</v>
      </c>
      <c r="S16" s="11">
        <f t="shared" si="7"/>
        <v>0</v>
      </c>
      <c r="T16" s="10" t="s">
        <v>214</v>
      </c>
      <c r="U16" s="11">
        <f t="shared" si="8"/>
        <v>0</v>
      </c>
      <c r="V16" s="10" t="s">
        <v>211</v>
      </c>
      <c r="W16" s="11">
        <f t="shared" si="9"/>
        <v>0</v>
      </c>
      <c r="X16" s="10" t="s">
        <v>211</v>
      </c>
      <c r="Y16" s="11">
        <f t="shared" si="10"/>
        <v>0</v>
      </c>
      <c r="Z16" s="29" t="s">
        <v>213</v>
      </c>
      <c r="AA16" s="11">
        <f t="shared" si="11"/>
        <v>0</v>
      </c>
      <c r="AB16" s="23" t="s">
        <v>211</v>
      </c>
      <c r="AC16" s="11">
        <f t="shared" si="12"/>
        <v>0</v>
      </c>
      <c r="AD16" s="10" t="s">
        <v>276</v>
      </c>
      <c r="AE16" s="11">
        <f t="shared" si="13"/>
        <v>0</v>
      </c>
      <c r="AF16" s="10" t="s">
        <v>211</v>
      </c>
      <c r="AG16" s="11">
        <f t="shared" si="14"/>
        <v>0</v>
      </c>
      <c r="AH16" s="10" t="s">
        <v>212</v>
      </c>
      <c r="AI16" s="11">
        <f t="shared" si="15"/>
        <v>0</v>
      </c>
      <c r="AJ16" s="10" t="s">
        <v>211</v>
      </c>
      <c r="AK16" s="11">
        <f t="shared" si="16"/>
        <v>0</v>
      </c>
      <c r="AL16" s="31" t="s">
        <v>210</v>
      </c>
      <c r="AM16" s="11">
        <f t="shared" si="17"/>
        <v>0</v>
      </c>
      <c r="AN16" s="10" t="s">
        <v>212</v>
      </c>
      <c r="AO16" s="11">
        <f t="shared" si="18"/>
        <v>0</v>
      </c>
      <c r="AP16" s="10" t="s">
        <v>211</v>
      </c>
      <c r="AQ16" s="11">
        <f t="shared" si="19"/>
        <v>0</v>
      </c>
      <c r="AR16" s="10" t="s">
        <v>260</v>
      </c>
      <c r="AS16" s="11">
        <f t="shared" si="20"/>
        <v>0</v>
      </c>
      <c r="AT16" s="10" t="s">
        <v>212</v>
      </c>
      <c r="AU16" s="11">
        <f t="shared" si="21"/>
        <v>0</v>
      </c>
    </row>
    <row r="17" spans="1:47" ht="14.4" customHeight="1" x14ac:dyDescent="0.3">
      <c r="A17" s="11"/>
      <c r="B17" s="14" t="s">
        <v>215</v>
      </c>
      <c r="C17" s="11"/>
      <c r="D17" s="11"/>
      <c r="E17" s="15">
        <f>SUM(E3:E16)</f>
        <v>30</v>
      </c>
      <c r="F17" s="11"/>
      <c r="G17" s="15">
        <f>SUM(G3:G16)</f>
        <v>20</v>
      </c>
      <c r="H17" s="11"/>
      <c r="I17" s="15">
        <f>SUM(I3:I16)</f>
        <v>30</v>
      </c>
      <c r="J17" s="11"/>
      <c r="K17" s="15">
        <f>SUM(K3:K16)</f>
        <v>0</v>
      </c>
      <c r="L17" s="11"/>
      <c r="M17" s="15">
        <f>SUM(M3:M16)</f>
        <v>10</v>
      </c>
      <c r="N17" s="11"/>
      <c r="O17" s="15">
        <f>SUM(O3:O16)</f>
        <v>30</v>
      </c>
      <c r="P17" s="11"/>
      <c r="Q17" s="15">
        <f>SUM(Q3:Q16)</f>
        <v>20</v>
      </c>
      <c r="R17" s="11"/>
      <c r="S17" s="15">
        <f>SUM(S3:S16)</f>
        <v>30</v>
      </c>
      <c r="T17" s="11"/>
      <c r="U17" s="15">
        <f>SUM(U3:U16)</f>
        <v>20</v>
      </c>
      <c r="V17" s="11"/>
      <c r="W17" s="15">
        <f>SUM(W3:W16)</f>
        <v>50</v>
      </c>
      <c r="X17" s="11"/>
      <c r="Y17" s="15">
        <f>SUM(Y3:Y16)</f>
        <v>10</v>
      </c>
      <c r="Z17" s="11"/>
      <c r="AA17" s="15">
        <f>SUM(AA3:AA16)</f>
        <v>10</v>
      </c>
      <c r="AB17" s="11"/>
      <c r="AC17" s="15">
        <f>SUM(AC3:AC16)</f>
        <v>30</v>
      </c>
      <c r="AD17" s="11"/>
      <c r="AE17" s="15">
        <f>SUM(AE3:AE16)</f>
        <v>30</v>
      </c>
      <c r="AF17" s="11"/>
      <c r="AG17" s="15">
        <f>SUM(AG3:AG16)</f>
        <v>30</v>
      </c>
      <c r="AH17" s="11"/>
      <c r="AI17" s="15">
        <f>SUM(AI3:AI16)</f>
        <v>30</v>
      </c>
      <c r="AJ17" s="11"/>
      <c r="AK17" s="15">
        <f>SUM(AK3:AK16)</f>
        <v>30</v>
      </c>
      <c r="AL17" s="11"/>
      <c r="AM17" s="15">
        <f>SUM(AM3:AM16)</f>
        <v>20</v>
      </c>
      <c r="AN17" s="11"/>
      <c r="AO17" s="15">
        <f>SUM(AO3:AO16)</f>
        <v>50</v>
      </c>
      <c r="AP17" s="15"/>
      <c r="AQ17" s="15">
        <f>SUM(AQ3:AQ16)</f>
        <v>30</v>
      </c>
      <c r="AR17" s="11"/>
      <c r="AS17" s="15">
        <f>SUM(AS3:AS16)</f>
        <v>0</v>
      </c>
      <c r="AT17" s="11"/>
      <c r="AU17" s="15">
        <f>SUM(AU3:AU16)</f>
        <v>0</v>
      </c>
    </row>
  </sheetData>
  <mergeCells count="22">
    <mergeCell ref="AR1:AS1"/>
    <mergeCell ref="AT1:AU1"/>
    <mergeCell ref="AF1:AG1"/>
    <mergeCell ref="X1:Y1"/>
    <mergeCell ref="AJ1:AK1"/>
    <mergeCell ref="Z1:AA1"/>
    <mergeCell ref="AL1:AM1"/>
    <mergeCell ref="AP1:AQ1"/>
    <mergeCell ref="AD1:AE1"/>
    <mergeCell ref="AH1:AI1"/>
    <mergeCell ref="AN1:AO1"/>
    <mergeCell ref="D1:E1"/>
    <mergeCell ref="H1:I1"/>
    <mergeCell ref="J1:K1"/>
    <mergeCell ref="P1:Q1"/>
    <mergeCell ref="AB1:AC1"/>
    <mergeCell ref="N1:O1"/>
    <mergeCell ref="T1:U1"/>
    <mergeCell ref="L1:M1"/>
    <mergeCell ref="F1:G1"/>
    <mergeCell ref="R1:S1"/>
    <mergeCell ref="V1:W1"/>
  </mergeCells>
  <pageMargins left="0.75" right="0.75" top="1" bottom="1" header="0.5" footer="0.5"/>
  <ignoredErrors>
    <ignoredError sqref="AP7 AP15 AN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A4A1-7B70-44D4-80AF-897ABC8982DF}">
  <dimension ref="A1:C24"/>
  <sheetViews>
    <sheetView tabSelected="1" zoomScale="160" zoomScaleNormal="160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10.6640625" customWidth="1"/>
    <col min="2" max="2" width="22" customWidth="1"/>
    <col min="3" max="3" width="10" style="23" customWidth="1"/>
  </cols>
  <sheetData>
    <row r="1" spans="1:3" ht="18" customHeight="1" x14ac:dyDescent="0.3">
      <c r="A1" s="17" t="s">
        <v>216</v>
      </c>
      <c r="B1" s="17"/>
      <c r="C1" s="33"/>
    </row>
    <row r="2" spans="1:3" ht="18" customHeight="1" x14ac:dyDescent="0.3">
      <c r="A2" s="16" t="s">
        <v>217</v>
      </c>
      <c r="B2" s="16" t="s">
        <v>218</v>
      </c>
      <c r="C2" s="8" t="s">
        <v>221</v>
      </c>
    </row>
    <row r="3" spans="1:3" ht="18" customHeight="1" x14ac:dyDescent="0.3">
      <c r="A3" s="11">
        <f>ROW() - ROW($A$3) + 1</f>
        <v>1</v>
      </c>
      <c r="B3" s="1" t="s">
        <v>264</v>
      </c>
      <c r="C3" s="49">
        <v>1605</v>
      </c>
    </row>
    <row r="4" spans="1:3" ht="18" customHeight="1" x14ac:dyDescent="0.3">
      <c r="A4" s="11">
        <f>ROW() - ROW($A$3) + 1</f>
        <v>2</v>
      </c>
      <c r="B4" s="1" t="s">
        <v>270</v>
      </c>
      <c r="C4" s="50">
        <v>1570</v>
      </c>
    </row>
    <row r="5" spans="1:3" ht="18" customHeight="1" x14ac:dyDescent="0.3">
      <c r="A5" s="11">
        <f>ROW() - ROW($A$3) + 1</f>
        <v>3</v>
      </c>
      <c r="B5" s="1" t="s">
        <v>262</v>
      </c>
      <c r="C5" s="11">
        <v>1550</v>
      </c>
    </row>
    <row r="6" spans="1:3" ht="18" customHeight="1" x14ac:dyDescent="0.3">
      <c r="A6" s="11">
        <f>ROW() - ROW($A$3) + 1</f>
        <v>4</v>
      </c>
      <c r="B6" s="1" t="s">
        <v>267</v>
      </c>
      <c r="C6" s="11">
        <v>1514</v>
      </c>
    </row>
    <row r="7" spans="1:3" ht="18" customHeight="1" x14ac:dyDescent="0.3">
      <c r="A7" s="11">
        <f>ROW() - ROW($A$3) + 1</f>
        <v>5</v>
      </c>
      <c r="B7" s="1" t="s">
        <v>269</v>
      </c>
      <c r="C7" s="11">
        <v>1484</v>
      </c>
    </row>
    <row r="8" spans="1:3" ht="18" customHeight="1" x14ac:dyDescent="0.3">
      <c r="A8" s="11">
        <f>ROW() - ROW($A$3) + 1</f>
        <v>6</v>
      </c>
      <c r="B8" s="1" t="s">
        <v>266</v>
      </c>
      <c r="C8" s="11">
        <v>1371</v>
      </c>
    </row>
    <row r="9" spans="1:3" ht="18" customHeight="1" x14ac:dyDescent="0.3">
      <c r="A9" s="11">
        <f>ROW() - ROW($A$3) + 1</f>
        <v>7</v>
      </c>
      <c r="B9" s="1" t="s">
        <v>268</v>
      </c>
      <c r="C9" s="11">
        <v>1367</v>
      </c>
    </row>
    <row r="10" spans="1:3" ht="18" customHeight="1" x14ac:dyDescent="0.3">
      <c r="A10" s="11">
        <f>ROW() - ROW($A$3) + 1</f>
        <v>8</v>
      </c>
      <c r="B10" s="1" t="s">
        <v>263</v>
      </c>
      <c r="C10" s="11">
        <v>1341</v>
      </c>
    </row>
    <row r="11" spans="1:3" ht="18" customHeight="1" x14ac:dyDescent="0.3">
      <c r="A11" s="11">
        <f>ROW() - ROW($A$3) + 1</f>
        <v>9</v>
      </c>
      <c r="B11" s="1" t="s">
        <v>265</v>
      </c>
      <c r="C11" s="11">
        <v>1276</v>
      </c>
    </row>
    <row r="12" spans="1:3" ht="18" customHeight="1" x14ac:dyDescent="0.3">
      <c r="A12" s="11">
        <f>ROW() - ROW($A$3) + 1</f>
        <v>10</v>
      </c>
      <c r="B12" s="1" t="s">
        <v>273</v>
      </c>
      <c r="C12" s="11">
        <v>1255</v>
      </c>
    </row>
    <row r="13" spans="1:3" ht="18" customHeight="1" x14ac:dyDescent="0.3">
      <c r="A13" s="11">
        <f>ROW() - ROW($A$3) + 1</f>
        <v>11</v>
      </c>
      <c r="B13" s="1" t="s">
        <v>274</v>
      </c>
      <c r="C13" s="11">
        <v>1203</v>
      </c>
    </row>
    <row r="14" spans="1:3" ht="18" customHeight="1" x14ac:dyDescent="0.3">
      <c r="A14" s="11">
        <f>ROW() - ROW($A$3) + 1</f>
        <v>12</v>
      </c>
      <c r="B14" s="1" t="s">
        <v>271</v>
      </c>
      <c r="C14" s="11">
        <v>1197</v>
      </c>
    </row>
    <row r="15" spans="1:3" ht="18" customHeight="1" x14ac:dyDescent="0.3">
      <c r="A15" s="11">
        <f>ROW() - ROW($A$3) + 1</f>
        <v>13</v>
      </c>
      <c r="B15" s="1" t="s">
        <v>272</v>
      </c>
      <c r="C15" s="11">
        <v>1182</v>
      </c>
    </row>
    <row r="16" spans="1:3" ht="18" customHeight="1" x14ac:dyDescent="0.3">
      <c r="A16" s="11">
        <f>ROW() - ROW($A$3) + 1</f>
        <v>14</v>
      </c>
      <c r="B16" s="1" t="s">
        <v>275</v>
      </c>
      <c r="C16" s="11">
        <v>1139</v>
      </c>
    </row>
    <row r="17" spans="1:3" ht="18" customHeight="1" x14ac:dyDescent="0.3">
      <c r="A17" s="11"/>
      <c r="B17" s="1"/>
      <c r="C17" s="11"/>
    </row>
    <row r="18" spans="1:3" ht="18" customHeight="1" x14ac:dyDescent="0.3">
      <c r="A18" s="11"/>
      <c r="B18" s="1"/>
      <c r="C18" s="11"/>
    </row>
    <row r="19" spans="1:3" ht="18" customHeight="1" x14ac:dyDescent="0.3">
      <c r="A19" s="11"/>
      <c r="B19" s="1"/>
      <c r="C19" s="11"/>
    </row>
    <row r="20" spans="1:3" ht="18" customHeight="1" x14ac:dyDescent="0.3">
      <c r="A20" s="11"/>
      <c r="B20" s="1"/>
      <c r="C20" s="11"/>
    </row>
    <row r="21" spans="1:3" ht="18" customHeight="1" x14ac:dyDescent="0.3">
      <c r="A21" s="11"/>
      <c r="B21" s="1"/>
      <c r="C21" s="11"/>
    </row>
    <row r="22" spans="1:3" ht="18" customHeight="1" x14ac:dyDescent="0.3">
      <c r="A22" s="11"/>
      <c r="B22" s="1"/>
      <c r="C22" s="11"/>
    </row>
    <row r="23" spans="1:3" x14ac:dyDescent="0.3">
      <c r="A23" s="11"/>
      <c r="B23" s="1"/>
      <c r="C23" s="11"/>
    </row>
    <row r="24" spans="1:3" x14ac:dyDescent="0.3">
      <c r="A24" s="11"/>
      <c r="B24" s="1"/>
      <c r="C24" s="11"/>
    </row>
  </sheetData>
  <autoFilter ref="C2:C22" xr:uid="{00000000-0009-0000-0000-000002000000}">
    <sortState xmlns:xlrd2="http://schemas.microsoft.com/office/spreadsheetml/2017/richdata2" ref="A3:C22">
      <sortCondition descending="1" ref="C2:C22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pane ySplit="1" topLeftCell="A2" activePane="bottomLeft" state="frozen"/>
      <selection pane="bottomLeft" activeCell="H6" sqref="H6"/>
    </sheetView>
  </sheetViews>
  <sheetFormatPr defaultRowHeight="14.4" x14ac:dyDescent="0.3"/>
  <cols>
    <col min="1" max="1" width="10.6640625" customWidth="1"/>
    <col min="2" max="2" width="22" customWidth="1"/>
    <col min="3" max="3" width="20.6640625" customWidth="1"/>
    <col min="4" max="4" width="15.6640625" customWidth="1"/>
    <col min="5" max="5" width="10" customWidth="1"/>
  </cols>
  <sheetData>
    <row r="1" spans="1:5" ht="18" customHeight="1" x14ac:dyDescent="0.3">
      <c r="A1" s="17" t="s">
        <v>216</v>
      </c>
      <c r="B1" s="17"/>
      <c r="C1" s="17"/>
      <c r="D1" s="17"/>
      <c r="E1" s="17"/>
    </row>
    <row r="2" spans="1:5" ht="18" customHeight="1" x14ac:dyDescent="0.3">
      <c r="A2" s="16" t="s">
        <v>217</v>
      </c>
      <c r="B2" s="16" t="s">
        <v>218</v>
      </c>
      <c r="C2" s="16" t="s">
        <v>219</v>
      </c>
      <c r="D2" s="16" t="s">
        <v>220</v>
      </c>
      <c r="E2" s="16" t="s">
        <v>221</v>
      </c>
    </row>
    <row r="3" spans="1:5" ht="18" customHeight="1" x14ac:dyDescent="0.3">
      <c r="A3" s="11">
        <f>_xlfn.RANK.EQ(E3,$E$3:$E$90,0)</f>
        <v>1</v>
      </c>
      <c r="B3" s="1" t="str">
        <f>Wedstrijden_beheer!AE1</f>
        <v>Jeroen</v>
      </c>
      <c r="C3" s="11">
        <f>SUM(Wedstrijden_beheer!AF3:'Wedstrijden_beheer'!AF194)</f>
        <v>526</v>
      </c>
      <c r="D3" s="11">
        <f>Bonus_beheer!AE17</f>
        <v>30</v>
      </c>
      <c r="E3" s="11">
        <f>C3+D3</f>
        <v>556</v>
      </c>
    </row>
    <row r="4" spans="1:5" ht="18" customHeight="1" x14ac:dyDescent="0.3">
      <c r="A4" s="11">
        <f>_xlfn.RANK.EQ(E4,$E$3:$E$90,0)</f>
        <v>2</v>
      </c>
      <c r="B4" s="1" t="str">
        <f>Wedstrijden_beheer!AO1</f>
        <v>Patrick</v>
      </c>
      <c r="C4" s="11">
        <f>SUM(Wedstrijden_beheer!AP3:'Wedstrijden_beheer'!AP194)</f>
        <v>504</v>
      </c>
      <c r="D4" s="11">
        <f>Bonus_beheer!AO17</f>
        <v>50</v>
      </c>
      <c r="E4" s="11">
        <f>C4+D4</f>
        <v>554</v>
      </c>
    </row>
    <row r="5" spans="1:5" ht="18" customHeight="1" x14ac:dyDescent="0.3">
      <c r="A5" s="11">
        <f>_xlfn.RANK.EQ(E5,$E$3:$E$90,0)</f>
        <v>3</v>
      </c>
      <c r="B5" s="1" t="str">
        <f>Wedstrijden_beheer!AK1</f>
        <v>Kim</v>
      </c>
      <c r="C5" s="11">
        <f>SUM(Wedstrijden_beheer!AL3:'Wedstrijden_beheer'!AL194)</f>
        <v>522</v>
      </c>
      <c r="D5" s="11">
        <f>Bonus_beheer!AK17</f>
        <v>30</v>
      </c>
      <c r="E5" s="11">
        <f>C5+D5</f>
        <v>552</v>
      </c>
    </row>
    <row r="6" spans="1:5" ht="18" customHeight="1" x14ac:dyDescent="0.3">
      <c r="A6" s="11">
        <f>_xlfn.RANK.EQ(E6,$E$3:$E$90,0)</f>
        <v>4</v>
      </c>
      <c r="B6" s="1" t="str">
        <f>Wedstrijden_beheer!E1</f>
        <v>Roland</v>
      </c>
      <c r="C6" s="11">
        <f>SUM(Wedstrijden_beheer!F3:'Wedstrijden_beheer'!F194)</f>
        <v>519</v>
      </c>
      <c r="D6" s="11">
        <f>Bonus_beheer!E17</f>
        <v>30</v>
      </c>
      <c r="E6" s="11">
        <f>C6+D6</f>
        <v>549</v>
      </c>
    </row>
    <row r="7" spans="1:5" ht="18" customHeight="1" x14ac:dyDescent="0.3">
      <c r="A7" s="11">
        <f>_xlfn.RANK.EQ(E7,$E$3:$E$90,0)</f>
        <v>5</v>
      </c>
      <c r="B7" s="1" t="str">
        <f>Wedstrijden_beheer!W1</f>
        <v>Jos</v>
      </c>
      <c r="C7" s="11">
        <f>SUM(Wedstrijden_beheer!X3:'Wedstrijden_beheer'!X194)</f>
        <v>481</v>
      </c>
      <c r="D7" s="11">
        <f>Bonus_beheer!W17</f>
        <v>50</v>
      </c>
      <c r="E7" s="11">
        <f>C7+D7</f>
        <v>531</v>
      </c>
    </row>
    <row r="8" spans="1:5" ht="18" customHeight="1" x14ac:dyDescent="0.3">
      <c r="A8" s="11">
        <f>_xlfn.RANK.EQ(E8,$E$3:$E$90,0)</f>
        <v>6</v>
      </c>
      <c r="B8" s="1" t="str">
        <f>Wedstrijden_beheer!U1</f>
        <v>Tom</v>
      </c>
      <c r="C8" s="11">
        <f>SUM(Wedstrijden_beheer!V3:'Wedstrijden_beheer'!V194)</f>
        <v>507</v>
      </c>
      <c r="D8" s="11">
        <f>Bonus_beheer!U17</f>
        <v>20</v>
      </c>
      <c r="E8" s="11">
        <f>C8+D8</f>
        <v>527</v>
      </c>
    </row>
    <row r="9" spans="1:5" ht="18" customHeight="1" x14ac:dyDescent="0.3">
      <c r="A9" s="11">
        <f>_xlfn.RANK.EQ(E9,$E$3:$E$90,0)</f>
        <v>7</v>
      </c>
      <c r="B9" s="1" t="str">
        <f>Wedstrijden_beheer!I1</f>
        <v>Abdussamed</v>
      </c>
      <c r="C9" s="11">
        <f>SUM(Wedstrijden_beheer!J3:'Wedstrijden_beheer'!J194)</f>
        <v>495</v>
      </c>
      <c r="D9" s="11">
        <f>Bonus_beheer!I17</f>
        <v>30</v>
      </c>
      <c r="E9" s="11">
        <f>C9+D9</f>
        <v>525</v>
      </c>
    </row>
    <row r="10" spans="1:5" ht="18" customHeight="1" x14ac:dyDescent="0.3">
      <c r="A10" s="11">
        <f>_xlfn.RANK.EQ(E10,$E$3:$E$90,0)</f>
        <v>8</v>
      </c>
      <c r="B10" s="1" t="str">
        <f>Wedstrijden_beheer!AG1</f>
        <v>Erwin</v>
      </c>
      <c r="C10" s="11">
        <f>SUM(Wedstrijden_beheer!AH3:'Wedstrijden_beheer'!AH194)</f>
        <v>488</v>
      </c>
      <c r="D10" s="11">
        <f>Bonus_beheer!AG17</f>
        <v>30</v>
      </c>
      <c r="E10" s="11">
        <f>C10+D10</f>
        <v>518</v>
      </c>
    </row>
    <row r="11" spans="1:5" ht="18" customHeight="1" x14ac:dyDescent="0.3">
      <c r="A11" s="11">
        <f>_xlfn.RANK.EQ(E11,$E$3:$E$90,0)</f>
        <v>9</v>
      </c>
      <c r="B11" s="1" t="str">
        <f>Wedstrijden_beheer!G1</f>
        <v>Nikki</v>
      </c>
      <c r="C11" s="11">
        <f>SUM(Wedstrijden_beheer!H3:'Wedstrijden_beheer'!H194)</f>
        <v>475</v>
      </c>
      <c r="D11" s="11">
        <f>Bonus_beheer!G17</f>
        <v>20</v>
      </c>
      <c r="E11" s="11">
        <f>C11+D11</f>
        <v>495</v>
      </c>
    </row>
    <row r="12" spans="1:5" ht="18" customHeight="1" x14ac:dyDescent="0.3">
      <c r="A12" s="11">
        <f>_xlfn.RANK.EQ(E12,$E$3:$E$90,0)</f>
        <v>10</v>
      </c>
      <c r="B12" s="1" t="str">
        <f>Wedstrijden_beheer!AA1</f>
        <v>Ivo</v>
      </c>
      <c r="C12" s="11">
        <f>SUM(Wedstrijden_beheer!AB3:'Wedstrijden_beheer'!AB194)</f>
        <v>480</v>
      </c>
      <c r="D12" s="11">
        <f>Bonus_beheer!AA17</f>
        <v>10</v>
      </c>
      <c r="E12" s="11">
        <f>C12+D12</f>
        <v>490</v>
      </c>
    </row>
    <row r="13" spans="1:5" ht="18" customHeight="1" x14ac:dyDescent="0.3">
      <c r="A13" s="11">
        <f>_xlfn.RANK.EQ(E13,$E$3:$E$90,0)</f>
        <v>11</v>
      </c>
      <c r="B13" s="1" t="str">
        <f>Wedstrijden_beheer!AC1</f>
        <v>Ron</v>
      </c>
      <c r="C13" s="11">
        <f>SUM(Wedstrijden_beheer!AD3:'Wedstrijden_beheer'!AD194)</f>
        <v>458</v>
      </c>
      <c r="D13" s="11">
        <f>Bonus_beheer!AC17</f>
        <v>30</v>
      </c>
      <c r="E13" s="11">
        <f>C13+D13</f>
        <v>488</v>
      </c>
    </row>
    <row r="14" spans="1:5" ht="18" customHeight="1" x14ac:dyDescent="0.3">
      <c r="A14" s="11">
        <f>_xlfn.RANK.EQ(E14,$E$3:$E$90,0)</f>
        <v>12</v>
      </c>
      <c r="B14" s="1" t="str">
        <f>Wedstrijden_beheer!AM1</f>
        <v>Kristel</v>
      </c>
      <c r="C14" s="11">
        <f>SUM(Wedstrijden_beheer!AN3:'Wedstrijden_beheer'!AN194)</f>
        <v>462</v>
      </c>
      <c r="D14" s="11">
        <f>Bonus_beheer!AM17</f>
        <v>20</v>
      </c>
      <c r="E14" s="11">
        <f>C14+D14</f>
        <v>482</v>
      </c>
    </row>
    <row r="15" spans="1:5" ht="18" customHeight="1" x14ac:dyDescent="0.3">
      <c r="A15" s="11">
        <f>_xlfn.RANK.EQ(E15,$E$3:$E$90,0)</f>
        <v>13</v>
      </c>
      <c r="B15" s="1" t="str">
        <f>Wedstrijden_beheer!O1</f>
        <v>Maik</v>
      </c>
      <c r="C15" s="11">
        <f>SUM(Wedstrijden_beheer!P3:'Wedstrijden_beheer'!P194)</f>
        <v>450</v>
      </c>
      <c r="D15" s="11">
        <f>Bonus_beheer!O17</f>
        <v>30</v>
      </c>
      <c r="E15" s="11">
        <f>C15+D15</f>
        <v>480</v>
      </c>
    </row>
    <row r="16" spans="1:5" ht="18" customHeight="1" x14ac:dyDescent="0.3">
      <c r="A16" s="11">
        <f>_xlfn.RANK.EQ(E16,$E$3:$E$90,0)</f>
        <v>14</v>
      </c>
      <c r="B16" s="1" t="str">
        <f>Wedstrijden_beheer!Y1</f>
        <v>Lesley</v>
      </c>
      <c r="C16" s="11">
        <f>SUM(Wedstrijden_beheer!Z3:'Wedstrijden_beheer'!Z194)</f>
        <v>456</v>
      </c>
      <c r="D16" s="11">
        <f>Bonus_beheer!Y17</f>
        <v>10</v>
      </c>
      <c r="E16" s="11">
        <f>C16+D16</f>
        <v>466</v>
      </c>
    </row>
    <row r="17" spans="1:5" ht="18" customHeight="1" x14ac:dyDescent="0.3">
      <c r="A17" s="11">
        <f>_xlfn.RANK.EQ(E17,$E$3:$E$90,0)</f>
        <v>15</v>
      </c>
      <c r="B17" s="1" t="str">
        <f>Wedstrijden_beheer!AI1</f>
        <v>Tim</v>
      </c>
      <c r="C17" s="11">
        <f>SUM(Wedstrijden_beheer!AJ3:'Wedstrijden_beheer'!AJ194)</f>
        <v>434</v>
      </c>
      <c r="D17" s="11">
        <f>Bonus_beheer!AI17</f>
        <v>30</v>
      </c>
      <c r="E17" s="11">
        <f>C17+D17</f>
        <v>464</v>
      </c>
    </row>
    <row r="18" spans="1:5" ht="18" customHeight="1" x14ac:dyDescent="0.3">
      <c r="A18" s="11">
        <f>_xlfn.RANK.EQ(E18,$E$3:$E$90,0)</f>
        <v>16</v>
      </c>
      <c r="B18" s="1" t="str">
        <f>Wedstrijden_beheer!AU1</f>
        <v>Raymond</v>
      </c>
      <c r="C18" s="11">
        <f>SUM(Wedstrijden_beheer!AV3:'Wedstrijden_beheer'!AV194)</f>
        <v>438</v>
      </c>
      <c r="D18" s="11">
        <f>Bonus_beheer!AU17</f>
        <v>0</v>
      </c>
      <c r="E18" s="11">
        <f>C18+D18</f>
        <v>438</v>
      </c>
    </row>
    <row r="19" spans="1:5" ht="18" customHeight="1" x14ac:dyDescent="0.3">
      <c r="A19" s="11">
        <f>_xlfn.RANK.EQ(E19,$E$3:$E$90,0)</f>
        <v>16</v>
      </c>
      <c r="B19" s="1" t="str">
        <f>Wedstrijden_beheer!AQ1</f>
        <v>Jeno</v>
      </c>
      <c r="C19" s="11">
        <f>SUM(Wedstrijden_beheer!AV4:'Wedstrijden_beheer'!AV195)</f>
        <v>438</v>
      </c>
      <c r="D19" s="11">
        <f>Bonus_beheer!AU18</f>
        <v>0</v>
      </c>
      <c r="E19" s="11">
        <f>C19+D19</f>
        <v>438</v>
      </c>
    </row>
    <row r="20" spans="1:5" ht="18" customHeight="1" x14ac:dyDescent="0.3">
      <c r="A20" s="11">
        <f>_xlfn.RANK.EQ(E20,$E$3:$E$90,0)</f>
        <v>18</v>
      </c>
      <c r="B20" s="1" t="str">
        <f>Wedstrijden_beheer!M1</f>
        <v>Bas</v>
      </c>
      <c r="C20" s="11">
        <f>SUM(Wedstrijden_beheer!N3:'Wedstrijden_beheer'!N194)</f>
        <v>414</v>
      </c>
      <c r="D20" s="11">
        <f>Bonus_beheer!M17</f>
        <v>10</v>
      </c>
      <c r="E20" s="11">
        <f>C20+D20</f>
        <v>424</v>
      </c>
    </row>
    <row r="21" spans="1:5" ht="18" customHeight="1" x14ac:dyDescent="0.3">
      <c r="A21" s="11">
        <f>_xlfn.RANK.EQ(E21,$E$3:$E$90,0)</f>
        <v>18</v>
      </c>
      <c r="B21" s="1" t="str">
        <f>Wedstrijden_beheer!S1</f>
        <v>Marc</v>
      </c>
      <c r="C21" s="11">
        <f>SUM(Wedstrijden_beheer!T3:'Wedstrijden_beheer'!T194)</f>
        <v>394</v>
      </c>
      <c r="D21" s="11">
        <f>Bonus_beheer!S17</f>
        <v>30</v>
      </c>
      <c r="E21" s="11">
        <f>C21+D21</f>
        <v>424</v>
      </c>
    </row>
    <row r="22" spans="1:5" ht="18" customHeight="1" x14ac:dyDescent="0.3">
      <c r="A22" s="11">
        <f>_xlfn.RANK.EQ(E22,$E$3:$E$90,0)</f>
        <v>20</v>
      </c>
      <c r="B22" s="1" t="str">
        <f>Wedstrijden_beheer!Q1</f>
        <v>Simone</v>
      </c>
      <c r="C22" s="11">
        <f>SUM(Wedstrijden_beheer!R3:'Wedstrijden_beheer'!R194)</f>
        <v>392</v>
      </c>
      <c r="D22" s="11">
        <f>Bonus_beheer!Q17</f>
        <v>20</v>
      </c>
      <c r="E22" s="11">
        <f>C22+D22</f>
        <v>412</v>
      </c>
    </row>
    <row r="23" spans="1:5" x14ac:dyDescent="0.3">
      <c r="A23" s="11">
        <f>_xlfn.RANK.EQ(E23,$E$3:$E$90,0)</f>
        <v>21</v>
      </c>
      <c r="B23" s="1" t="str">
        <f>Wedstrijden_beheer!AS1</f>
        <v>Andre</v>
      </c>
      <c r="C23" s="11">
        <f>SUM(Wedstrijden_beheer!R4:'Wedstrijden_beheer'!R195)</f>
        <v>392</v>
      </c>
      <c r="D23" s="11">
        <f>Bonus_beheer!Q18</f>
        <v>0</v>
      </c>
      <c r="E23" s="11">
        <f>C23+D23</f>
        <v>392</v>
      </c>
    </row>
    <row r="24" spans="1:5" x14ac:dyDescent="0.3">
      <c r="A24" s="11">
        <f>_xlfn.RANK.EQ(E24,$E$3:$E$90,0)</f>
        <v>22</v>
      </c>
      <c r="B24" s="1" t="str">
        <f>Wedstrijden_beheer!K1</f>
        <v>Karsten</v>
      </c>
      <c r="C24" s="11">
        <f>SUM(Wedstrijden_beheer!L3:'Wedstrijden_beheer'!L194)</f>
        <v>385</v>
      </c>
      <c r="D24" s="11">
        <f>Bonus_beheer!K17</f>
        <v>0</v>
      </c>
      <c r="E24" s="11">
        <f>C24+D24</f>
        <v>385</v>
      </c>
    </row>
  </sheetData>
  <autoFilter ref="E2:E22" xr:uid="{00000000-0009-0000-0000-000002000000}">
    <sortState xmlns:xlrd2="http://schemas.microsoft.com/office/spreadsheetml/2017/richdata2" ref="A3:E24">
      <sortCondition descending="1" ref="E2:E22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="220" zoomScaleNormal="220" workbookViewId="0">
      <selection activeCell="A4" sqref="A4"/>
    </sheetView>
  </sheetViews>
  <sheetFormatPr defaultColWidth="0" defaultRowHeight="14.4" zeroHeight="1" x14ac:dyDescent="0.3"/>
  <cols>
    <col min="1" max="1" width="29.5546875" customWidth="1"/>
    <col min="2" max="2" width="28" customWidth="1"/>
    <col min="3" max="16384" width="8.6640625" hidden="1"/>
  </cols>
  <sheetData>
    <row r="1" spans="1:2" ht="18" customHeight="1" x14ac:dyDescent="0.3">
      <c r="A1" s="17" t="s">
        <v>222</v>
      </c>
      <c r="B1" s="17"/>
    </row>
    <row r="2" spans="1:2" ht="18" customHeight="1" x14ac:dyDescent="0.3">
      <c r="A2" s="16" t="s">
        <v>223</v>
      </c>
      <c r="B2" s="16" t="s">
        <v>224</v>
      </c>
    </row>
    <row r="3" spans="1:2" ht="18" customHeight="1" x14ac:dyDescent="0.3">
      <c r="A3" s="1" t="s">
        <v>225</v>
      </c>
      <c r="B3" s="1" t="s">
        <v>226</v>
      </c>
    </row>
    <row r="4" spans="1:2" ht="18" customHeight="1" x14ac:dyDescent="0.3">
      <c r="A4" s="1" t="s">
        <v>227</v>
      </c>
      <c r="B4" s="1" t="s">
        <v>226</v>
      </c>
    </row>
    <row r="5" spans="1:2" ht="18" customHeight="1" x14ac:dyDescent="0.3">
      <c r="A5" s="1" t="s">
        <v>228</v>
      </c>
      <c r="B5" s="1" t="s">
        <v>229</v>
      </c>
    </row>
    <row r="6" spans="1:2" ht="18" customHeight="1" x14ac:dyDescent="0.3">
      <c r="A6" s="1" t="s">
        <v>230</v>
      </c>
      <c r="B6" s="1" t="s">
        <v>231</v>
      </c>
    </row>
    <row r="7" spans="1:2" ht="18" customHeight="1" x14ac:dyDescent="0.3">
      <c r="A7" s="1" t="s">
        <v>232</v>
      </c>
      <c r="B7" s="1" t="s">
        <v>233</v>
      </c>
    </row>
    <row r="8" spans="1:2" ht="18" customHeight="1" x14ac:dyDescent="0.3">
      <c r="A8" s="1" t="s">
        <v>234</v>
      </c>
      <c r="B8" s="1" t="s">
        <v>235</v>
      </c>
    </row>
    <row r="9" spans="1:2" ht="18" customHeight="1" x14ac:dyDescent="0.3">
      <c r="A9" s="1" t="s">
        <v>236</v>
      </c>
      <c r="B9" s="1" t="s">
        <v>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8"/>
  <sheetViews>
    <sheetView zoomScale="235" zoomScaleNormal="235" workbookViewId="0">
      <selection activeCell="A8" sqref="A8"/>
    </sheetView>
  </sheetViews>
  <sheetFormatPr defaultColWidth="0" defaultRowHeight="14.4" zeroHeight="1" x14ac:dyDescent="0.3"/>
  <cols>
    <col min="1" max="1" width="55.6640625" customWidth="1"/>
    <col min="2" max="2" width="10.6640625" customWidth="1"/>
    <col min="3" max="3" width="30.6640625" customWidth="1"/>
    <col min="4" max="44" width="0" hidden="1" customWidth="1"/>
    <col min="45" max="16384" width="8.6640625" hidden="1"/>
  </cols>
  <sheetData>
    <row r="1" spans="1:44" ht="18" customHeight="1" x14ac:dyDescent="0.3">
      <c r="A1" s="17" t="s">
        <v>238</v>
      </c>
      <c r="B1" s="17"/>
      <c r="C1" s="17"/>
      <c r="D1" s="5"/>
      <c r="E1" s="6"/>
      <c r="F1" s="5"/>
      <c r="G1" s="6"/>
      <c r="H1" s="5"/>
      <c r="I1" s="6"/>
      <c r="J1" s="5"/>
      <c r="K1" s="6"/>
      <c r="L1" s="5"/>
      <c r="M1" s="6"/>
      <c r="N1" s="5"/>
      <c r="O1" s="6"/>
      <c r="P1" s="5"/>
      <c r="Q1" s="6"/>
      <c r="R1" s="5"/>
      <c r="S1" s="6"/>
      <c r="T1" s="5"/>
      <c r="U1" s="6"/>
      <c r="V1" s="5"/>
      <c r="W1" s="6"/>
      <c r="X1" s="5"/>
      <c r="Y1" s="6"/>
      <c r="Z1" s="5"/>
      <c r="AA1" s="6"/>
      <c r="AB1" s="5"/>
      <c r="AC1" s="6"/>
      <c r="AD1" s="5"/>
      <c r="AE1" s="6"/>
      <c r="AF1" s="5"/>
      <c r="AG1" s="6"/>
      <c r="AH1" s="5"/>
      <c r="AI1" s="6"/>
      <c r="AJ1" s="5"/>
      <c r="AK1" s="6"/>
      <c r="AL1" s="5"/>
      <c r="AM1" s="6"/>
      <c r="AN1" s="5"/>
      <c r="AO1" s="6"/>
      <c r="AP1" s="5"/>
      <c r="AQ1" s="6"/>
      <c r="AR1" s="3"/>
    </row>
    <row r="2" spans="1:44" ht="18" customHeight="1" x14ac:dyDescent="0.3">
      <c r="A2" s="16" t="s">
        <v>223</v>
      </c>
      <c r="B2" s="16" t="s">
        <v>28</v>
      </c>
      <c r="C2" s="16" t="s">
        <v>239</v>
      </c>
    </row>
    <row r="3" spans="1:44" ht="18" customHeight="1" x14ac:dyDescent="0.3">
      <c r="A3" s="1" t="s">
        <v>240</v>
      </c>
      <c r="B3" s="1">
        <v>10</v>
      </c>
      <c r="C3" s="1" t="s">
        <v>241</v>
      </c>
    </row>
    <row r="4" spans="1:44" ht="18" customHeight="1" x14ac:dyDescent="0.3">
      <c r="A4" s="1" t="s">
        <v>242</v>
      </c>
      <c r="B4" s="1">
        <v>5</v>
      </c>
      <c r="C4" s="1" t="s">
        <v>243</v>
      </c>
    </row>
    <row r="5" spans="1:44" ht="18" customHeight="1" x14ac:dyDescent="0.3">
      <c r="A5" s="1" t="s">
        <v>244</v>
      </c>
      <c r="B5" s="1">
        <v>2</v>
      </c>
      <c r="C5" s="1" t="s">
        <v>245</v>
      </c>
    </row>
    <row r="6" spans="1:44" ht="18" customHeight="1" x14ac:dyDescent="0.3">
      <c r="A6" s="1" t="s">
        <v>246</v>
      </c>
      <c r="B6" s="1">
        <v>2</v>
      </c>
      <c r="C6" s="1" t="s">
        <v>247</v>
      </c>
    </row>
    <row r="7" spans="1:44" ht="18" customHeight="1" x14ac:dyDescent="0.3">
      <c r="A7" s="1" t="s">
        <v>248</v>
      </c>
      <c r="B7" s="1">
        <v>2</v>
      </c>
      <c r="C7" s="1" t="s">
        <v>249</v>
      </c>
    </row>
    <row r="8" spans="1:44" ht="18" customHeight="1" x14ac:dyDescent="0.3">
      <c r="A8" s="1" t="s">
        <v>250</v>
      </c>
      <c r="B8" s="1">
        <v>10</v>
      </c>
      <c r="C8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61A6-3B9F-400D-BBAF-4858A45169E1}">
  <dimension ref="A1:C23"/>
  <sheetViews>
    <sheetView topLeftCell="A4" zoomScale="190" zoomScaleNormal="190" workbookViewId="0">
      <selection activeCell="D20" sqref="D20"/>
    </sheetView>
  </sheetViews>
  <sheetFormatPr defaultRowHeight="14.4" x14ac:dyDescent="0.3"/>
  <cols>
    <col min="1" max="1" width="20.5546875" customWidth="1"/>
    <col min="2" max="2" width="16.5546875" customWidth="1"/>
    <col min="3" max="3" width="15" customWidth="1"/>
  </cols>
  <sheetData>
    <row r="1" spans="1:3" x14ac:dyDescent="0.3">
      <c r="A1" s="26" t="s">
        <v>251</v>
      </c>
      <c r="B1" s="26" t="s">
        <v>252</v>
      </c>
      <c r="C1" s="26" t="s">
        <v>253</v>
      </c>
    </row>
    <row r="2" spans="1:3" x14ac:dyDescent="0.3">
      <c r="A2" t="s">
        <v>254</v>
      </c>
      <c r="B2" t="s">
        <v>22</v>
      </c>
    </row>
    <row r="3" spans="1:3" x14ac:dyDescent="0.3">
      <c r="B3" t="s">
        <v>23</v>
      </c>
    </row>
    <row r="4" spans="1:3" x14ac:dyDescent="0.3">
      <c r="B4" t="s">
        <v>24</v>
      </c>
    </row>
    <row r="5" spans="1:3" x14ac:dyDescent="0.3">
      <c r="B5" t="s">
        <v>255</v>
      </c>
    </row>
    <row r="6" spans="1:3" x14ac:dyDescent="0.3">
      <c r="B6" t="s">
        <v>20</v>
      </c>
    </row>
    <row r="7" spans="1:3" x14ac:dyDescent="0.3">
      <c r="B7" t="s">
        <v>17</v>
      </c>
    </row>
    <row r="8" spans="1:3" x14ac:dyDescent="0.3">
      <c r="B8" t="s">
        <v>15</v>
      </c>
    </row>
    <row r="9" spans="1:3" x14ac:dyDescent="0.3">
      <c r="B9" t="s">
        <v>16</v>
      </c>
    </row>
    <row r="10" spans="1:3" x14ac:dyDescent="0.3">
      <c r="B10" t="s">
        <v>11</v>
      </c>
    </row>
    <row r="11" spans="1:3" x14ac:dyDescent="0.3">
      <c r="B11" t="s">
        <v>9</v>
      </c>
    </row>
    <row r="12" spans="1:3" x14ac:dyDescent="0.3">
      <c r="B12" t="s">
        <v>10</v>
      </c>
    </row>
    <row r="13" spans="1:3" x14ac:dyDescent="0.3">
      <c r="B13" t="s">
        <v>12</v>
      </c>
    </row>
    <row r="14" spans="1:3" x14ac:dyDescent="0.3">
      <c r="B14" t="s">
        <v>8</v>
      </c>
    </row>
    <row r="15" spans="1:3" x14ac:dyDescent="0.3">
      <c r="B15" t="s">
        <v>7</v>
      </c>
    </row>
    <row r="16" spans="1:3" x14ac:dyDescent="0.3">
      <c r="B16" t="s">
        <v>6</v>
      </c>
    </row>
    <row r="17" spans="2:3" x14ac:dyDescent="0.3">
      <c r="B17" t="s">
        <v>5</v>
      </c>
    </row>
    <row r="18" spans="2:3" x14ac:dyDescent="0.3">
      <c r="B18" t="s">
        <v>4</v>
      </c>
    </row>
    <row r="19" spans="2:3" x14ac:dyDescent="0.3">
      <c r="B19" t="s">
        <v>21</v>
      </c>
    </row>
    <row r="20" spans="2:3" x14ac:dyDescent="0.3">
      <c r="B20" t="s">
        <v>14</v>
      </c>
    </row>
    <row r="21" spans="2:3" x14ac:dyDescent="0.3">
      <c r="B21" t="s">
        <v>13</v>
      </c>
    </row>
    <row r="22" spans="2:3" x14ac:dyDescent="0.3">
      <c r="B22" t="s">
        <v>18</v>
      </c>
    </row>
    <row r="23" spans="2:3" x14ac:dyDescent="0.3">
      <c r="C23" t="s">
        <v>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B5CA5D9B2D2E40A04107BA9009336A" ma:contentTypeVersion="11" ma:contentTypeDescription="Create a new document." ma:contentTypeScope="" ma:versionID="a76a1f1216eebef05d317362f2b46be1">
  <xsd:schema xmlns:xsd="http://www.w3.org/2001/XMLSchema" xmlns:xs="http://www.w3.org/2001/XMLSchema" xmlns:p="http://schemas.microsoft.com/office/2006/metadata/properties" xmlns:ns2="7c2036e6-2c6c-4cc0-93d3-66cc911cb074" xmlns:ns3="7b90d758-d430-4ffd-9227-0f539ac48821" targetNamespace="http://schemas.microsoft.com/office/2006/metadata/properties" ma:root="true" ma:fieldsID="ac005e59cc78a2985128eb85e772a849" ns2:_="" ns3:_="">
    <xsd:import namespace="7c2036e6-2c6c-4cc0-93d3-66cc911cb074"/>
    <xsd:import namespace="7b90d758-d430-4ffd-9227-0f539ac48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036e6-2c6c-4cc0-93d3-66cc911cb0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e1dfbca-3c75-44bb-89aa-1fff1b1024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0d758-d430-4ffd-9227-0f539ac488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b9b304-286b-4279-9ebe-f284c3264fa1}" ma:internalName="TaxCatchAll" ma:showField="CatchAllData" ma:web="7b90d758-d430-4ffd-9227-0f539ac488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036e6-2c6c-4cc0-93d3-66cc911cb074">
      <Terms xmlns="http://schemas.microsoft.com/office/infopath/2007/PartnerControls"/>
    </lcf76f155ced4ddcb4097134ff3c332f>
    <TaxCatchAll xmlns="7b90d758-d430-4ffd-9227-0f539ac48821" xsi:nil="true"/>
  </documentManagement>
</p:properties>
</file>

<file path=customXml/itemProps1.xml><?xml version="1.0" encoding="utf-8"?>
<ds:datastoreItem xmlns:ds="http://schemas.openxmlformats.org/officeDocument/2006/customXml" ds:itemID="{CC36E1F8-38A3-408A-8859-75EB2F5B45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2036e6-2c6c-4cc0-93d3-66cc911cb074"/>
    <ds:schemaRef ds:uri="7b90d758-d430-4ffd-9227-0f539ac48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F6CA4E-A4E7-4BEF-969F-6D691108D8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67818C-8D56-468A-9A53-C7AB90E97273}">
  <ds:schemaRefs>
    <ds:schemaRef ds:uri="7b90d758-d430-4ffd-9227-0f539ac48821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7c2036e6-2c6c-4cc0-93d3-66cc911cb074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Wedstrijden_beheer</vt:lpstr>
      <vt:lpstr>Bonus_beheer</vt:lpstr>
      <vt:lpstr>Stand TdF</vt:lpstr>
      <vt:lpstr>Stand</vt:lpstr>
      <vt:lpstr>Deadlines</vt:lpstr>
      <vt:lpstr>Puntentelling</vt:lpstr>
      <vt:lpstr>Prijzenpot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Roland Meijer</cp:lastModifiedBy>
  <cp:revision/>
  <dcterms:created xsi:type="dcterms:W3CDTF">2026-05-15T12:14:59Z</dcterms:created>
  <dcterms:modified xsi:type="dcterms:W3CDTF">2026-07-23T05:47:40Z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0x01010048B5CA5D9B2D2E40A04107BA9009336A</vt:lpwstr>
  </property>
  <property fmtid="{D5CDD505-2E9C-101B-9397-08002B2CF9AE}" pid="3" name="MediaServiceImageTags">
    <vt:lpwstr/>
  </property>
</Properties>
</file>