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625" documentId="8_{E82BF418-5EC5-4A9D-9227-B9F99AE92E74}" xr6:coauthVersionLast="47" xr6:coauthVersionMax="47" xr10:uidLastSave="{840162B5-567E-42A9-8A02-3FD25712C9CB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21" i="1"/>
  <c r="AT27" i="1"/>
  <c r="AT32" i="1"/>
  <c r="AT39" i="1"/>
  <c r="AT45" i="1"/>
  <c r="AT50" i="1"/>
  <c r="AT57" i="1"/>
  <c r="AT63" i="1"/>
  <c r="AT69" i="1"/>
  <c r="AT74" i="1"/>
  <c r="AT75" i="1"/>
  <c r="AT81" i="1"/>
  <c r="AT87" i="1"/>
  <c r="AT89" i="1"/>
  <c r="AT93" i="1"/>
  <c r="AT96" i="1"/>
  <c r="AT97" i="1"/>
  <c r="AT101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1" i="3"/>
  <c r="D21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74" i="1"/>
  <c r="AV79" i="1"/>
  <c r="AV85" i="1"/>
  <c r="AV93" i="1"/>
  <c r="AV96" i="1"/>
  <c r="AV99" i="1"/>
  <c r="AV100" i="1"/>
  <c r="AV101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9" i="3"/>
  <c r="B10" i="3"/>
  <c r="B6" i="3"/>
  <c r="B16" i="3"/>
  <c r="B24" i="3"/>
  <c r="B13" i="3"/>
  <c r="B15" i="3"/>
  <c r="B5" i="3"/>
  <c r="B4" i="3"/>
  <c r="B20" i="3"/>
  <c r="B23" i="3"/>
  <c r="B11" i="3"/>
  <c r="B14" i="3"/>
  <c r="D14" i="3"/>
  <c r="B12" i="3"/>
  <c r="B8" i="3"/>
  <c r="B18" i="3"/>
  <c r="B19" i="3"/>
  <c r="B3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4" i="1"/>
  <c r="AR75" i="1"/>
  <c r="AR79" i="1"/>
  <c r="AR80" i="1"/>
  <c r="AR81" i="1"/>
  <c r="AR85" i="1"/>
  <c r="AR86" i="1"/>
  <c r="AR87" i="1"/>
  <c r="AR88" i="1"/>
  <c r="AR89" i="1"/>
  <c r="AR93" i="1"/>
  <c r="AR95" i="1"/>
  <c r="AR96" i="1"/>
  <c r="AR97" i="1"/>
  <c r="AR99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V8" i="1" s="1"/>
  <c r="AX8" i="1"/>
  <c r="AW9" i="1"/>
  <c r="AX9" i="1"/>
  <c r="AW12" i="1"/>
  <c r="AX12" i="1"/>
  <c r="AW13" i="1"/>
  <c r="N13" i="1" s="1"/>
  <c r="AX13" i="1"/>
  <c r="AW16" i="1"/>
  <c r="AX16" i="1"/>
  <c r="AW17" i="1"/>
  <c r="V17" i="1" s="1"/>
  <c r="AX17" i="1"/>
  <c r="AW18" i="1"/>
  <c r="AX18" i="1"/>
  <c r="AW19" i="1"/>
  <c r="H19" i="1" s="1"/>
  <c r="AX19" i="1"/>
  <c r="AW20" i="1"/>
  <c r="AV20" i="1" s="1"/>
  <c r="AX20" i="1"/>
  <c r="J20" i="1" s="1"/>
  <c r="AW23" i="1"/>
  <c r="AX23" i="1"/>
  <c r="AW24" i="1"/>
  <c r="AX24" i="1"/>
  <c r="AW25" i="1"/>
  <c r="AX25" i="1"/>
  <c r="AW26" i="1"/>
  <c r="AX26" i="1"/>
  <c r="AW29" i="1"/>
  <c r="AL29" i="1" s="1"/>
  <c r="AX29" i="1"/>
  <c r="AW30" i="1"/>
  <c r="AJ30" i="1" s="1"/>
  <c r="AX30" i="1"/>
  <c r="AW31" i="1"/>
  <c r="AX31" i="1"/>
  <c r="AW34" i="1"/>
  <c r="AX34" i="1"/>
  <c r="AW35" i="1"/>
  <c r="N35" i="1" s="1"/>
  <c r="AX35" i="1"/>
  <c r="AW36" i="1"/>
  <c r="AX36" i="1"/>
  <c r="AW37" i="1"/>
  <c r="AF37" i="1" s="1"/>
  <c r="AX37" i="1"/>
  <c r="AW38" i="1"/>
  <c r="N38" i="1" s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AP52" i="1" s="1"/>
  <c r="AX52" i="1"/>
  <c r="AW53" i="1"/>
  <c r="AV53" i="1" s="1"/>
  <c r="AX53" i="1"/>
  <c r="AW54" i="1"/>
  <c r="AX54" i="1"/>
  <c r="AJ54" i="1" s="1"/>
  <c r="AW55" i="1"/>
  <c r="H55" i="1" s="1"/>
  <c r="AX55" i="1"/>
  <c r="AW56" i="1"/>
  <c r="AP56" i="1" s="1"/>
  <c r="AX56" i="1"/>
  <c r="AW59" i="1"/>
  <c r="H59" i="1" s="1"/>
  <c r="AX59" i="1"/>
  <c r="AW60" i="1"/>
  <c r="R60" i="1" s="1"/>
  <c r="AX60" i="1"/>
  <c r="V60" i="1" s="1"/>
  <c r="AW61" i="1"/>
  <c r="H61" i="1" s="1"/>
  <c r="AX61" i="1"/>
  <c r="AW62" i="1"/>
  <c r="AX62" i="1"/>
  <c r="AW65" i="1"/>
  <c r="R65" i="1" s="1"/>
  <c r="AX65" i="1"/>
  <c r="Z65" i="1" s="1"/>
  <c r="AW66" i="1"/>
  <c r="AB66" i="1" s="1"/>
  <c r="AX66" i="1"/>
  <c r="AW67" i="1"/>
  <c r="H67" i="1" s="1"/>
  <c r="AX67" i="1"/>
  <c r="AW68" i="1"/>
  <c r="T68" i="1" s="1"/>
  <c r="AX68" i="1"/>
  <c r="P68" i="1" s="1"/>
  <c r="AW71" i="1"/>
  <c r="X71" i="1" s="1"/>
  <c r="AX71" i="1"/>
  <c r="AW72" i="1"/>
  <c r="AN72" i="1" s="1"/>
  <c r="AX72" i="1"/>
  <c r="AW73" i="1"/>
  <c r="AJ73" i="1" s="1"/>
  <c r="AX73" i="1"/>
  <c r="AW74" i="1"/>
  <c r="AX74" i="1"/>
  <c r="J74" i="1" s="1"/>
  <c r="AW77" i="1"/>
  <c r="AL77" i="1" s="1"/>
  <c r="AX77" i="1"/>
  <c r="AW78" i="1"/>
  <c r="F78" i="1" s="1"/>
  <c r="AX78" i="1"/>
  <c r="AW79" i="1"/>
  <c r="AH79" i="1" s="1"/>
  <c r="AX79" i="1"/>
  <c r="AD79" i="1" s="1"/>
  <c r="AW80" i="1"/>
  <c r="AL80" i="1" s="1"/>
  <c r="AX80" i="1"/>
  <c r="AB80" i="1" s="1"/>
  <c r="AW83" i="1"/>
  <c r="AR83" i="1" s="1"/>
  <c r="AX83" i="1"/>
  <c r="Z83" i="1" s="1"/>
  <c r="AW84" i="1"/>
  <c r="AR84" i="1" s="1"/>
  <c r="AX84" i="1"/>
  <c r="AN84" i="1" s="1"/>
  <c r="AW85" i="1"/>
  <c r="AT85" i="1" s="1"/>
  <c r="AX85" i="1"/>
  <c r="AW86" i="1"/>
  <c r="AP86" i="1" s="1"/>
  <c r="AX86" i="1"/>
  <c r="AD86" i="1" s="1"/>
  <c r="AW87" i="1"/>
  <c r="AB87" i="1" s="1"/>
  <c r="AX87" i="1"/>
  <c r="AW88" i="1"/>
  <c r="F88" i="1" s="1"/>
  <c r="AX88" i="1"/>
  <c r="AW91" i="1"/>
  <c r="AV91" i="1" s="1"/>
  <c r="AX91" i="1"/>
  <c r="AW92" i="1"/>
  <c r="AV92" i="1" s="1"/>
  <c r="AX92" i="1"/>
  <c r="N92" i="1" s="1"/>
  <c r="AW93" i="1"/>
  <c r="T93" i="1" s="1"/>
  <c r="AX93" i="1"/>
  <c r="AW94" i="1"/>
  <c r="AV94" i="1" s="1"/>
  <c r="AX94" i="1"/>
  <c r="AR94" i="1" s="1"/>
  <c r="AW95" i="1"/>
  <c r="AH95" i="1" s="1"/>
  <c r="AX95" i="1"/>
  <c r="AJ95" i="1" s="1"/>
  <c r="AW96" i="1"/>
  <c r="X96" i="1" s="1"/>
  <c r="AX96" i="1"/>
  <c r="T96" i="1" s="1"/>
  <c r="AW99" i="1"/>
  <c r="AL99" i="1" s="1"/>
  <c r="AX99" i="1"/>
  <c r="AT99" i="1" s="1"/>
  <c r="AW100" i="1"/>
  <c r="AD100" i="1" s="1"/>
  <c r="AX100" i="1"/>
  <c r="AR100" i="1" s="1"/>
  <c r="AW101" i="1"/>
  <c r="F101" i="1" s="1"/>
  <c r="AX101" i="1"/>
  <c r="AL101" i="1" s="1"/>
  <c r="AW102" i="1"/>
  <c r="AV102" i="1" s="1"/>
  <c r="AX102" i="1"/>
  <c r="X102" i="1" s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53" i="1"/>
  <c r="F72" i="1"/>
  <c r="F74" i="1"/>
  <c r="F77" i="1"/>
  <c r="F79" i="1"/>
  <c r="F85" i="1"/>
  <c r="F91" i="1"/>
  <c r="F93" i="1"/>
  <c r="F94" i="1"/>
  <c r="F96" i="1"/>
  <c r="F99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V102" i="1"/>
  <c r="T102" i="1"/>
  <c r="R102" i="1"/>
  <c r="P102" i="1"/>
  <c r="N102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R96" i="1"/>
  <c r="P96" i="1"/>
  <c r="N96" i="1"/>
  <c r="L96" i="1"/>
  <c r="J96" i="1"/>
  <c r="H96" i="1"/>
  <c r="AF95" i="1"/>
  <c r="AB95" i="1"/>
  <c r="X95" i="1"/>
  <c r="V95" i="1"/>
  <c r="P95" i="1"/>
  <c r="N95" i="1"/>
  <c r="L95" i="1"/>
  <c r="H95" i="1"/>
  <c r="AP94" i="1"/>
  <c r="AN94" i="1"/>
  <c r="AL94" i="1"/>
  <c r="AJ94" i="1"/>
  <c r="AH94" i="1"/>
  <c r="AF94" i="1"/>
  <c r="AP93" i="1"/>
  <c r="AN93" i="1"/>
  <c r="AL93" i="1"/>
  <c r="AJ93" i="1"/>
  <c r="AH93" i="1"/>
  <c r="AD93" i="1"/>
  <c r="AB93" i="1"/>
  <c r="X93" i="1"/>
  <c r="V93" i="1"/>
  <c r="R93" i="1"/>
  <c r="P93" i="1"/>
  <c r="N93" i="1"/>
  <c r="L93" i="1"/>
  <c r="J93" i="1"/>
  <c r="H93" i="1"/>
  <c r="AN92" i="1"/>
  <c r="X92" i="1"/>
  <c r="V92" i="1"/>
  <c r="T92" i="1"/>
  <c r="R92" i="1"/>
  <c r="P92" i="1"/>
  <c r="L92" i="1"/>
  <c r="H92" i="1"/>
  <c r="Z91" i="1"/>
  <c r="J91" i="1"/>
  <c r="H91" i="1"/>
  <c r="AN88" i="1"/>
  <c r="AD88" i="1"/>
  <c r="AB88" i="1"/>
  <c r="Z88" i="1"/>
  <c r="X88" i="1"/>
  <c r="V88" i="1"/>
  <c r="AP87" i="1"/>
  <c r="AJ87" i="1"/>
  <c r="V87" i="1"/>
  <c r="T87" i="1"/>
  <c r="R87" i="1"/>
  <c r="P87" i="1"/>
  <c r="N87" i="1"/>
  <c r="L87" i="1"/>
  <c r="J87" i="1"/>
  <c r="H87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L84" i="1"/>
  <c r="AJ84" i="1"/>
  <c r="AH84" i="1"/>
  <c r="AF84" i="1"/>
  <c r="AD84" i="1"/>
  <c r="AB84" i="1"/>
  <c r="Z84" i="1"/>
  <c r="X84" i="1"/>
  <c r="V84" i="1"/>
  <c r="T84" i="1"/>
  <c r="X83" i="1"/>
  <c r="V83" i="1"/>
  <c r="T83" i="1"/>
  <c r="R83" i="1"/>
  <c r="P83" i="1"/>
  <c r="N83" i="1"/>
  <c r="L83" i="1"/>
  <c r="J83" i="1"/>
  <c r="H83" i="1"/>
  <c r="AP80" i="1"/>
  <c r="AN80" i="1"/>
  <c r="Z80" i="1"/>
  <c r="J80" i="1"/>
  <c r="H80" i="1"/>
  <c r="AB79" i="1"/>
  <c r="Z79" i="1"/>
  <c r="X79" i="1"/>
  <c r="V79" i="1"/>
  <c r="AH78" i="1"/>
  <c r="AF78" i="1"/>
  <c r="AD78" i="1"/>
  <c r="V78" i="1"/>
  <c r="T78" i="1"/>
  <c r="P78" i="1"/>
  <c r="N78" i="1"/>
  <c r="L78" i="1"/>
  <c r="H78" i="1"/>
  <c r="AN77" i="1"/>
  <c r="AH77" i="1"/>
  <c r="AF77" i="1"/>
  <c r="X77" i="1"/>
  <c r="P77" i="1"/>
  <c r="L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H74" i="1"/>
  <c r="AF72" i="1"/>
  <c r="P72" i="1"/>
  <c r="AL71" i="1"/>
  <c r="AH71" i="1"/>
  <c r="AB71" i="1"/>
  <c r="Z71" i="1"/>
  <c r="R71" i="1"/>
  <c r="AD68" i="1"/>
  <c r="AB68" i="1"/>
  <c r="Z68" i="1"/>
  <c r="X68" i="1"/>
  <c r="V68" i="1"/>
  <c r="N68" i="1"/>
  <c r="L68" i="1"/>
  <c r="J68" i="1"/>
  <c r="H68" i="1"/>
  <c r="AP66" i="1"/>
  <c r="AL66" i="1"/>
  <c r="AH66" i="1"/>
  <c r="X66" i="1"/>
  <c r="T66" i="1"/>
  <c r="P66" i="1"/>
  <c r="L66" i="1"/>
  <c r="J66" i="1"/>
  <c r="H66" i="1"/>
  <c r="AD65" i="1"/>
  <c r="AB65" i="1"/>
  <c r="X65" i="1"/>
  <c r="V65" i="1"/>
  <c r="T65" i="1"/>
  <c r="AH59" i="1"/>
  <c r="V59" i="1"/>
  <c r="T59" i="1"/>
  <c r="R59" i="1"/>
  <c r="N59" i="1"/>
  <c r="L59" i="1"/>
  <c r="J59" i="1"/>
  <c r="X56" i="1"/>
  <c r="P56" i="1"/>
  <c r="N56" i="1"/>
  <c r="L56" i="1"/>
  <c r="J56" i="1"/>
  <c r="H56" i="1"/>
  <c r="AN55" i="1"/>
  <c r="N55" i="1"/>
  <c r="AP54" i="1"/>
  <c r="AN54" i="1"/>
  <c r="AL54" i="1"/>
  <c r="AH54" i="1"/>
  <c r="AF54" i="1"/>
  <c r="AN53" i="1"/>
  <c r="AL53" i="1"/>
  <c r="AJ53" i="1"/>
  <c r="AD53" i="1"/>
  <c r="AB53" i="1"/>
  <c r="Z53" i="1"/>
  <c r="X53" i="1"/>
  <c r="V53" i="1"/>
  <c r="T53" i="1"/>
  <c r="R53" i="1"/>
  <c r="P53" i="1"/>
  <c r="N53" i="1"/>
  <c r="L53" i="1"/>
  <c r="H52" i="1"/>
  <c r="AD48" i="1"/>
  <c r="X48" i="1"/>
  <c r="L48" i="1"/>
  <c r="J48" i="1"/>
  <c r="AN47" i="1"/>
  <c r="J35" i="1"/>
  <c r="AL31" i="1"/>
  <c r="AH31" i="1"/>
  <c r="L31" i="1"/>
  <c r="AL30" i="1"/>
  <c r="AP19" i="1"/>
  <c r="T16" i="1"/>
  <c r="R16" i="1"/>
  <c r="P16" i="1"/>
  <c r="N16" i="1"/>
  <c r="L16" i="1"/>
  <c r="J16" i="1"/>
  <c r="H16" i="1"/>
  <c r="P13" i="1"/>
  <c r="J13" i="1"/>
  <c r="H13" i="1"/>
  <c r="AR101" i="1" l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10" i="3" s="1"/>
  <c r="AM17" i="2"/>
  <c r="D11" i="3" s="1"/>
  <c r="AI17" i="2"/>
  <c r="D23" i="3" s="1"/>
  <c r="AO17" i="2"/>
  <c r="D4" i="3" s="1"/>
  <c r="AA17" i="2"/>
  <c r="D8" i="3" s="1"/>
  <c r="AC17" i="2"/>
  <c r="D19" i="3" s="1"/>
  <c r="AE17" i="2"/>
  <c r="D3" i="3" s="1"/>
  <c r="AG17" i="2"/>
  <c r="D13" i="3" s="1"/>
  <c r="E17" i="2"/>
  <c r="D5" i="3" s="1"/>
  <c r="I17" i="2"/>
  <c r="D7" i="3" s="1"/>
  <c r="K17" i="2"/>
  <c r="D20" i="3" s="1"/>
  <c r="M17" i="2"/>
  <c r="D18" i="3" s="1"/>
  <c r="G17" i="2"/>
  <c r="D17" i="3" s="1"/>
  <c r="O17" i="2"/>
  <c r="D9" i="3" s="1"/>
  <c r="S17" i="2"/>
  <c r="D24" i="3" s="1"/>
  <c r="U17" i="2"/>
  <c r="D6" i="3" s="1"/>
  <c r="W17" i="2"/>
  <c r="D16" i="3" s="1"/>
  <c r="Y17" i="2"/>
  <c r="D12" i="3" s="1"/>
  <c r="C15" i="3" l="1"/>
  <c r="E15" i="3" s="1"/>
  <c r="C14" i="3"/>
  <c r="E14" i="3" s="1"/>
  <c r="C22" i="3"/>
  <c r="E22" i="3" s="1"/>
  <c r="C21" i="3"/>
  <c r="E21" i="3" s="1"/>
  <c r="C4" i="3"/>
  <c r="E4" i="3" s="1"/>
  <c r="C19" i="3"/>
  <c r="E19" i="3" s="1"/>
  <c r="C24" i="3"/>
  <c r="E24" i="3" s="1"/>
  <c r="C3" i="3"/>
  <c r="E3" i="3" s="1"/>
  <c r="C9" i="3"/>
  <c r="E9" i="3" s="1"/>
  <c r="C18" i="3"/>
  <c r="E18" i="3" s="1"/>
  <c r="C23" i="3"/>
  <c r="E23" i="3" s="1"/>
  <c r="C5" i="3"/>
  <c r="E5" i="3" s="1"/>
  <c r="C16" i="3"/>
  <c r="E16" i="3" s="1"/>
  <c r="C20" i="3"/>
  <c r="E20" i="3" s="1"/>
  <c r="C10" i="3"/>
  <c r="E10" i="3" s="1"/>
  <c r="C8" i="3"/>
  <c r="E8" i="3" s="1"/>
  <c r="C17" i="3"/>
  <c r="E17" i="3" s="1"/>
  <c r="C12" i="3"/>
  <c r="E12" i="3" s="1"/>
  <c r="C7" i="3"/>
  <c r="E7" i="3" s="1"/>
  <c r="C11" i="3"/>
  <c r="E11" i="3" s="1"/>
  <c r="C6" i="3"/>
  <c r="E6" i="3" s="1"/>
  <c r="C13" i="3"/>
  <c r="E13" i="3" s="1"/>
  <c r="A21" i="3" l="1"/>
  <c r="A11" i="3"/>
  <c r="A7" i="3"/>
  <c r="A14" i="3"/>
  <c r="A13" i="3"/>
  <c r="A5" i="3"/>
  <c r="A12" i="3"/>
  <c r="A20" i="3"/>
  <c r="A9" i="3"/>
  <c r="A4" i="3"/>
  <c r="A23" i="3"/>
  <c r="A6" i="3"/>
  <c r="A18" i="3"/>
  <c r="A17" i="3"/>
  <c r="A22" i="3"/>
  <c r="A24" i="3"/>
  <c r="A16" i="3"/>
  <c r="A10" i="3"/>
  <c r="A3" i="3"/>
  <c r="A19" i="3"/>
  <c r="A8" i="3"/>
  <c r="A15" i="3"/>
</calcChain>
</file>

<file path=xl/sharedStrings.xml><?xml version="1.0" encoding="utf-8"?>
<sst xmlns="http://schemas.openxmlformats.org/spreadsheetml/2006/main" count="2370" uniqueCount="330">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</sst>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88" activePane="bottomRight" state="frozen"/>
      <selection pane="topRight"/>
      <selection pane="bottomLeft"/>
      <selection pane="bottomRight" activeCell="C103" sqref="C103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0.5546875" style="19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2" t="s">
        <v>0</v>
      </c>
      <c r="B1" s="52" t="s">
        <v>1</v>
      </c>
      <c r="C1" s="52" t="s">
        <v>2</v>
      </c>
      <c r="D1" s="52" t="s">
        <v>3</v>
      </c>
      <c r="E1" s="54" t="s">
        <v>4</v>
      </c>
      <c r="F1" s="55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324</v>
      </c>
      <c r="AT1" s="51"/>
      <c r="AU1" s="42" t="s">
        <v>24</v>
      </c>
      <c r="AV1" s="51"/>
      <c r="AW1" s="2" t="s">
        <v>25</v>
      </c>
      <c r="AX1" s="2" t="s">
        <v>26</v>
      </c>
    </row>
    <row r="2" spans="1:50" x14ac:dyDescent="0.3">
      <c r="A2" s="53"/>
      <c r="B2" s="56"/>
      <c r="C2" s="53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8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4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7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4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4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7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4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7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4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7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4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44" t="s">
        <v>131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7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44" t="s">
        <v>136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44" t="s">
        <v>143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44" t="s">
        <v>150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44" t="s">
        <v>155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44" t="s">
        <v>162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167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162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172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175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180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187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188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191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194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197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200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201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204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207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208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211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212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59" t="str">
        <f>Wedstrijden_beheer!E1</f>
        <v>Roland</v>
      </c>
      <c r="E1" s="60"/>
      <c r="F1" s="61" t="str">
        <f>Wedstrijden_beheer!G1</f>
        <v>Nikki</v>
      </c>
      <c r="G1" s="43"/>
      <c r="H1" s="61" t="str">
        <f>Wedstrijden_beheer!I1</f>
        <v>Abdussamed</v>
      </c>
      <c r="I1" s="43"/>
      <c r="J1" s="61" t="str">
        <f>Wedstrijden_beheer!K1</f>
        <v>Karsten</v>
      </c>
      <c r="K1" s="43"/>
      <c r="L1" s="61" t="str">
        <f>Wedstrijden_beheer!M1</f>
        <v>Bas</v>
      </c>
      <c r="M1" s="43"/>
      <c r="N1" s="61" t="str">
        <f>Wedstrijden_beheer!O1</f>
        <v>Maik</v>
      </c>
      <c r="O1" s="43"/>
      <c r="P1" s="61" t="str">
        <f>Wedstrijden_beheer!Q1</f>
        <v>Simone</v>
      </c>
      <c r="Q1" s="43"/>
      <c r="R1" s="61" t="str">
        <f>Wedstrijden_beheer!S1</f>
        <v>Marc</v>
      </c>
      <c r="S1" s="43"/>
      <c r="T1" s="61" t="str">
        <f>Wedstrijden_beheer!U1</f>
        <v>Tom</v>
      </c>
      <c r="U1" s="43"/>
      <c r="V1" s="61" t="str">
        <f>Wedstrijden_beheer!W1</f>
        <v>Jos</v>
      </c>
      <c r="W1" s="43"/>
      <c r="X1" s="61" t="str">
        <f>Wedstrijden_beheer!Y1</f>
        <v>Lesley</v>
      </c>
      <c r="Y1" s="43"/>
      <c r="Z1" s="61" t="str">
        <f>Wedstrijden_beheer!AA1</f>
        <v>Ivo</v>
      </c>
      <c r="AA1" s="43"/>
      <c r="AB1" s="61" t="str">
        <f>Wedstrijden_beheer!AC1</f>
        <v>Ron</v>
      </c>
      <c r="AC1" s="43"/>
      <c r="AD1" s="61" t="str">
        <f>Wedstrijden_beheer!AE1</f>
        <v>Jeroen</v>
      </c>
      <c r="AE1" s="43"/>
      <c r="AF1" s="61" t="str">
        <f>Wedstrijden_beheer!AG1</f>
        <v>Erwin</v>
      </c>
      <c r="AG1" s="43"/>
      <c r="AH1" s="61" t="str">
        <f>Wedstrijden_beheer!AI1</f>
        <v>Tim</v>
      </c>
      <c r="AI1" s="43"/>
      <c r="AJ1" s="61" t="s">
        <v>20</v>
      </c>
      <c r="AK1" s="43"/>
      <c r="AL1" s="61" t="s">
        <v>21</v>
      </c>
      <c r="AM1" s="43"/>
      <c r="AN1" s="61" t="str">
        <f>Wedstrijden_beheer!AO1</f>
        <v>Patrick</v>
      </c>
      <c r="AO1" s="43"/>
      <c r="AP1" s="61" t="str">
        <f>Wedstrijden_beheer!AQ1</f>
        <v>Jeno</v>
      </c>
      <c r="AQ1" s="43"/>
      <c r="AR1" s="42" t="str">
        <f>Wedstrijden_beheer!AS1</f>
        <v>Andre</v>
      </c>
      <c r="AS1" s="51"/>
      <c r="AT1" s="42" t="str">
        <f>Wedstrijden_beheer!AU1</f>
        <v>Raymond</v>
      </c>
      <c r="AU1" s="51"/>
    </row>
    <row r="2" spans="1:47" s="28" customFormat="1" ht="14.4" customHeight="1" x14ac:dyDescent="0.3">
      <c r="A2" s="34"/>
      <c r="B2" s="35" t="s">
        <v>215</v>
      </c>
      <c r="C2" s="34" t="s">
        <v>216</v>
      </c>
      <c r="D2" s="36" t="s">
        <v>217</v>
      </c>
      <c r="E2" s="34" t="s">
        <v>28</v>
      </c>
      <c r="F2" s="34" t="s">
        <v>217</v>
      </c>
      <c r="G2" s="34" t="s">
        <v>28</v>
      </c>
      <c r="H2" s="34" t="s">
        <v>217</v>
      </c>
      <c r="I2" s="34" t="s">
        <v>28</v>
      </c>
      <c r="J2" s="34" t="s">
        <v>217</v>
      </c>
      <c r="K2" s="34" t="s">
        <v>28</v>
      </c>
      <c r="L2" s="34" t="s">
        <v>217</v>
      </c>
      <c r="M2" s="34" t="s">
        <v>28</v>
      </c>
      <c r="N2" s="36" t="s">
        <v>217</v>
      </c>
      <c r="O2" s="34" t="s">
        <v>28</v>
      </c>
      <c r="P2" s="36" t="s">
        <v>217</v>
      </c>
      <c r="Q2" s="34" t="s">
        <v>28</v>
      </c>
      <c r="R2" s="36" t="s">
        <v>217</v>
      </c>
      <c r="S2" s="34" t="s">
        <v>28</v>
      </c>
      <c r="T2" s="34" t="s">
        <v>217</v>
      </c>
      <c r="U2" s="34" t="s">
        <v>28</v>
      </c>
      <c r="V2" s="36" t="s">
        <v>217</v>
      </c>
      <c r="W2" s="34" t="s">
        <v>28</v>
      </c>
      <c r="X2" s="36" t="s">
        <v>217</v>
      </c>
      <c r="Y2" s="34" t="s">
        <v>28</v>
      </c>
      <c r="Z2" s="36" t="s">
        <v>217</v>
      </c>
      <c r="AA2" s="34" t="s">
        <v>28</v>
      </c>
      <c r="AB2" s="36" t="s">
        <v>217</v>
      </c>
      <c r="AC2" s="34" t="s">
        <v>28</v>
      </c>
      <c r="AD2" s="36" t="s">
        <v>217</v>
      </c>
      <c r="AE2" s="34" t="s">
        <v>28</v>
      </c>
      <c r="AF2" s="36" t="s">
        <v>217</v>
      </c>
      <c r="AG2" s="34" t="s">
        <v>28</v>
      </c>
      <c r="AH2" s="36" t="s">
        <v>217</v>
      </c>
      <c r="AI2" s="34" t="s">
        <v>28</v>
      </c>
      <c r="AJ2" s="36" t="s">
        <v>217</v>
      </c>
      <c r="AK2" s="34" t="s">
        <v>28</v>
      </c>
      <c r="AL2" s="37" t="s">
        <v>217</v>
      </c>
      <c r="AM2" s="34" t="s">
        <v>28</v>
      </c>
      <c r="AN2" s="36" t="s">
        <v>217</v>
      </c>
      <c r="AO2" s="34" t="s">
        <v>28</v>
      </c>
      <c r="AP2" s="34" t="s">
        <v>217</v>
      </c>
      <c r="AQ2" s="34" t="s">
        <v>28</v>
      </c>
      <c r="AR2" s="36" t="s">
        <v>217</v>
      </c>
      <c r="AS2" s="34" t="s">
        <v>28</v>
      </c>
      <c r="AT2" s="36" t="s">
        <v>217</v>
      </c>
      <c r="AU2" s="34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4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1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1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1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1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1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1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1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5" t="s">
        <v>280</v>
      </c>
      <c r="AA16" s="11" t="str">
        <f t="shared" si="11"/>
        <v/>
      </c>
      <c r="AB16" s="21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27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5" sqref="F5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284</v>
      </c>
      <c r="B1" s="16"/>
      <c r="C1" s="16"/>
      <c r="D1" s="16"/>
      <c r="E1" s="16"/>
    </row>
    <row r="2" spans="1:5" ht="18" customHeight="1" x14ac:dyDescent="0.3">
      <c r="A2" s="38" t="s">
        <v>285</v>
      </c>
      <c r="B2" s="38" t="s">
        <v>286</v>
      </c>
      <c r="C2" s="38" t="s">
        <v>287</v>
      </c>
      <c r="D2" s="38" t="s">
        <v>288</v>
      </c>
      <c r="E2" s="38" t="s">
        <v>289</v>
      </c>
    </row>
    <row r="3" spans="1:5" ht="18" customHeight="1" x14ac:dyDescent="0.3">
      <c r="A3" s="11">
        <f>_xlfn.RANK.EQ(E3,$E$3:$E$90,0)</f>
        <v>1</v>
      </c>
      <c r="B3" s="1" t="str">
        <f>Wedstrijden_beheer!AE1</f>
        <v>Jeroen</v>
      </c>
      <c r="C3" s="11">
        <f>SUM(Wedstrijden_beheer!AF3:'Wedstrijden_beheer'!AF194)</f>
        <v>335</v>
      </c>
      <c r="D3" s="11">
        <f>Bonus_beheer!AE17</f>
        <v>0</v>
      </c>
      <c r="E3" s="11">
        <f>C3+D3</f>
        <v>335</v>
      </c>
    </row>
    <row r="4" spans="1:5" ht="18" customHeight="1" x14ac:dyDescent="0.3">
      <c r="A4" s="11">
        <f>_xlfn.RANK.EQ(E4,$E$3:$E$90,0)</f>
        <v>2</v>
      </c>
      <c r="B4" s="1" t="str">
        <f>Wedstrijden_beheer!AO1</f>
        <v>Patrick</v>
      </c>
      <c r="C4" s="11">
        <f>SUM(Wedstrijden_beheer!AP3:'Wedstrijden_beheer'!AP194)</f>
        <v>330</v>
      </c>
      <c r="D4" s="11">
        <f>Bonus_beheer!AO17</f>
        <v>0</v>
      </c>
      <c r="E4" s="11">
        <f>C4+D4</f>
        <v>330</v>
      </c>
    </row>
    <row r="5" spans="1:5" ht="18" customHeight="1" x14ac:dyDescent="0.3">
      <c r="A5" s="11">
        <f>_xlfn.RANK.EQ(E5,$E$3:$E$90,0)</f>
        <v>3</v>
      </c>
      <c r="B5" s="29" t="str">
        <f>Wedstrijden_beheer!E1</f>
        <v>Roland</v>
      </c>
      <c r="C5" s="11">
        <f>SUM(Wedstrijden_beheer!F3:'Wedstrijden_beheer'!F194)</f>
        <v>329</v>
      </c>
      <c r="D5" s="11">
        <f>Bonus_beheer!E17</f>
        <v>0</v>
      </c>
      <c r="E5" s="11">
        <f>C5+D5</f>
        <v>329</v>
      </c>
    </row>
    <row r="6" spans="1:5" ht="18" customHeight="1" x14ac:dyDescent="0.3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325</v>
      </c>
      <c r="D6" s="11">
        <f>Bonus_beheer!U17</f>
        <v>0</v>
      </c>
      <c r="E6" s="11">
        <f>C6+D6</f>
        <v>325</v>
      </c>
    </row>
    <row r="7" spans="1:5" ht="18" customHeight="1" x14ac:dyDescent="0.3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322</v>
      </c>
      <c r="D7" s="11">
        <f>Bonus_beheer!I17</f>
        <v>0</v>
      </c>
      <c r="E7" s="11">
        <f>C7+D7</f>
        <v>322</v>
      </c>
    </row>
    <row r="8" spans="1:5" ht="18" customHeight="1" x14ac:dyDescent="0.3">
      <c r="A8" s="11">
        <f>_xlfn.RANK.EQ(E8,$E$3:$E$90,0)</f>
        <v>6</v>
      </c>
      <c r="B8" s="1" t="str">
        <f>Wedstrijden_beheer!AA1</f>
        <v>Ivo</v>
      </c>
      <c r="C8" s="11">
        <f>SUM(Wedstrijden_beheer!AB3:'Wedstrijden_beheer'!AB194)</f>
        <v>318</v>
      </c>
      <c r="D8" s="11">
        <f>Bonus_beheer!AA17</f>
        <v>0</v>
      </c>
      <c r="E8" s="11">
        <f>C8+D8</f>
        <v>318</v>
      </c>
    </row>
    <row r="9" spans="1:5" ht="18" customHeight="1" x14ac:dyDescent="0.3">
      <c r="A9" s="11">
        <f>_xlfn.RANK.EQ(E9,$E$3:$E$90,0)</f>
        <v>7</v>
      </c>
      <c r="B9" s="1" t="str">
        <f>Wedstrijden_beheer!O1</f>
        <v>Maik</v>
      </c>
      <c r="C9" s="11">
        <f>SUM(Wedstrijden_beheer!P3:'Wedstrijden_beheer'!P194)</f>
        <v>316</v>
      </c>
      <c r="D9" s="11">
        <f>Bonus_beheer!O17</f>
        <v>0</v>
      </c>
      <c r="E9" s="11">
        <f>C9+D9</f>
        <v>316</v>
      </c>
    </row>
    <row r="10" spans="1:5" ht="18" customHeight="1" x14ac:dyDescent="0.3">
      <c r="A10" s="11">
        <f>_xlfn.RANK.EQ(E10,$E$3:$E$90,0)</f>
        <v>8</v>
      </c>
      <c r="B10" s="1" t="str">
        <f>Wedstrijden_beheer!AK1</f>
        <v>Kim</v>
      </c>
      <c r="C10" s="11">
        <f>SUM(Wedstrijden_beheer!AL3:'Wedstrijden_beheer'!AL194)</f>
        <v>311</v>
      </c>
      <c r="D10" s="11">
        <f>Bonus_beheer!AK17</f>
        <v>0</v>
      </c>
      <c r="E10" s="11">
        <f>C10+D10</f>
        <v>311</v>
      </c>
    </row>
    <row r="11" spans="1:5" ht="18" customHeight="1" x14ac:dyDescent="0.3">
      <c r="A11" s="11">
        <f>_xlfn.RANK.EQ(E11,$E$3:$E$90,0)</f>
        <v>9</v>
      </c>
      <c r="B11" s="1" t="str">
        <f>Wedstrijden_beheer!AM1</f>
        <v>Kristel</v>
      </c>
      <c r="C11" s="11">
        <f>SUM(Wedstrijden_beheer!AN3:'Wedstrijden_beheer'!AN194)</f>
        <v>307</v>
      </c>
      <c r="D11" s="11">
        <f>Bonus_beheer!AM17</f>
        <v>0</v>
      </c>
      <c r="E11" s="11">
        <f>C11+D11</f>
        <v>307</v>
      </c>
    </row>
    <row r="12" spans="1:5" ht="18" customHeight="1" x14ac:dyDescent="0.3">
      <c r="A12" s="11">
        <f>_xlfn.RANK.EQ(E12,$E$3:$E$90,0)</f>
        <v>10</v>
      </c>
      <c r="B12" s="1" t="str">
        <f>Wedstrijden_beheer!Y1</f>
        <v>Lesley</v>
      </c>
      <c r="C12" s="11">
        <f>SUM(Wedstrijden_beheer!Z3:'Wedstrijden_beheer'!Z194)</f>
        <v>306</v>
      </c>
      <c r="D12" s="11">
        <f>Bonus_beheer!Y17</f>
        <v>0</v>
      </c>
      <c r="E12" s="11">
        <f>C12+D12</f>
        <v>306</v>
      </c>
    </row>
    <row r="13" spans="1:5" ht="18" customHeight="1" x14ac:dyDescent="0.3">
      <c r="A13" s="11">
        <f>_xlfn.RANK.EQ(E13,$E$3:$E$90,0)</f>
        <v>11</v>
      </c>
      <c r="B13" s="1" t="str">
        <f>Wedstrijden_beheer!AG1</f>
        <v>Erwin</v>
      </c>
      <c r="C13" s="11">
        <f>SUM(Wedstrijden_beheer!AH3:'Wedstrijden_beheer'!AH194)</f>
        <v>302</v>
      </c>
      <c r="D13" s="11">
        <f>Bonus_beheer!AG17</f>
        <v>0</v>
      </c>
      <c r="E13" s="11">
        <f>C13+D13</f>
        <v>302</v>
      </c>
    </row>
    <row r="14" spans="1:5" ht="18" customHeight="1" x14ac:dyDescent="0.3">
      <c r="A14" s="11">
        <f>_xlfn.RANK.EQ(E14,$E$3:$E$90,0)</f>
        <v>12</v>
      </c>
      <c r="B14" s="1" t="str">
        <f>Wedstrijden_beheer!AQ1</f>
        <v>Jeno</v>
      </c>
      <c r="C14" s="11">
        <f>SUM(Wedstrijden_beheer!AV4:'Wedstrijden_beheer'!AV195)</f>
        <v>296</v>
      </c>
      <c r="D14" s="11">
        <f>Bonus_beheer!AU18</f>
        <v>0</v>
      </c>
      <c r="E14" s="11">
        <f>C14+D14</f>
        <v>296</v>
      </c>
    </row>
    <row r="15" spans="1:5" ht="18" customHeight="1" x14ac:dyDescent="0.3">
      <c r="A15" s="11">
        <f>_xlfn.RANK.EQ(E15,$E$3:$E$90,0)</f>
        <v>12</v>
      </c>
      <c r="B15" s="1" t="str">
        <f>Wedstrijden_beheer!AU1</f>
        <v>Raymond</v>
      </c>
      <c r="C15" s="11">
        <f>SUM(Wedstrijden_beheer!AV3:'Wedstrijden_beheer'!AV194)</f>
        <v>296</v>
      </c>
      <c r="D15" s="11">
        <f>Bonus_beheer!AU17</f>
        <v>0</v>
      </c>
      <c r="E15" s="11">
        <f>C15+D15</f>
        <v>296</v>
      </c>
    </row>
    <row r="16" spans="1:5" ht="18" customHeight="1" x14ac:dyDescent="0.3">
      <c r="A16" s="11">
        <f>_xlfn.RANK.EQ(E16,$E$3:$E$90,0)</f>
        <v>14</v>
      </c>
      <c r="B16" s="1" t="str">
        <f>Wedstrijden_beheer!W1</f>
        <v>Jos</v>
      </c>
      <c r="C16" s="11">
        <f>SUM(Wedstrijden_beheer!X3:'Wedstrijden_beheer'!X194)</f>
        <v>293</v>
      </c>
      <c r="D16" s="11">
        <f>Bonus_beheer!W17</f>
        <v>0</v>
      </c>
      <c r="E16" s="11">
        <f>C16+D16</f>
        <v>293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278</v>
      </c>
      <c r="D17" s="11">
        <f>Bonus_beheer!G17</f>
        <v>0</v>
      </c>
      <c r="E17" s="11">
        <f>C17+D17</f>
        <v>278</v>
      </c>
    </row>
    <row r="18" spans="1:5" ht="18" customHeight="1" x14ac:dyDescent="0.3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273</v>
      </c>
      <c r="D18" s="11">
        <f>Bonus_beheer!M17</f>
        <v>0</v>
      </c>
      <c r="E18" s="11">
        <f>C18+D18</f>
        <v>273</v>
      </c>
    </row>
    <row r="19" spans="1:5" ht="18" customHeight="1" x14ac:dyDescent="0.3">
      <c r="A19" s="11">
        <f>_xlfn.RANK.EQ(E19,$E$3:$E$90,0)</f>
        <v>16</v>
      </c>
      <c r="B19" s="1" t="str">
        <f>Wedstrijden_beheer!AC1</f>
        <v>Ron</v>
      </c>
      <c r="C19" s="11">
        <f>SUM(Wedstrijden_beheer!AD3:'Wedstrijden_beheer'!AD194)</f>
        <v>273</v>
      </c>
      <c r="D19" s="11">
        <f>Bonus_beheer!AC17</f>
        <v>0</v>
      </c>
      <c r="E19" s="11">
        <f>C19+D19</f>
        <v>273</v>
      </c>
    </row>
    <row r="20" spans="1:5" ht="18" customHeight="1" x14ac:dyDescent="0.3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253</v>
      </c>
      <c r="D20" s="11">
        <f>Bonus_beheer!K17</f>
        <v>0</v>
      </c>
      <c r="E20" s="11">
        <f>C20+D20</f>
        <v>253</v>
      </c>
    </row>
    <row r="21" spans="1:5" ht="18" customHeight="1" x14ac:dyDescent="0.3">
      <c r="A21" s="11">
        <f>_xlfn.RANK.EQ(E21,$E$3:$E$90,0)</f>
        <v>19</v>
      </c>
      <c r="B21" s="1" t="str">
        <f>Wedstrijden_beheer!AS1</f>
        <v>Andre</v>
      </c>
      <c r="C21" s="11">
        <f>SUM(Wedstrijden_beheer!R4:'Wedstrijden_beheer'!R195)</f>
        <v>252</v>
      </c>
      <c r="D21" s="11">
        <f>Bonus_beheer!Q18</f>
        <v>0</v>
      </c>
      <c r="E21" s="11">
        <f>C21+D21</f>
        <v>252</v>
      </c>
    </row>
    <row r="22" spans="1:5" ht="18" customHeight="1" x14ac:dyDescent="0.3">
      <c r="A22" s="11">
        <f>_xlfn.RANK.EQ(E22,$E$3:$E$90,0)</f>
        <v>19</v>
      </c>
      <c r="B22" s="1" t="str">
        <f>Wedstrijden_beheer!Q1</f>
        <v>Simone</v>
      </c>
      <c r="C22" s="11">
        <f>SUM(Wedstrijden_beheer!R3:'Wedstrijden_beheer'!R194)</f>
        <v>252</v>
      </c>
      <c r="D22" s="11">
        <f>Bonus_beheer!Q17</f>
        <v>0</v>
      </c>
      <c r="E22" s="11">
        <f>C22+D22</f>
        <v>252</v>
      </c>
    </row>
    <row r="23" spans="1:5" x14ac:dyDescent="0.3">
      <c r="A23" s="11">
        <f>_xlfn.RANK.EQ(E23,$E$3:$E$90,0)</f>
        <v>21</v>
      </c>
      <c r="B23" s="1" t="str">
        <f>Wedstrijden_beheer!AI1</f>
        <v>Tim</v>
      </c>
      <c r="C23" s="11">
        <f>SUM(Wedstrijden_beheer!AJ3:'Wedstrijden_beheer'!AJ194)</f>
        <v>250</v>
      </c>
      <c r="D23" s="11">
        <f>Bonus_beheer!AI17</f>
        <v>0</v>
      </c>
      <c r="E23" s="11">
        <f>C23+D23</f>
        <v>250</v>
      </c>
    </row>
    <row r="24" spans="1:5" x14ac:dyDescent="0.3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230</v>
      </c>
      <c r="D24" s="11">
        <f>Bonus_beheer!S17</f>
        <v>0</v>
      </c>
      <c r="E24" s="11">
        <f>C24+D24</f>
        <v>230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290</v>
      </c>
      <c r="B1" s="16"/>
    </row>
    <row r="2" spans="1:2" ht="18" customHeight="1" x14ac:dyDescent="0.3">
      <c r="A2" s="38" t="s">
        <v>291</v>
      </c>
      <c r="B2" s="38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306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291</v>
      </c>
      <c r="B2" s="38" t="s">
        <v>28</v>
      </c>
      <c r="C2" s="38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319</v>
      </c>
      <c r="B1" s="22" t="s">
        <v>320</v>
      </c>
      <c r="C1" s="22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c2036e6-2c6c-4cc0-93d3-66cc911cb074"/>
    <ds:schemaRef ds:uri="http://www.w3.org/XML/1998/namespace"/>
    <ds:schemaRef ds:uri="http://schemas.microsoft.com/office/2006/documentManagement/types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7b90d758-d430-4ffd-9227-0f539ac48821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2026-06-27T07:52:07Z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