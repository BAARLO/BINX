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242" documentId="13_ncr:1_{E3B635D9-D5C4-4B81-9F43-C2CD39A8463F}" xr6:coauthVersionLast="47" xr6:coauthVersionMax="47" xr10:uidLastSave="{261A9549-3B61-4483-884F-709057EBA726}"/>
  <bookViews>
    <workbookView xWindow="-120" yWindow="-120" windowWidth="38640" windowHeight="21120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  <definedName name="_xlnm._FilterDatabase" localSheetId="0" hidden="1">Wedstrijden_beheer!$A$1:$AV$194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182" i="1" l="1"/>
  <c r="AW182" i="1"/>
  <c r="AF182" i="1" s="1"/>
  <c r="AV182" i="1"/>
  <c r="AP182" i="1"/>
  <c r="AJ182" i="1"/>
  <c r="R182" i="1"/>
  <c r="AX179" i="1"/>
  <c r="AW179" i="1"/>
  <c r="AT179" i="1" s="1"/>
  <c r="AV179" i="1"/>
  <c r="AU9" i="2"/>
  <c r="AS9" i="2"/>
  <c r="AQ9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L182" i="1" l="1"/>
  <c r="AN182" i="1"/>
  <c r="AT182" i="1"/>
  <c r="AD182" i="1"/>
  <c r="AH182" i="1"/>
  <c r="F182" i="1"/>
  <c r="H182" i="1"/>
  <c r="J182" i="1"/>
  <c r="N182" i="1"/>
  <c r="P182" i="1"/>
  <c r="T182" i="1"/>
  <c r="V182" i="1"/>
  <c r="X182" i="1"/>
  <c r="Z182" i="1"/>
  <c r="AB182" i="1"/>
  <c r="AR182" i="1"/>
  <c r="L182" i="1"/>
  <c r="F179" i="1"/>
  <c r="J179" i="1"/>
  <c r="R179" i="1"/>
  <c r="V179" i="1"/>
  <c r="AB179" i="1"/>
  <c r="AJ179" i="1"/>
  <c r="AN179" i="1"/>
  <c r="AP179" i="1"/>
  <c r="H179" i="1"/>
  <c r="L179" i="1"/>
  <c r="N179" i="1"/>
  <c r="P179" i="1"/>
  <c r="T179" i="1"/>
  <c r="X179" i="1"/>
  <c r="Z179" i="1"/>
  <c r="AD179" i="1"/>
  <c r="AF179" i="1"/>
  <c r="AH179" i="1"/>
  <c r="AL179" i="1"/>
  <c r="AR179" i="1"/>
  <c r="AX174" i="1"/>
  <c r="AW174" i="1"/>
  <c r="AB174" i="1" s="1"/>
  <c r="AV174" i="1"/>
  <c r="AT174" i="1"/>
  <c r="AR174" i="1"/>
  <c r="AP174" i="1"/>
  <c r="AN174" i="1"/>
  <c r="AL174" i="1"/>
  <c r="AJ174" i="1"/>
  <c r="AH174" i="1"/>
  <c r="AF174" i="1"/>
  <c r="AD174" i="1"/>
  <c r="Z174" i="1"/>
  <c r="X174" i="1"/>
  <c r="V174" i="1"/>
  <c r="T174" i="1"/>
  <c r="R174" i="1"/>
  <c r="P174" i="1"/>
  <c r="N174" i="1"/>
  <c r="L174" i="1"/>
  <c r="J174" i="1"/>
  <c r="H174" i="1"/>
  <c r="F174" i="1"/>
  <c r="AX171" i="1"/>
  <c r="AW171" i="1"/>
  <c r="AR171" i="1" s="1"/>
  <c r="AV171" i="1"/>
  <c r="AT171" i="1"/>
  <c r="AP171" i="1"/>
  <c r="AN171" i="1"/>
  <c r="AL171" i="1"/>
  <c r="AJ171" i="1"/>
  <c r="AH171" i="1"/>
  <c r="AF171" i="1"/>
  <c r="AD171" i="1"/>
  <c r="Z171" i="1"/>
  <c r="AX168" i="1"/>
  <c r="AW168" i="1"/>
  <c r="AL168" i="1" s="1"/>
  <c r="AV168" i="1"/>
  <c r="AH168" i="1"/>
  <c r="AD168" i="1"/>
  <c r="Z168" i="1"/>
  <c r="X168" i="1"/>
  <c r="P168" i="1"/>
  <c r="N168" i="1"/>
  <c r="L168" i="1"/>
  <c r="J168" i="1"/>
  <c r="H168" i="1"/>
  <c r="AX165" i="1"/>
  <c r="AL165" i="1" s="1"/>
  <c r="AW165" i="1"/>
  <c r="AR165" i="1" s="1"/>
  <c r="AT165" i="1"/>
  <c r="AP165" i="1"/>
  <c r="AJ165" i="1"/>
  <c r="X165" i="1"/>
  <c r="N165" i="1"/>
  <c r="F165" i="1"/>
  <c r="H171" i="1" l="1"/>
  <c r="J171" i="1"/>
  <c r="N171" i="1"/>
  <c r="P171" i="1"/>
  <c r="T171" i="1"/>
  <c r="X171" i="1"/>
  <c r="F171" i="1"/>
  <c r="L171" i="1"/>
  <c r="R171" i="1"/>
  <c r="V171" i="1"/>
  <c r="AB171" i="1"/>
  <c r="AN168" i="1"/>
  <c r="AP168" i="1"/>
  <c r="AR168" i="1"/>
  <c r="AT168" i="1"/>
  <c r="F168" i="1"/>
  <c r="R168" i="1"/>
  <c r="T168" i="1"/>
  <c r="V168" i="1"/>
  <c r="AB168" i="1"/>
  <c r="AF168" i="1"/>
  <c r="AJ168" i="1"/>
  <c r="AV165" i="1"/>
  <c r="H165" i="1"/>
  <c r="J165" i="1"/>
  <c r="L165" i="1"/>
  <c r="P165" i="1"/>
  <c r="R165" i="1"/>
  <c r="T165" i="1"/>
  <c r="V165" i="1"/>
  <c r="Z165" i="1"/>
  <c r="AB165" i="1"/>
  <c r="AD165" i="1"/>
  <c r="AF165" i="1"/>
  <c r="AH165" i="1"/>
  <c r="AN165" i="1"/>
  <c r="AD160" i="1" l="1"/>
  <c r="Z160" i="1"/>
  <c r="AD159" i="1"/>
  <c r="Z159" i="1"/>
  <c r="AV158" i="1"/>
  <c r="AT158" i="1"/>
  <c r="AR158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F158" i="1"/>
  <c r="AV155" i="1"/>
  <c r="AT155" i="1"/>
  <c r="AR155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F155" i="1"/>
  <c r="AV154" i="1"/>
  <c r="AT154" i="1"/>
  <c r="AR154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F154" i="1"/>
  <c r="AV151" i="1" l="1"/>
  <c r="AT151" i="1"/>
  <c r="AR151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F151" i="1"/>
  <c r="AV148" i="1"/>
  <c r="AT148" i="1"/>
  <c r="AR148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F148" i="1"/>
  <c r="AV147" i="1"/>
  <c r="AT147" i="1"/>
  <c r="AR147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F147" i="1"/>
  <c r="AX142" i="1" l="1"/>
  <c r="AW142" i="1"/>
  <c r="AX141" i="1"/>
  <c r="AW141" i="1"/>
  <c r="AX138" i="1"/>
  <c r="AW138" i="1"/>
  <c r="AX137" i="1"/>
  <c r="AW137" i="1"/>
  <c r="AX136" i="1"/>
  <c r="AW136" i="1"/>
  <c r="AX133" i="1"/>
  <c r="AW133" i="1"/>
  <c r="AX132" i="1"/>
  <c r="AW132" i="1"/>
  <c r="AX129" i="1"/>
  <c r="AW129" i="1"/>
  <c r="AX128" i="1"/>
  <c r="AW128" i="1"/>
  <c r="AX127" i="1"/>
  <c r="AW127" i="1"/>
  <c r="AX124" i="1"/>
  <c r="AW124" i="1"/>
  <c r="AX123" i="1"/>
  <c r="AW123" i="1"/>
  <c r="AX122" i="1"/>
  <c r="AW122" i="1"/>
  <c r="AX119" i="1"/>
  <c r="AW119" i="1"/>
  <c r="AX118" i="1"/>
  <c r="AW118" i="1"/>
  <c r="AX115" i="1"/>
  <c r="AW115" i="1"/>
  <c r="AV142" i="1" l="1"/>
  <c r="R142" i="1"/>
  <c r="F142" i="1"/>
  <c r="AN142" i="1"/>
  <c r="AJ142" i="1"/>
  <c r="AL142" i="1"/>
  <c r="J142" i="1"/>
  <c r="AP142" i="1"/>
  <c r="L142" i="1"/>
  <c r="AR142" i="1"/>
  <c r="N142" i="1"/>
  <c r="P142" i="1"/>
  <c r="AT142" i="1"/>
  <c r="T142" i="1"/>
  <c r="V142" i="1"/>
  <c r="H142" i="1"/>
  <c r="X142" i="1"/>
  <c r="H133" i="1"/>
  <c r="F129" i="1"/>
  <c r="AV137" i="1"/>
  <c r="Z142" i="1"/>
  <c r="H138" i="1"/>
  <c r="AB142" i="1"/>
  <c r="AT122" i="1"/>
  <c r="AD142" i="1"/>
  <c r="N118" i="1"/>
  <c r="J138" i="1"/>
  <c r="T138" i="1"/>
  <c r="R138" i="1"/>
  <c r="AT132" i="1"/>
  <c r="AR122" i="1"/>
  <c r="AF138" i="1"/>
  <c r="AP122" i="1"/>
  <c r="AF136" i="1"/>
  <c r="V138" i="1"/>
  <c r="AL138" i="1"/>
  <c r="AR138" i="1"/>
  <c r="AJ138" i="1"/>
  <c r="AH141" i="1"/>
  <c r="AT124" i="1"/>
  <c r="AF137" i="1"/>
  <c r="AJ127" i="1"/>
  <c r="N133" i="1"/>
  <c r="X118" i="1"/>
  <c r="AT118" i="1"/>
  <c r="AJ136" i="1"/>
  <c r="N138" i="1"/>
  <c r="X138" i="1"/>
  <c r="AF142" i="1"/>
  <c r="AL136" i="1"/>
  <c r="AV128" i="1"/>
  <c r="F141" i="1"/>
  <c r="J136" i="1"/>
  <c r="P123" i="1"/>
  <c r="AD136" i="1"/>
  <c r="V136" i="1"/>
  <c r="AL122" i="1"/>
  <c r="Z137" i="1"/>
  <c r="J141" i="1"/>
  <c r="AB132" i="1"/>
  <c r="AH136" i="1"/>
  <c r="F138" i="1"/>
  <c r="AB138" i="1"/>
  <c r="AH142" i="1"/>
  <c r="AV115" i="1"/>
  <c r="X129" i="1"/>
  <c r="L133" i="1"/>
  <c r="AD137" i="1"/>
  <c r="AJ137" i="1"/>
  <c r="AL137" i="1"/>
  <c r="AN137" i="1"/>
  <c r="V129" i="1"/>
  <c r="AL127" i="1"/>
  <c r="V118" i="1"/>
  <c r="L122" i="1"/>
  <c r="T136" i="1"/>
  <c r="AR137" i="1"/>
  <c r="L138" i="1"/>
  <c r="AD138" i="1"/>
  <c r="H141" i="1"/>
  <c r="F133" i="1"/>
  <c r="X137" i="1"/>
  <c r="AR115" i="1"/>
  <c r="AT137" i="1"/>
  <c r="AT115" i="1"/>
  <c r="J133" i="1"/>
  <c r="Z136" i="1"/>
  <c r="AB137" i="1"/>
  <c r="P138" i="1"/>
  <c r="AH138" i="1"/>
  <c r="AP129" i="1"/>
  <c r="H129" i="1"/>
  <c r="Z118" i="1"/>
  <c r="AV124" i="1"/>
  <c r="Z129" i="1"/>
  <c r="AB118" i="1"/>
  <c r="AN119" i="1"/>
  <c r="AV122" i="1"/>
  <c r="J129" i="1"/>
  <c r="AB129" i="1"/>
  <c r="AV132" i="1"/>
  <c r="P133" i="1"/>
  <c r="X136" i="1"/>
  <c r="AP136" i="1"/>
  <c r="AH137" i="1"/>
  <c r="V137" i="1"/>
  <c r="T141" i="1"/>
  <c r="T133" i="1"/>
  <c r="V141" i="1"/>
  <c r="F118" i="1"/>
  <c r="AD118" i="1"/>
  <c r="L129" i="1"/>
  <c r="AJ129" i="1"/>
  <c r="H118" i="1"/>
  <c r="AJ118" i="1"/>
  <c r="N122" i="1"/>
  <c r="AH127" i="1"/>
  <c r="N129" i="1"/>
  <c r="AN129" i="1"/>
  <c r="AF133" i="1"/>
  <c r="AB136" i="1"/>
  <c r="R136" i="1"/>
  <c r="AJ141" i="1"/>
  <c r="AL141" i="1"/>
  <c r="J118" i="1"/>
  <c r="AN118" i="1"/>
  <c r="H123" i="1"/>
  <c r="P129" i="1"/>
  <c r="AR129" i="1"/>
  <c r="L118" i="1"/>
  <c r="AP118" i="1"/>
  <c r="AN122" i="1"/>
  <c r="AT128" i="1"/>
  <c r="R129" i="1"/>
  <c r="AV129" i="1"/>
  <c r="AH133" i="1"/>
  <c r="AP137" i="1"/>
  <c r="Z138" i="1"/>
  <c r="AV141" i="1"/>
  <c r="X141" i="1"/>
  <c r="AN141" i="1"/>
  <c r="Z141" i="1"/>
  <c r="AP141" i="1"/>
  <c r="L141" i="1"/>
  <c r="AB141" i="1"/>
  <c r="AR141" i="1"/>
  <c r="N141" i="1"/>
  <c r="AD141" i="1"/>
  <c r="AT141" i="1"/>
  <c r="P141" i="1"/>
  <c r="AF141" i="1"/>
  <c r="R141" i="1"/>
  <c r="AN138" i="1"/>
  <c r="AP138" i="1"/>
  <c r="AT138" i="1"/>
  <c r="AV138" i="1"/>
  <c r="F137" i="1"/>
  <c r="H137" i="1"/>
  <c r="J137" i="1"/>
  <c r="L137" i="1"/>
  <c r="N137" i="1"/>
  <c r="P137" i="1"/>
  <c r="R137" i="1"/>
  <c r="T137" i="1"/>
  <c r="H128" i="1"/>
  <c r="P128" i="1"/>
  <c r="R133" i="1"/>
  <c r="AN136" i="1"/>
  <c r="L128" i="1"/>
  <c r="L123" i="1"/>
  <c r="T128" i="1"/>
  <c r="AD129" i="1"/>
  <c r="V133" i="1"/>
  <c r="AR136" i="1"/>
  <c r="AF118" i="1"/>
  <c r="V128" i="1"/>
  <c r="AF129" i="1"/>
  <c r="X133" i="1"/>
  <c r="AT136" i="1"/>
  <c r="AH118" i="1"/>
  <c r="T123" i="1"/>
  <c r="X128" i="1"/>
  <c r="AH129" i="1"/>
  <c r="Z133" i="1"/>
  <c r="AV136" i="1"/>
  <c r="AB133" i="1"/>
  <c r="AL118" i="1"/>
  <c r="V124" i="1"/>
  <c r="AB128" i="1"/>
  <c r="AL129" i="1"/>
  <c r="AD133" i="1"/>
  <c r="F128" i="1"/>
  <c r="Z128" i="1"/>
  <c r="AD128" i="1"/>
  <c r="AF124" i="1"/>
  <c r="AF128" i="1"/>
  <c r="AR118" i="1"/>
  <c r="AH124" i="1"/>
  <c r="AH128" i="1"/>
  <c r="AT129" i="1"/>
  <c r="AJ133" i="1"/>
  <c r="AD124" i="1"/>
  <c r="AJ124" i="1"/>
  <c r="AN124" i="1"/>
  <c r="H136" i="1"/>
  <c r="N119" i="1"/>
  <c r="AP128" i="1"/>
  <c r="AP119" i="1"/>
  <c r="AR124" i="1"/>
  <c r="AR128" i="1"/>
  <c r="AL132" i="1"/>
  <c r="L136" i="1"/>
  <c r="N128" i="1"/>
  <c r="AL124" i="1"/>
  <c r="F136" i="1"/>
  <c r="AN128" i="1"/>
  <c r="AP124" i="1"/>
  <c r="AJ132" i="1"/>
  <c r="J115" i="1"/>
  <c r="AR119" i="1"/>
  <c r="AN132" i="1"/>
  <c r="N136" i="1"/>
  <c r="P136" i="1"/>
  <c r="J128" i="1"/>
  <c r="R128" i="1"/>
  <c r="AJ128" i="1"/>
  <c r="AL128" i="1"/>
  <c r="L115" i="1"/>
  <c r="AT119" i="1"/>
  <c r="AP132" i="1"/>
  <c r="V115" i="1"/>
  <c r="AV119" i="1"/>
  <c r="AB124" i="1"/>
  <c r="AR132" i="1"/>
  <c r="AL133" i="1"/>
  <c r="AN133" i="1"/>
  <c r="AP133" i="1"/>
  <c r="AR133" i="1"/>
  <c r="AT133" i="1"/>
  <c r="AV133" i="1"/>
  <c r="F132" i="1"/>
  <c r="H132" i="1"/>
  <c r="J132" i="1"/>
  <c r="L132" i="1"/>
  <c r="N132" i="1"/>
  <c r="P132" i="1"/>
  <c r="R132" i="1"/>
  <c r="T132" i="1"/>
  <c r="V132" i="1"/>
  <c r="X132" i="1"/>
  <c r="Z132" i="1"/>
  <c r="AD132" i="1"/>
  <c r="AF132" i="1"/>
  <c r="AH132" i="1"/>
  <c r="T129" i="1"/>
  <c r="AP127" i="1"/>
  <c r="AT127" i="1"/>
  <c r="H127" i="1"/>
  <c r="Z127" i="1"/>
  <c r="AN127" i="1"/>
  <c r="AR127" i="1"/>
  <c r="AV127" i="1"/>
  <c r="F127" i="1"/>
  <c r="J127" i="1"/>
  <c r="L127" i="1"/>
  <c r="N127" i="1"/>
  <c r="P127" i="1"/>
  <c r="R127" i="1"/>
  <c r="T127" i="1"/>
  <c r="V127" i="1"/>
  <c r="X127" i="1"/>
  <c r="AB127" i="1"/>
  <c r="AD127" i="1"/>
  <c r="AF127" i="1"/>
  <c r="L124" i="1"/>
  <c r="N124" i="1"/>
  <c r="F124" i="1"/>
  <c r="H124" i="1"/>
  <c r="J124" i="1"/>
  <c r="P124" i="1"/>
  <c r="R124" i="1"/>
  <c r="T124" i="1"/>
  <c r="X124" i="1"/>
  <c r="Z124" i="1"/>
  <c r="V123" i="1"/>
  <c r="Z123" i="1"/>
  <c r="X123" i="1"/>
  <c r="AD123" i="1"/>
  <c r="AB123" i="1"/>
  <c r="AF123" i="1"/>
  <c r="AH123" i="1"/>
  <c r="AJ123" i="1"/>
  <c r="AL123" i="1"/>
  <c r="AN123" i="1"/>
  <c r="AR123" i="1"/>
  <c r="AT123" i="1"/>
  <c r="AP123" i="1"/>
  <c r="AV123" i="1"/>
  <c r="F123" i="1"/>
  <c r="J123" i="1"/>
  <c r="N123" i="1"/>
  <c r="R123" i="1"/>
  <c r="P122" i="1"/>
  <c r="R122" i="1"/>
  <c r="T122" i="1"/>
  <c r="V122" i="1"/>
  <c r="X122" i="1"/>
  <c r="Z122" i="1"/>
  <c r="AB122" i="1"/>
  <c r="AD122" i="1"/>
  <c r="AF122" i="1"/>
  <c r="AH122" i="1"/>
  <c r="AJ122" i="1"/>
  <c r="F122" i="1"/>
  <c r="H122" i="1"/>
  <c r="J122" i="1"/>
  <c r="F119" i="1"/>
  <c r="H119" i="1"/>
  <c r="J119" i="1"/>
  <c r="L119" i="1"/>
  <c r="P119" i="1"/>
  <c r="R119" i="1"/>
  <c r="T119" i="1"/>
  <c r="V119" i="1"/>
  <c r="X119" i="1"/>
  <c r="Z119" i="1"/>
  <c r="AB119" i="1"/>
  <c r="AD119" i="1"/>
  <c r="AF119" i="1"/>
  <c r="AH119" i="1"/>
  <c r="AJ119" i="1"/>
  <c r="AL119" i="1"/>
  <c r="AV118" i="1"/>
  <c r="P118" i="1"/>
  <c r="R118" i="1"/>
  <c r="T118" i="1"/>
  <c r="F115" i="1"/>
  <c r="H115" i="1"/>
  <c r="Z115" i="1"/>
  <c r="N115" i="1"/>
  <c r="P115" i="1"/>
  <c r="X115" i="1"/>
  <c r="AB115" i="1"/>
  <c r="AH115" i="1"/>
  <c r="AJ115" i="1"/>
  <c r="AL115" i="1"/>
  <c r="AN115" i="1"/>
  <c r="R115" i="1"/>
  <c r="AD115" i="1"/>
  <c r="AF115" i="1"/>
  <c r="AP115" i="1"/>
  <c r="T115" i="1"/>
  <c r="AT139" i="1" l="1"/>
  <c r="AR139" i="1"/>
  <c r="AT134" i="1"/>
  <c r="AR134" i="1"/>
  <c r="AT130" i="1"/>
  <c r="AR130" i="1"/>
  <c r="AT125" i="1"/>
  <c r="AR125" i="1"/>
  <c r="AT120" i="1"/>
  <c r="AR120" i="1"/>
  <c r="AT116" i="1"/>
  <c r="AR116" i="1"/>
  <c r="AX110" i="1" l="1"/>
  <c r="AW110" i="1"/>
  <c r="AV110" i="1" s="1"/>
  <c r="AT6" i="1"/>
  <c r="AT10" i="1"/>
  <c r="AT14" i="1"/>
  <c r="AT21" i="1"/>
  <c r="AT27" i="1"/>
  <c r="AT32" i="1"/>
  <c r="AT39" i="1"/>
  <c r="AT45" i="1"/>
  <c r="AT50" i="1"/>
  <c r="AT57" i="1"/>
  <c r="AT63" i="1"/>
  <c r="AT69" i="1"/>
  <c r="AT75" i="1"/>
  <c r="AT81" i="1"/>
  <c r="AT89" i="1"/>
  <c r="AT97" i="1"/>
  <c r="AT105" i="1"/>
  <c r="AT111" i="1"/>
  <c r="AT112" i="1"/>
  <c r="AT143" i="1"/>
  <c r="AT144" i="1"/>
  <c r="AT149" i="1"/>
  <c r="AT152" i="1"/>
  <c r="AT156" i="1"/>
  <c r="AT161" i="1"/>
  <c r="AT162" i="1"/>
  <c r="AT166" i="1"/>
  <c r="AT169" i="1"/>
  <c r="AT172" i="1"/>
  <c r="AT175" i="1"/>
  <c r="AT176" i="1"/>
  <c r="AT180" i="1"/>
  <c r="AT183" i="1"/>
  <c r="AT184" i="1"/>
  <c r="AT187" i="1"/>
  <c r="AT188" i="1"/>
  <c r="AT189" i="1"/>
  <c r="AT192" i="1"/>
  <c r="AT193" i="1"/>
  <c r="AT194" i="1"/>
  <c r="B23" i="3"/>
  <c r="D23" i="3"/>
  <c r="AR1" i="2"/>
  <c r="AS16" i="2"/>
  <c r="AS15" i="2"/>
  <c r="AS14" i="2"/>
  <c r="AS13" i="2"/>
  <c r="AS12" i="2"/>
  <c r="AS11" i="2"/>
  <c r="AS10" i="2"/>
  <c r="AS8" i="2"/>
  <c r="AS7" i="2"/>
  <c r="AS6" i="2"/>
  <c r="AS5" i="2"/>
  <c r="AS4" i="2"/>
  <c r="AS3" i="2"/>
  <c r="AV187" i="1"/>
  <c r="AV192" i="1"/>
  <c r="AT1" i="2"/>
  <c r="AU3" i="2"/>
  <c r="AU4" i="2"/>
  <c r="AU5" i="2"/>
  <c r="AU6" i="2"/>
  <c r="AU7" i="2"/>
  <c r="AU8" i="2"/>
  <c r="AU10" i="2"/>
  <c r="AU11" i="2"/>
  <c r="AU12" i="2"/>
  <c r="AU13" i="2"/>
  <c r="AU14" i="2"/>
  <c r="AU15" i="2"/>
  <c r="AU16" i="2"/>
  <c r="B21" i="3"/>
  <c r="B15" i="3"/>
  <c r="B3" i="3"/>
  <c r="B6" i="3"/>
  <c r="B10" i="3"/>
  <c r="B22" i="3"/>
  <c r="B9" i="3"/>
  <c r="B18" i="3"/>
  <c r="B5" i="3"/>
  <c r="B7" i="3"/>
  <c r="B24" i="3"/>
  <c r="B19" i="3"/>
  <c r="B13" i="3"/>
  <c r="B17" i="3"/>
  <c r="D17" i="3"/>
  <c r="B14" i="3"/>
  <c r="B11" i="3"/>
  <c r="B20" i="3"/>
  <c r="B16" i="3"/>
  <c r="B4" i="3"/>
  <c r="B12" i="3"/>
  <c r="B8" i="3"/>
  <c r="AR6" i="1"/>
  <c r="AR10" i="1"/>
  <c r="AR14" i="1"/>
  <c r="AR21" i="1"/>
  <c r="AR27" i="1"/>
  <c r="AR32" i="1"/>
  <c r="AR39" i="1"/>
  <c r="AR45" i="1"/>
  <c r="AR50" i="1"/>
  <c r="AR57" i="1"/>
  <c r="AR63" i="1"/>
  <c r="AR69" i="1"/>
  <c r="AR75" i="1"/>
  <c r="AR81" i="1"/>
  <c r="AR89" i="1"/>
  <c r="AR97" i="1"/>
  <c r="AR105" i="1"/>
  <c r="AR111" i="1"/>
  <c r="AR112" i="1"/>
  <c r="AR143" i="1"/>
  <c r="AR144" i="1"/>
  <c r="AR149" i="1"/>
  <c r="AR152" i="1"/>
  <c r="AR156" i="1"/>
  <c r="AR161" i="1"/>
  <c r="AR162" i="1"/>
  <c r="AR166" i="1"/>
  <c r="AR169" i="1"/>
  <c r="AR172" i="1"/>
  <c r="AR175" i="1"/>
  <c r="AR176" i="1"/>
  <c r="AR180" i="1"/>
  <c r="AR183" i="1"/>
  <c r="AR184" i="1"/>
  <c r="AR187" i="1"/>
  <c r="AR188" i="1"/>
  <c r="AR189" i="1"/>
  <c r="AR192" i="1"/>
  <c r="AR193" i="1"/>
  <c r="AR194" i="1"/>
  <c r="AW5" i="1"/>
  <c r="AX5" i="1"/>
  <c r="AW8" i="1"/>
  <c r="AX8" i="1"/>
  <c r="AW9" i="1"/>
  <c r="AX9" i="1"/>
  <c r="AW12" i="1"/>
  <c r="AX12" i="1"/>
  <c r="AW13" i="1"/>
  <c r="AX13" i="1"/>
  <c r="AW16" i="1"/>
  <c r="AX16" i="1"/>
  <c r="AW17" i="1"/>
  <c r="AX17" i="1"/>
  <c r="AW18" i="1"/>
  <c r="AX18" i="1"/>
  <c r="AW19" i="1"/>
  <c r="AX19" i="1"/>
  <c r="AW20" i="1"/>
  <c r="AX20" i="1"/>
  <c r="AW23" i="1"/>
  <c r="AX23" i="1"/>
  <c r="AW24" i="1"/>
  <c r="AX24" i="1"/>
  <c r="AW25" i="1"/>
  <c r="AX25" i="1"/>
  <c r="AW26" i="1"/>
  <c r="AX26" i="1"/>
  <c r="AW29" i="1"/>
  <c r="AX29" i="1"/>
  <c r="AW30" i="1"/>
  <c r="AX30" i="1"/>
  <c r="AW31" i="1"/>
  <c r="AX31" i="1"/>
  <c r="AW34" i="1"/>
  <c r="AX34" i="1"/>
  <c r="AW35" i="1"/>
  <c r="J35" i="1" s="1"/>
  <c r="AX35" i="1"/>
  <c r="AW36" i="1"/>
  <c r="AX36" i="1"/>
  <c r="AW37" i="1"/>
  <c r="AX37" i="1"/>
  <c r="AW38" i="1"/>
  <c r="AX38" i="1"/>
  <c r="AW41" i="1"/>
  <c r="AX41" i="1"/>
  <c r="AW42" i="1"/>
  <c r="AX42" i="1"/>
  <c r="AW43" i="1"/>
  <c r="AX43" i="1"/>
  <c r="AW44" i="1"/>
  <c r="AX44" i="1"/>
  <c r="AW47" i="1"/>
  <c r="AX47" i="1"/>
  <c r="AW48" i="1"/>
  <c r="AX48" i="1"/>
  <c r="AW49" i="1"/>
  <c r="AX49" i="1"/>
  <c r="AW52" i="1"/>
  <c r="AX52" i="1"/>
  <c r="AW53" i="1"/>
  <c r="AX53" i="1"/>
  <c r="AW54" i="1"/>
  <c r="AX54" i="1"/>
  <c r="AW55" i="1"/>
  <c r="AX55" i="1"/>
  <c r="AW56" i="1"/>
  <c r="AX56" i="1"/>
  <c r="AW59" i="1"/>
  <c r="R59" i="1" s="1"/>
  <c r="AX59" i="1"/>
  <c r="AW60" i="1"/>
  <c r="AX60" i="1"/>
  <c r="AW61" i="1"/>
  <c r="AX61" i="1"/>
  <c r="AW62" i="1"/>
  <c r="AX62" i="1"/>
  <c r="AW65" i="1"/>
  <c r="AX65" i="1"/>
  <c r="AW66" i="1"/>
  <c r="AX66" i="1"/>
  <c r="AW67" i="1"/>
  <c r="AX67" i="1"/>
  <c r="AW68" i="1"/>
  <c r="AX68" i="1"/>
  <c r="AW71" i="1"/>
  <c r="AX71" i="1"/>
  <c r="AW72" i="1"/>
  <c r="AX72" i="1"/>
  <c r="AW73" i="1"/>
  <c r="AX73" i="1"/>
  <c r="AW74" i="1"/>
  <c r="AX74" i="1"/>
  <c r="AW77" i="1"/>
  <c r="AX77" i="1"/>
  <c r="AW78" i="1"/>
  <c r="AX78" i="1"/>
  <c r="AW79" i="1"/>
  <c r="AX79" i="1"/>
  <c r="AW80" i="1"/>
  <c r="AX80" i="1"/>
  <c r="AW83" i="1"/>
  <c r="AX83" i="1"/>
  <c r="AW84" i="1"/>
  <c r="AX84" i="1"/>
  <c r="AW85" i="1"/>
  <c r="AX85" i="1"/>
  <c r="AW86" i="1"/>
  <c r="AX86" i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87" i="1"/>
  <c r="AX187" i="1"/>
  <c r="AW192" i="1"/>
  <c r="AX192" i="1"/>
  <c r="AQ16" i="2"/>
  <c r="AQ15" i="2"/>
  <c r="AQ14" i="2"/>
  <c r="AQ13" i="2"/>
  <c r="AQ12" i="2"/>
  <c r="AQ11" i="2"/>
  <c r="AQ10" i="2"/>
  <c r="AQ8" i="2"/>
  <c r="AQ7" i="2"/>
  <c r="AQ6" i="2"/>
  <c r="AQ5" i="2"/>
  <c r="AQ4" i="2"/>
  <c r="AQ3" i="2"/>
  <c r="AP1" i="2"/>
  <c r="AF1" i="2"/>
  <c r="Z1" i="2"/>
  <c r="D1" i="2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T160" i="1" l="1"/>
  <c r="AR160" i="1"/>
  <c r="AP160" i="1"/>
  <c r="AN160" i="1"/>
  <c r="AL160" i="1"/>
  <c r="AJ160" i="1"/>
  <c r="AH160" i="1"/>
  <c r="AF160" i="1"/>
  <c r="X160" i="1"/>
  <c r="V160" i="1"/>
  <c r="T160" i="1"/>
  <c r="R160" i="1"/>
  <c r="P160" i="1"/>
  <c r="N160" i="1"/>
  <c r="L160" i="1"/>
  <c r="J160" i="1"/>
  <c r="H160" i="1"/>
  <c r="AV160" i="1"/>
  <c r="F160" i="1"/>
  <c r="AB160" i="1"/>
  <c r="AJ159" i="1"/>
  <c r="X159" i="1"/>
  <c r="V159" i="1"/>
  <c r="T159" i="1"/>
  <c r="P159" i="1"/>
  <c r="N159" i="1"/>
  <c r="L159" i="1"/>
  <c r="H159" i="1"/>
  <c r="AP159" i="1"/>
  <c r="AH159" i="1"/>
  <c r="J159" i="1"/>
  <c r="AR159" i="1"/>
  <c r="AF159" i="1"/>
  <c r="AT159" i="1"/>
  <c r="AL159" i="1"/>
  <c r="R159" i="1"/>
  <c r="AB159" i="1"/>
  <c r="F159" i="1"/>
  <c r="AN159" i="1"/>
  <c r="AV159" i="1"/>
  <c r="V59" i="1"/>
  <c r="R103" i="1"/>
  <c r="R99" i="1"/>
  <c r="R83" i="1"/>
  <c r="H66" i="1"/>
  <c r="F77" i="1"/>
  <c r="AD65" i="1"/>
  <c r="X77" i="1"/>
  <c r="P99" i="1"/>
  <c r="F35" i="1"/>
  <c r="X83" i="1"/>
  <c r="AB65" i="1"/>
  <c r="AJ103" i="1"/>
  <c r="H77" i="1"/>
  <c r="H83" i="1"/>
  <c r="P102" i="1"/>
  <c r="AV96" i="1"/>
  <c r="T92" i="1"/>
  <c r="J86" i="1"/>
  <c r="AR80" i="1"/>
  <c r="L56" i="1"/>
  <c r="J83" i="1"/>
  <c r="V65" i="1"/>
  <c r="X65" i="1"/>
  <c r="H99" i="1"/>
  <c r="J99" i="1"/>
  <c r="F96" i="1"/>
  <c r="L99" i="1"/>
  <c r="N99" i="1"/>
  <c r="AJ100" i="1"/>
  <c r="AB84" i="1"/>
  <c r="AH74" i="1"/>
  <c r="AB68" i="1"/>
  <c r="H52" i="1"/>
  <c r="R16" i="1"/>
  <c r="AR99" i="1"/>
  <c r="AT93" i="1"/>
  <c r="AT87" i="1"/>
  <c r="J16" i="1"/>
  <c r="L16" i="1"/>
  <c r="H16" i="1"/>
  <c r="N16" i="1"/>
  <c r="P16" i="1"/>
  <c r="AN77" i="1"/>
  <c r="AN47" i="1"/>
  <c r="L110" i="1"/>
  <c r="AL100" i="1"/>
  <c r="AD88" i="1"/>
  <c r="P72" i="1"/>
  <c r="R60" i="1"/>
  <c r="R92" i="1"/>
  <c r="AN80" i="1"/>
  <c r="AV101" i="1"/>
  <c r="AP107" i="1"/>
  <c r="AL101" i="1"/>
  <c r="P95" i="1"/>
  <c r="F91" i="1"/>
  <c r="R85" i="1"/>
  <c r="AD79" i="1"/>
  <c r="AN55" i="1"/>
  <c r="AH31" i="1"/>
  <c r="P13" i="1"/>
  <c r="AP80" i="1"/>
  <c r="AH96" i="1"/>
  <c r="AP96" i="1"/>
  <c r="X101" i="1"/>
  <c r="X48" i="1"/>
  <c r="AV100" i="1"/>
  <c r="AP85" i="1"/>
  <c r="V101" i="1"/>
  <c r="F79" i="1"/>
  <c r="AB101" i="1"/>
  <c r="AJ101" i="1"/>
  <c r="X95" i="1"/>
  <c r="H91" i="1"/>
  <c r="AH85" i="1"/>
  <c r="AR79" i="1"/>
  <c r="AR96" i="1"/>
  <c r="AV99" i="1"/>
  <c r="H13" i="1"/>
  <c r="V79" i="1"/>
  <c r="J85" i="1"/>
  <c r="H95" i="1"/>
  <c r="AF94" i="1"/>
  <c r="AN84" i="1"/>
  <c r="H78" i="1"/>
  <c r="J66" i="1"/>
  <c r="N42" i="1"/>
  <c r="AR95" i="1"/>
  <c r="J13" i="1"/>
  <c r="AV85" i="1"/>
  <c r="V85" i="1"/>
  <c r="AL31" i="1"/>
  <c r="AJ85" i="1"/>
  <c r="V95" i="1"/>
  <c r="AF109" i="1"/>
  <c r="F103" i="1"/>
  <c r="AT99" i="1"/>
  <c r="F93" i="1"/>
  <c r="P87" i="1"/>
  <c r="V83" i="1"/>
  <c r="Z65" i="1"/>
  <c r="AH59" i="1"/>
  <c r="AL85" i="1"/>
  <c r="AF95" i="1"/>
  <c r="AN85" i="1"/>
  <c r="F85" i="1"/>
  <c r="X102" i="1"/>
  <c r="Z96" i="1"/>
  <c r="X56" i="1"/>
  <c r="J20" i="1"/>
  <c r="T16" i="1"/>
  <c r="V78" i="1"/>
  <c r="R71" i="1"/>
  <c r="AD109" i="1"/>
  <c r="AP108" i="1"/>
  <c r="P68" i="1"/>
  <c r="V99" i="1"/>
  <c r="AD78" i="1"/>
  <c r="AP104" i="1"/>
  <c r="T99" i="1"/>
  <c r="J68" i="1"/>
  <c r="N83" i="1"/>
  <c r="X99" i="1"/>
  <c r="AF78" i="1"/>
  <c r="AH78" i="1"/>
  <c r="AB66" i="1"/>
  <c r="L66" i="1"/>
  <c r="J91" i="1"/>
  <c r="H68" i="1"/>
  <c r="L83" i="1"/>
  <c r="Z91" i="1"/>
  <c r="L68" i="1"/>
  <c r="P83" i="1"/>
  <c r="Z99" i="1"/>
  <c r="V102" i="1"/>
  <c r="AL84" i="1"/>
  <c r="AN88" i="1"/>
  <c r="AP86" i="1"/>
  <c r="L44" i="1"/>
  <c r="N68" i="1"/>
  <c r="AD99" i="1"/>
  <c r="V68" i="1"/>
  <c r="L95" i="1"/>
  <c r="AR83" i="1"/>
  <c r="H61" i="1"/>
  <c r="V41" i="1"/>
  <c r="H19" i="1"/>
  <c r="AR103" i="1"/>
  <c r="T83" i="1"/>
  <c r="AF100" i="1"/>
  <c r="J48" i="1"/>
  <c r="X68" i="1"/>
  <c r="N95" i="1"/>
  <c r="AH100" i="1"/>
  <c r="AR100" i="1"/>
  <c r="AB80" i="1"/>
  <c r="AR38" i="1"/>
  <c r="Z68" i="1"/>
  <c r="L48" i="1"/>
  <c r="AD48" i="1"/>
  <c r="H85" i="1"/>
  <c r="AB95" i="1"/>
  <c r="AN100" i="1"/>
  <c r="AH99" i="1"/>
  <c r="T59" i="1"/>
  <c r="L77" i="1"/>
  <c r="J96" i="1"/>
  <c r="X96" i="1"/>
  <c r="F78" i="1"/>
  <c r="AP56" i="1"/>
  <c r="H56" i="1"/>
  <c r="L85" i="1"/>
  <c r="J56" i="1"/>
  <c r="P77" i="1"/>
  <c r="N85" i="1"/>
  <c r="L96" i="1"/>
  <c r="Z101" i="1"/>
  <c r="AJ95" i="1"/>
  <c r="AF77" i="1"/>
  <c r="Z85" i="1"/>
  <c r="AV94" i="1"/>
  <c r="AF74" i="1"/>
  <c r="AP54" i="1"/>
  <c r="N56" i="1"/>
  <c r="P56" i="1"/>
  <c r="AH101" i="1"/>
  <c r="AD101" i="1"/>
  <c r="AH77" i="1"/>
  <c r="AB85" i="1"/>
  <c r="J59" i="1"/>
  <c r="L78" i="1"/>
  <c r="AD85" i="1"/>
  <c r="AB96" i="1"/>
  <c r="AJ93" i="1"/>
  <c r="AD53" i="1"/>
  <c r="L31" i="1"/>
  <c r="N96" i="1"/>
  <c r="P96" i="1"/>
  <c r="AF101" i="1"/>
  <c r="L59" i="1"/>
  <c r="P78" i="1"/>
  <c r="AF85" i="1"/>
  <c r="AD96" i="1"/>
  <c r="N102" i="1"/>
  <c r="N92" i="1"/>
  <c r="X85" i="1"/>
  <c r="R96" i="1"/>
  <c r="N59" i="1"/>
  <c r="T78" i="1"/>
  <c r="AF96" i="1"/>
  <c r="P53" i="1"/>
  <c r="AB71" i="1"/>
  <c r="T84" i="1"/>
  <c r="H86" i="1"/>
  <c r="X92" i="1"/>
  <c r="AB99" i="1"/>
  <c r="T102" i="1"/>
  <c r="AT104" i="1"/>
  <c r="AD86" i="1"/>
  <c r="AV8" i="1"/>
  <c r="AL29" i="1"/>
  <c r="N53" i="1"/>
  <c r="Z71" i="1"/>
  <c r="V92" i="1"/>
  <c r="R102" i="1"/>
  <c r="AV107" i="1"/>
  <c r="AB87" i="1"/>
  <c r="H67" i="1"/>
  <c r="R53" i="1"/>
  <c r="AH71" i="1"/>
  <c r="V84" i="1"/>
  <c r="AN92" i="1"/>
  <c r="T53" i="1"/>
  <c r="AL71" i="1"/>
  <c r="X84" i="1"/>
  <c r="L86" i="1"/>
  <c r="H93" i="1"/>
  <c r="AF99" i="1"/>
  <c r="V53" i="1"/>
  <c r="T65" i="1"/>
  <c r="N78" i="1"/>
  <c r="Z84" i="1"/>
  <c r="H87" i="1"/>
  <c r="J93" i="1"/>
  <c r="H96" i="1"/>
  <c r="AH103" i="1"/>
  <c r="T103" i="1"/>
  <c r="AT85" i="1"/>
  <c r="R65" i="1"/>
  <c r="AV103" i="1"/>
  <c r="AJ94" i="1"/>
  <c r="AJ30" i="1"/>
  <c r="P92" i="1"/>
  <c r="T68" i="1"/>
  <c r="X53" i="1"/>
  <c r="L93" i="1"/>
  <c r="H107" i="1"/>
  <c r="Z83" i="1"/>
  <c r="AJ74" i="1"/>
  <c r="AJ73" i="1"/>
  <c r="AN72" i="1"/>
  <c r="AV108" i="1"/>
  <c r="AV102" i="1"/>
  <c r="AF84" i="1"/>
  <c r="AT110" i="1"/>
  <c r="AP74" i="1"/>
  <c r="AP52" i="1"/>
  <c r="L92" i="1"/>
  <c r="L53" i="1"/>
  <c r="V60" i="1"/>
  <c r="AH94" i="1"/>
  <c r="AV109" i="1"/>
  <c r="V107" i="1"/>
  <c r="T87" i="1"/>
  <c r="AV53" i="1"/>
  <c r="AN94" i="1"/>
  <c r="AP94" i="1"/>
  <c r="AV91" i="1"/>
  <c r="F72" i="1"/>
  <c r="AD84" i="1"/>
  <c r="P93" i="1"/>
  <c r="P74" i="1"/>
  <c r="R87" i="1"/>
  <c r="AL53" i="1"/>
  <c r="AN53" i="1"/>
  <c r="AT108" i="1"/>
  <c r="V110" i="1"/>
  <c r="AL94" i="1"/>
  <c r="H92" i="1"/>
  <c r="J87" i="1"/>
  <c r="N87" i="1"/>
  <c r="R93" i="1"/>
  <c r="AP100" i="1"/>
  <c r="AL80" i="1"/>
  <c r="T74" i="1"/>
  <c r="AL99" i="1"/>
  <c r="AF37" i="1"/>
  <c r="V17" i="1"/>
  <c r="AR93" i="1"/>
  <c r="AV74" i="1"/>
  <c r="AT107" i="1"/>
  <c r="AL110" i="1"/>
  <c r="AF72" i="1"/>
  <c r="L87" i="1"/>
  <c r="AB53" i="1"/>
  <c r="J107" i="1"/>
  <c r="F101" i="1"/>
  <c r="V93" i="1"/>
  <c r="AV93" i="1"/>
  <c r="N38" i="1"/>
  <c r="AV79" i="1"/>
  <c r="AF54" i="1"/>
  <c r="AJ87" i="1"/>
  <c r="X74" i="1"/>
  <c r="AH93" i="1"/>
  <c r="L101" i="1"/>
  <c r="T108" i="1"/>
  <c r="T96" i="1"/>
  <c r="AJ110" i="1"/>
  <c r="F88" i="1"/>
  <c r="Z53" i="1"/>
  <c r="AV20" i="1"/>
  <c r="AB93" i="1"/>
  <c r="V74" i="1"/>
  <c r="AH79" i="1"/>
  <c r="AH54" i="1"/>
  <c r="Z79" i="1"/>
  <c r="AL54" i="1"/>
  <c r="AB79" i="1"/>
  <c r="AR88" i="1"/>
  <c r="AT103" i="1"/>
  <c r="AH110" i="1"/>
  <c r="T93" i="1"/>
  <c r="AV92" i="1"/>
  <c r="H74" i="1"/>
  <c r="AR84" i="1"/>
  <c r="L74" i="1"/>
  <c r="AH84" i="1"/>
  <c r="AJ53" i="1"/>
  <c r="R74" i="1"/>
  <c r="X93" i="1"/>
  <c r="N108" i="1"/>
  <c r="AD100" i="1"/>
  <c r="H101" i="1"/>
  <c r="H59" i="1"/>
  <c r="T66" i="1"/>
  <c r="AP87" i="1"/>
  <c r="X66" i="1"/>
  <c r="AP19" i="1"/>
  <c r="X88" i="1"/>
  <c r="AT101" i="1"/>
  <c r="AF110" i="1"/>
  <c r="AN74" i="1"/>
  <c r="N93" i="1"/>
  <c r="X79" i="1"/>
  <c r="J101" i="1"/>
  <c r="V88" i="1"/>
  <c r="V108" i="1"/>
  <c r="AN54" i="1"/>
  <c r="AB74" i="1"/>
  <c r="AJ96" i="1"/>
  <c r="AL30" i="1"/>
  <c r="AD74" i="1"/>
  <c r="AN93" i="1"/>
  <c r="AR86" i="1"/>
  <c r="F94" i="1"/>
  <c r="AL74" i="1"/>
  <c r="AR74" i="1"/>
  <c r="AT74" i="1"/>
  <c r="X71" i="1"/>
  <c r="F74" i="1"/>
  <c r="AD68" i="1"/>
  <c r="F53" i="1"/>
  <c r="N74" i="1"/>
  <c r="T107" i="1"/>
  <c r="AJ84" i="1"/>
  <c r="V87" i="1"/>
  <c r="P108" i="1"/>
  <c r="P66" i="1"/>
  <c r="AD93" i="1"/>
  <c r="R108" i="1"/>
  <c r="Z74" i="1"/>
  <c r="N101" i="1"/>
  <c r="AH66" i="1"/>
  <c r="H80" i="1"/>
  <c r="P85" i="1"/>
  <c r="AL93" i="1"/>
  <c r="P101" i="1"/>
  <c r="X108" i="1"/>
  <c r="AR87" i="1"/>
  <c r="AL66" i="1"/>
  <c r="J80" i="1"/>
  <c r="Z88" i="1"/>
  <c r="AL96" i="1"/>
  <c r="R101" i="1"/>
  <c r="AL108" i="1"/>
  <c r="AH95" i="1"/>
  <c r="AL77" i="1"/>
  <c r="H55" i="1"/>
  <c r="N35" i="1"/>
  <c r="N13" i="1"/>
  <c r="J110" i="1"/>
  <c r="N55" i="1"/>
  <c r="AP66" i="1"/>
  <c r="Z80" i="1"/>
  <c r="T85" i="1"/>
  <c r="AB88" i="1"/>
  <c r="AP93" i="1"/>
  <c r="AN96" i="1"/>
  <c r="T101" i="1"/>
  <c r="AN108" i="1"/>
  <c r="F99" i="1"/>
  <c r="AR94" i="1"/>
  <c r="J74" i="1"/>
  <c r="AJ54" i="1"/>
  <c r="AR85" i="1"/>
  <c r="AT96" i="1"/>
  <c r="H110" i="1"/>
  <c r="AR110" i="1"/>
  <c r="F110" i="1"/>
  <c r="AP110" i="1"/>
  <c r="AN110" i="1"/>
  <c r="AD110" i="1"/>
  <c r="Z110" i="1"/>
  <c r="AB110" i="1"/>
  <c r="X110" i="1"/>
  <c r="T110" i="1"/>
  <c r="R110" i="1"/>
  <c r="P110" i="1"/>
  <c r="N110" i="1"/>
  <c r="AL109" i="1"/>
  <c r="AB109" i="1"/>
  <c r="AJ109" i="1"/>
  <c r="AN109" i="1"/>
  <c r="AH109" i="1"/>
  <c r="AT109" i="1"/>
  <c r="AR109" i="1"/>
  <c r="AP109" i="1"/>
  <c r="H109" i="1"/>
  <c r="J109" i="1"/>
  <c r="F109" i="1"/>
  <c r="L109" i="1"/>
  <c r="N109" i="1"/>
  <c r="P109" i="1"/>
  <c r="R109" i="1"/>
  <c r="T109" i="1"/>
  <c r="V109" i="1"/>
  <c r="X109" i="1"/>
  <c r="Z109" i="1"/>
  <c r="Z108" i="1"/>
  <c r="AB108" i="1"/>
  <c r="AD108" i="1"/>
  <c r="AF108" i="1"/>
  <c r="AH108" i="1"/>
  <c r="AR108" i="1"/>
  <c r="AJ108" i="1"/>
  <c r="F108" i="1"/>
  <c r="H108" i="1"/>
  <c r="J108" i="1"/>
  <c r="L108" i="1"/>
  <c r="N107" i="1"/>
  <c r="P107" i="1"/>
  <c r="L107" i="1"/>
  <c r="R107" i="1"/>
  <c r="AR107" i="1"/>
  <c r="X107" i="1"/>
  <c r="Z107" i="1"/>
  <c r="AB107" i="1"/>
  <c r="AD107" i="1"/>
  <c r="AH107" i="1"/>
  <c r="AJ107" i="1"/>
  <c r="F107" i="1"/>
  <c r="AL107" i="1"/>
  <c r="AF107" i="1"/>
  <c r="AN107" i="1"/>
  <c r="AR104" i="1"/>
  <c r="H104" i="1"/>
  <c r="P104" i="1"/>
  <c r="V104" i="1"/>
  <c r="X104" i="1"/>
  <c r="Z104" i="1"/>
  <c r="AB104" i="1"/>
  <c r="AD104" i="1"/>
  <c r="T104" i="1"/>
  <c r="AF104" i="1"/>
  <c r="L104" i="1"/>
  <c r="AH104" i="1"/>
  <c r="R104" i="1"/>
  <c r="AL104" i="1"/>
  <c r="N104" i="1"/>
  <c r="AJ104" i="1"/>
  <c r="AN104" i="1"/>
  <c r="AV104" i="1"/>
  <c r="J104" i="1"/>
  <c r="F104" i="1"/>
  <c r="X103" i="1"/>
  <c r="Z103" i="1"/>
  <c r="AB103" i="1"/>
  <c r="AD103" i="1"/>
  <c r="AF103" i="1"/>
  <c r="AN103" i="1"/>
  <c r="AL103" i="1"/>
  <c r="AP103" i="1"/>
  <c r="V103" i="1"/>
  <c r="H103" i="1"/>
  <c r="J103" i="1"/>
  <c r="L103" i="1"/>
  <c r="N103" i="1"/>
  <c r="P103" i="1"/>
  <c r="AR101" i="1"/>
  <c r="AN101" i="1"/>
  <c r="AP101" i="1"/>
  <c r="Z102" i="1"/>
  <c r="AB102" i="1"/>
  <c r="AR102" i="1"/>
  <c r="AD102" i="1"/>
  <c r="AF102" i="1"/>
  <c r="F102" i="1"/>
  <c r="AH102" i="1"/>
  <c r="AJ102" i="1"/>
  <c r="AL102" i="1"/>
  <c r="AN102" i="1"/>
  <c r="AT102" i="1"/>
  <c r="AP102" i="1"/>
  <c r="H102" i="1"/>
  <c r="J102" i="1"/>
  <c r="L102" i="1"/>
  <c r="F100" i="1"/>
  <c r="AT100" i="1"/>
  <c r="L100" i="1"/>
  <c r="H100" i="1"/>
  <c r="P100" i="1"/>
  <c r="J100" i="1"/>
  <c r="N100" i="1"/>
  <c r="R100" i="1"/>
  <c r="T100" i="1"/>
  <c r="X100" i="1"/>
  <c r="Z100" i="1"/>
  <c r="AB100" i="1"/>
  <c r="V100" i="1"/>
  <c r="AJ99" i="1"/>
  <c r="AP99" i="1"/>
  <c r="AN99" i="1"/>
  <c r="V96" i="1"/>
  <c r="AL95" i="1"/>
  <c r="AN95" i="1"/>
  <c r="AV95" i="1"/>
  <c r="AP95" i="1"/>
  <c r="AD95" i="1"/>
  <c r="F95" i="1"/>
  <c r="AT95" i="1"/>
  <c r="J95" i="1"/>
  <c r="R95" i="1"/>
  <c r="T95" i="1"/>
  <c r="Z95" i="1"/>
  <c r="Z92" i="1"/>
  <c r="AB92" i="1"/>
  <c r="AR92" i="1"/>
  <c r="AD92" i="1"/>
  <c r="F92" i="1"/>
  <c r="AF92" i="1"/>
  <c r="AH92" i="1"/>
  <c r="AJ92" i="1"/>
  <c r="AT92" i="1"/>
  <c r="AL92" i="1"/>
  <c r="AP92" i="1"/>
  <c r="J92" i="1"/>
  <c r="L91" i="1"/>
  <c r="R91" i="1"/>
  <c r="AR91" i="1"/>
  <c r="T91" i="1"/>
  <c r="V91" i="1"/>
  <c r="AT91" i="1"/>
  <c r="N91" i="1"/>
  <c r="P91" i="1"/>
  <c r="X91" i="1"/>
  <c r="AB91" i="1"/>
  <c r="AF91" i="1"/>
  <c r="AH91" i="1"/>
  <c r="AJ91" i="1"/>
  <c r="AD91" i="1"/>
  <c r="AL91" i="1"/>
  <c r="AP91" i="1"/>
  <c r="AN91" i="1"/>
  <c r="AT94" i="1"/>
  <c r="H94" i="1"/>
  <c r="J94" i="1"/>
  <c r="L94" i="1"/>
  <c r="N94" i="1"/>
  <c r="P94" i="1"/>
  <c r="R94" i="1"/>
  <c r="V94" i="1"/>
  <c r="T94" i="1"/>
  <c r="X94" i="1"/>
  <c r="AB94" i="1"/>
  <c r="Z94" i="1"/>
  <c r="AD94" i="1"/>
  <c r="Z93" i="1"/>
  <c r="AF93" i="1"/>
  <c r="AH88" i="1"/>
  <c r="AJ88" i="1"/>
  <c r="AF88" i="1"/>
  <c r="AL88" i="1"/>
  <c r="AT88" i="1"/>
  <c r="H88" i="1"/>
  <c r="J88" i="1"/>
  <c r="AP88" i="1"/>
  <c r="L88" i="1"/>
  <c r="N88" i="1"/>
  <c r="P88" i="1"/>
  <c r="AV88" i="1"/>
  <c r="R88" i="1"/>
  <c r="T88" i="1"/>
  <c r="X87" i="1"/>
  <c r="AD87" i="1"/>
  <c r="AF87" i="1"/>
  <c r="AL87" i="1"/>
  <c r="AN87" i="1"/>
  <c r="AH87" i="1"/>
  <c r="AV87" i="1"/>
  <c r="F87" i="1"/>
  <c r="Z87" i="1"/>
  <c r="N86" i="1"/>
  <c r="P86" i="1"/>
  <c r="R86" i="1"/>
  <c r="AT86" i="1"/>
  <c r="T86" i="1"/>
  <c r="V86" i="1"/>
  <c r="X86" i="1"/>
  <c r="Z86" i="1"/>
  <c r="AB86" i="1"/>
  <c r="AF86" i="1"/>
  <c r="AH86" i="1"/>
  <c r="AJ86" i="1"/>
  <c r="AL86" i="1"/>
  <c r="AN86" i="1"/>
  <c r="F86" i="1"/>
  <c r="AV86" i="1"/>
  <c r="AP84" i="1"/>
  <c r="AT84" i="1"/>
  <c r="F84" i="1"/>
  <c r="H84" i="1"/>
  <c r="AV84" i="1"/>
  <c r="J84" i="1"/>
  <c r="L84" i="1"/>
  <c r="N84" i="1"/>
  <c r="P84" i="1"/>
  <c r="R84" i="1"/>
  <c r="AF83" i="1"/>
  <c r="AT83" i="1"/>
  <c r="AH83" i="1"/>
  <c r="AJ83" i="1"/>
  <c r="AL83" i="1"/>
  <c r="AP83" i="1"/>
  <c r="F83" i="1"/>
  <c r="AB83" i="1"/>
  <c r="AD83" i="1"/>
  <c r="AN83" i="1"/>
  <c r="AV83" i="1"/>
  <c r="L80" i="1"/>
  <c r="N80" i="1"/>
  <c r="P80" i="1"/>
  <c r="R80" i="1"/>
  <c r="T80" i="1"/>
  <c r="AT80" i="1"/>
  <c r="V80" i="1"/>
  <c r="X80" i="1"/>
  <c r="F80" i="1"/>
  <c r="AF80" i="1"/>
  <c r="AH80" i="1"/>
  <c r="AV80" i="1"/>
  <c r="AD80" i="1"/>
  <c r="AJ80" i="1"/>
  <c r="AF79" i="1"/>
  <c r="AJ79" i="1"/>
  <c r="AL79" i="1"/>
  <c r="P79" i="1"/>
  <c r="AN79" i="1"/>
  <c r="AP79" i="1"/>
  <c r="AT79" i="1"/>
  <c r="H79" i="1"/>
  <c r="J79" i="1"/>
  <c r="L79" i="1"/>
  <c r="N79" i="1"/>
  <c r="T79" i="1"/>
  <c r="R79" i="1"/>
  <c r="AD60" i="1"/>
  <c r="AF66" i="1"/>
  <c r="AD72" i="1"/>
  <c r="V77" i="1"/>
  <c r="F54" i="1"/>
  <c r="AP53" i="1"/>
  <c r="AN31" i="1"/>
  <c r="AH9" i="1"/>
  <c r="AH60" i="1"/>
  <c r="AJ66" i="1"/>
  <c r="AP72" i="1"/>
  <c r="Z77" i="1"/>
  <c r="F52" i="1"/>
  <c r="AT30" i="1"/>
  <c r="T62" i="1"/>
  <c r="L60" i="1"/>
  <c r="R37" i="1"/>
  <c r="AJ37" i="1"/>
  <c r="X41" i="1"/>
  <c r="AF60" i="1"/>
  <c r="Z41" i="1"/>
  <c r="AB41" i="1"/>
  <c r="J55" i="1"/>
  <c r="AJ60" i="1"/>
  <c r="AB77" i="1"/>
  <c r="L55" i="1"/>
  <c r="AL60" i="1"/>
  <c r="AN66" i="1"/>
  <c r="AD77" i="1"/>
  <c r="AF71" i="1"/>
  <c r="R49" i="1"/>
  <c r="R48" i="1"/>
  <c r="AP77" i="1"/>
  <c r="F47" i="1"/>
  <c r="AR78" i="1"/>
  <c r="AV78" i="1"/>
  <c r="AT78" i="1"/>
  <c r="J78" i="1"/>
  <c r="AD66" i="1"/>
  <c r="AV44" i="1"/>
  <c r="L24" i="1"/>
  <c r="AR77" i="1"/>
  <c r="AV77" i="1"/>
  <c r="AT77" i="1"/>
  <c r="AN60" i="1"/>
  <c r="R62" i="1"/>
  <c r="V62" i="1"/>
  <c r="X62" i="1"/>
  <c r="P52" i="1"/>
  <c r="AP60" i="1"/>
  <c r="N62" i="1"/>
  <c r="AV66" i="1"/>
  <c r="AR73" i="1"/>
  <c r="AV60" i="1"/>
  <c r="AT72" i="1"/>
  <c r="AV59" i="1"/>
  <c r="AR66" i="1"/>
  <c r="AV56" i="1"/>
  <c r="AT66" i="1"/>
  <c r="P59" i="1"/>
  <c r="AF65" i="1"/>
  <c r="T71" i="1"/>
  <c r="AB78" i="1"/>
  <c r="AD41" i="1"/>
  <c r="N19" i="1"/>
  <c r="AV52" i="1"/>
  <c r="AT60" i="1"/>
  <c r="AR52" i="1"/>
  <c r="AF59" i="1"/>
  <c r="N66" i="1"/>
  <c r="AJ71" i="1"/>
  <c r="AJ78" i="1"/>
  <c r="AN59" i="1"/>
  <c r="P17" i="1"/>
  <c r="AJ59" i="1"/>
  <c r="R66" i="1"/>
  <c r="AN71" i="1"/>
  <c r="J77" i="1"/>
  <c r="F36" i="1"/>
  <c r="P35" i="1"/>
  <c r="V66" i="1"/>
  <c r="N72" i="1"/>
  <c r="N77" i="1"/>
  <c r="F66" i="1"/>
  <c r="R35" i="1"/>
  <c r="R13" i="1"/>
  <c r="X60" i="1"/>
  <c r="AP71" i="1"/>
  <c r="T60" i="1"/>
  <c r="F60" i="1"/>
  <c r="AB37" i="1"/>
  <c r="Z60" i="1"/>
  <c r="Z66" i="1"/>
  <c r="Z72" i="1"/>
  <c r="R77" i="1"/>
  <c r="F59" i="1"/>
  <c r="AB60" i="1"/>
  <c r="AB72" i="1"/>
  <c r="T77" i="1"/>
  <c r="F56" i="1"/>
  <c r="AD54" i="1"/>
  <c r="AL34" i="1"/>
  <c r="R78" i="1"/>
  <c r="X78" i="1"/>
  <c r="Z78" i="1"/>
  <c r="AN78" i="1"/>
  <c r="AP78" i="1"/>
  <c r="AL78" i="1"/>
  <c r="AJ77" i="1"/>
  <c r="R73" i="1"/>
  <c r="T73" i="1"/>
  <c r="H73" i="1"/>
  <c r="V73" i="1"/>
  <c r="X73" i="1"/>
  <c r="L73" i="1"/>
  <c r="Z73" i="1"/>
  <c r="AV73" i="1"/>
  <c r="AD73" i="1"/>
  <c r="AF73" i="1"/>
  <c r="J73" i="1"/>
  <c r="N73" i="1"/>
  <c r="AH73" i="1"/>
  <c r="AL73" i="1"/>
  <c r="F73" i="1"/>
  <c r="AT73" i="1"/>
  <c r="AP73" i="1"/>
  <c r="P73" i="1"/>
  <c r="AB73" i="1"/>
  <c r="AN73" i="1"/>
  <c r="H72" i="1"/>
  <c r="J72" i="1"/>
  <c r="AR72" i="1"/>
  <c r="AV72" i="1"/>
  <c r="L72" i="1"/>
  <c r="R72" i="1"/>
  <c r="T72" i="1"/>
  <c r="V72" i="1"/>
  <c r="X72" i="1"/>
  <c r="AH72" i="1"/>
  <c r="AJ72" i="1"/>
  <c r="AL72" i="1"/>
  <c r="AR71" i="1"/>
  <c r="AV71" i="1"/>
  <c r="AT71" i="1"/>
  <c r="H71" i="1"/>
  <c r="J71" i="1"/>
  <c r="F71" i="1"/>
  <c r="L71" i="1"/>
  <c r="N71" i="1"/>
  <c r="P71" i="1"/>
  <c r="V71" i="1"/>
  <c r="AD71" i="1"/>
  <c r="AF68" i="1"/>
  <c r="AJ68" i="1"/>
  <c r="AR68" i="1"/>
  <c r="AL68" i="1"/>
  <c r="AV68" i="1"/>
  <c r="AN68" i="1"/>
  <c r="AP68" i="1"/>
  <c r="F68" i="1"/>
  <c r="AT68" i="1"/>
  <c r="AH68" i="1"/>
  <c r="R68" i="1"/>
  <c r="J67" i="1"/>
  <c r="L67" i="1"/>
  <c r="N67" i="1"/>
  <c r="P67" i="1"/>
  <c r="R67" i="1"/>
  <c r="AR67" i="1"/>
  <c r="V67" i="1"/>
  <c r="Z67" i="1"/>
  <c r="AB67" i="1"/>
  <c r="AD67" i="1"/>
  <c r="AV67" i="1"/>
  <c r="F67" i="1"/>
  <c r="AF67" i="1"/>
  <c r="AN67" i="1"/>
  <c r="AP67" i="1"/>
  <c r="AL67" i="1"/>
  <c r="AT67" i="1"/>
  <c r="AJ67" i="1"/>
  <c r="T67" i="1"/>
  <c r="AH67" i="1"/>
  <c r="X67" i="1"/>
  <c r="AH65" i="1"/>
  <c r="AJ65" i="1"/>
  <c r="AL65" i="1"/>
  <c r="AN65" i="1"/>
  <c r="AR65" i="1"/>
  <c r="AP65" i="1"/>
  <c r="AV65" i="1"/>
  <c r="F65" i="1"/>
  <c r="AT65" i="1"/>
  <c r="H65" i="1"/>
  <c r="J65" i="1"/>
  <c r="L65" i="1"/>
  <c r="N65" i="1"/>
  <c r="P65" i="1"/>
  <c r="AR62" i="1"/>
  <c r="F62" i="1"/>
  <c r="AH62" i="1"/>
  <c r="AJ62" i="1"/>
  <c r="AL62" i="1"/>
  <c r="AP62" i="1"/>
  <c r="Z62" i="1"/>
  <c r="AB62" i="1"/>
  <c r="AD62" i="1"/>
  <c r="AF62" i="1"/>
  <c r="AV62" i="1"/>
  <c r="AN62" i="1"/>
  <c r="AT62" i="1"/>
  <c r="H62" i="1"/>
  <c r="J62" i="1"/>
  <c r="L62" i="1"/>
  <c r="P62" i="1"/>
  <c r="J61" i="1"/>
  <c r="AR61" i="1"/>
  <c r="F61" i="1"/>
  <c r="P61" i="1"/>
  <c r="R61" i="1"/>
  <c r="AV61" i="1"/>
  <c r="V61" i="1"/>
  <c r="X61" i="1"/>
  <c r="Z61" i="1"/>
  <c r="AB61" i="1"/>
  <c r="AD61" i="1"/>
  <c r="AF61" i="1"/>
  <c r="AH61" i="1"/>
  <c r="AJ61" i="1"/>
  <c r="AL61" i="1"/>
  <c r="AN61" i="1"/>
  <c r="AT61" i="1"/>
  <c r="T61" i="1"/>
  <c r="L61" i="1"/>
  <c r="N61" i="1"/>
  <c r="AP61" i="1"/>
  <c r="H20" i="1"/>
  <c r="L20" i="1"/>
  <c r="P20" i="1"/>
  <c r="R20" i="1"/>
  <c r="F34" i="1"/>
  <c r="AR30" i="1"/>
  <c r="T20" i="1"/>
  <c r="H38" i="1"/>
  <c r="V20" i="1"/>
  <c r="J38" i="1"/>
  <c r="Z20" i="1"/>
  <c r="L38" i="1"/>
  <c r="AR20" i="1"/>
  <c r="L30" i="1"/>
  <c r="H41" i="1"/>
  <c r="N30" i="1"/>
  <c r="J41" i="1"/>
  <c r="P30" i="1"/>
  <c r="L41" i="1"/>
  <c r="R30" i="1"/>
  <c r="N41" i="1"/>
  <c r="L13" i="1"/>
  <c r="T30" i="1"/>
  <c r="P41" i="1"/>
  <c r="AD34" i="1"/>
  <c r="AP38" i="1"/>
  <c r="X18" i="1"/>
  <c r="AF34" i="1"/>
  <c r="AH34" i="1"/>
  <c r="T17" i="1"/>
  <c r="AJ34" i="1"/>
  <c r="X36" i="1"/>
  <c r="X16" i="1"/>
  <c r="AL18" i="1"/>
  <c r="AT19" i="1"/>
  <c r="AN18" i="1"/>
  <c r="L35" i="1"/>
  <c r="AN34" i="1"/>
  <c r="AV12" i="1"/>
  <c r="AP49" i="1"/>
  <c r="N29" i="1"/>
  <c r="AT29" i="1"/>
  <c r="AJ29" i="1"/>
  <c r="AF29" i="1"/>
  <c r="AD29" i="1"/>
  <c r="T29" i="1"/>
  <c r="R29" i="1"/>
  <c r="F29" i="1"/>
  <c r="AV29" i="1"/>
  <c r="AV48" i="1"/>
  <c r="AT48" i="1"/>
  <c r="AJ48" i="1"/>
  <c r="AH48" i="1"/>
  <c r="AF48" i="1"/>
  <c r="AP48" i="1"/>
  <c r="AN48" i="1"/>
  <c r="AL48" i="1"/>
  <c r="J26" i="1"/>
  <c r="H44" i="1"/>
  <c r="J44" i="1"/>
  <c r="AL47" i="1"/>
  <c r="AJ47" i="1"/>
  <c r="AH47" i="1"/>
  <c r="AB47" i="1"/>
  <c r="AR47" i="1"/>
  <c r="Z47" i="1"/>
  <c r="AT47" i="1"/>
  <c r="X47" i="1"/>
  <c r="V47" i="1"/>
  <c r="T47" i="1"/>
  <c r="R47" i="1"/>
  <c r="P47" i="1"/>
  <c r="N47" i="1"/>
  <c r="L47" i="1"/>
  <c r="J47" i="1"/>
  <c r="AV47" i="1"/>
  <c r="H47" i="1"/>
  <c r="N44" i="1"/>
  <c r="AL44" i="1"/>
  <c r="P44" i="1"/>
  <c r="V44" i="1"/>
  <c r="X44" i="1"/>
  <c r="Z44" i="1"/>
  <c r="Z48" i="1"/>
  <c r="AB48" i="1"/>
  <c r="AD44" i="1"/>
  <c r="AF43" i="1"/>
  <c r="AF44" i="1"/>
  <c r="AB20" i="1"/>
  <c r="AH44" i="1"/>
  <c r="Z42" i="1"/>
  <c r="AT20" i="1"/>
  <c r="AF20" i="1"/>
  <c r="AJ44" i="1"/>
  <c r="V16" i="1"/>
  <c r="AN20" i="1"/>
  <c r="R41" i="1"/>
  <c r="AV41" i="1"/>
  <c r="AV19" i="1"/>
  <c r="AP20" i="1"/>
  <c r="T41" i="1"/>
  <c r="P38" i="1"/>
  <c r="F44" i="1"/>
  <c r="AJ24" i="1"/>
  <c r="AB44" i="1"/>
  <c r="AF23" i="1"/>
  <c r="AH23" i="1"/>
  <c r="AJ23" i="1"/>
  <c r="X17" i="1"/>
  <c r="AL23" i="1"/>
  <c r="AP37" i="1"/>
  <c r="R17" i="1"/>
  <c r="Z17" i="1"/>
  <c r="AN23" i="1"/>
  <c r="AB17" i="1"/>
  <c r="AP23" i="1"/>
  <c r="AT16" i="1"/>
  <c r="AD17" i="1"/>
  <c r="AL24" i="1"/>
  <c r="AB42" i="1"/>
  <c r="AF17" i="1"/>
  <c r="AN24" i="1"/>
  <c r="AH35" i="1"/>
  <c r="AD42" i="1"/>
  <c r="AP35" i="1"/>
  <c r="AL13" i="1"/>
  <c r="Z18" i="1"/>
  <c r="AP24" i="1"/>
  <c r="AJ35" i="1"/>
  <c r="AF42" i="1"/>
  <c r="AB18" i="1"/>
  <c r="V36" i="1"/>
  <c r="AH42" i="1"/>
  <c r="F20" i="1"/>
  <c r="AB34" i="1"/>
  <c r="AD12" i="1"/>
  <c r="AD18" i="1"/>
  <c r="AJ42" i="1"/>
  <c r="F17" i="1"/>
  <c r="AF18" i="1"/>
  <c r="J37" i="1"/>
  <c r="AL42" i="1"/>
  <c r="F16" i="1"/>
  <c r="AR31" i="1"/>
  <c r="AR44" i="1"/>
  <c r="AT37" i="1"/>
  <c r="AH18" i="1"/>
  <c r="N37" i="1"/>
  <c r="AN42" i="1"/>
  <c r="F13" i="1"/>
  <c r="AR42" i="1"/>
  <c r="AJ18" i="1"/>
  <c r="P37" i="1"/>
  <c r="AP42" i="1"/>
  <c r="F12" i="1"/>
  <c r="AH30" i="1"/>
  <c r="AT8" i="1"/>
  <c r="AR41" i="1"/>
  <c r="H60" i="1"/>
  <c r="AR60" i="1"/>
  <c r="J60" i="1"/>
  <c r="N60" i="1"/>
  <c r="P60" i="1"/>
  <c r="X59" i="1"/>
  <c r="Z59" i="1"/>
  <c r="AB59" i="1"/>
  <c r="AD59" i="1"/>
  <c r="AL59" i="1"/>
  <c r="AT59" i="1"/>
  <c r="AP59" i="1"/>
  <c r="AR59" i="1"/>
  <c r="P55" i="1"/>
  <c r="AV55" i="1"/>
  <c r="R55" i="1"/>
  <c r="T55" i="1"/>
  <c r="V55" i="1"/>
  <c r="X55" i="1"/>
  <c r="Z55" i="1"/>
  <c r="AB55" i="1"/>
  <c r="AD55" i="1"/>
  <c r="F55" i="1"/>
  <c r="AF55" i="1"/>
  <c r="AH55" i="1"/>
  <c r="AJ55" i="1"/>
  <c r="AL55" i="1"/>
  <c r="AP55" i="1"/>
  <c r="AR55" i="1"/>
  <c r="AT55" i="1"/>
  <c r="R56" i="1"/>
  <c r="T56" i="1"/>
  <c r="V56" i="1"/>
  <c r="AB56" i="1"/>
  <c r="AD56" i="1"/>
  <c r="AR56" i="1"/>
  <c r="AJ56" i="1"/>
  <c r="AL56" i="1"/>
  <c r="AT56" i="1"/>
  <c r="AF56" i="1"/>
  <c r="AH56" i="1"/>
  <c r="AN56" i="1"/>
  <c r="Z56" i="1"/>
  <c r="J52" i="1"/>
  <c r="L52" i="1"/>
  <c r="AF53" i="1"/>
  <c r="AR54" i="1"/>
  <c r="N52" i="1"/>
  <c r="AH53" i="1"/>
  <c r="AR53" i="1"/>
  <c r="J54" i="1"/>
  <c r="AT54" i="1"/>
  <c r="AB52" i="1"/>
  <c r="L54" i="1"/>
  <c r="AT53" i="1"/>
  <c r="AD52" i="1"/>
  <c r="N54" i="1"/>
  <c r="AT52" i="1"/>
  <c r="X52" i="1"/>
  <c r="AF52" i="1"/>
  <c r="R54" i="1"/>
  <c r="T54" i="1"/>
  <c r="R52" i="1"/>
  <c r="V54" i="1"/>
  <c r="T52" i="1"/>
  <c r="X54" i="1"/>
  <c r="Z54" i="1"/>
  <c r="V52" i="1"/>
  <c r="H54" i="1"/>
  <c r="Z52" i="1"/>
  <c r="P54" i="1"/>
  <c r="AH52" i="1"/>
  <c r="AJ52" i="1"/>
  <c r="AL52" i="1"/>
  <c r="AN52" i="1"/>
  <c r="H53" i="1"/>
  <c r="AB54" i="1"/>
  <c r="AV54" i="1"/>
  <c r="J53" i="1"/>
  <c r="L49" i="1"/>
  <c r="AD47" i="1"/>
  <c r="N49" i="1"/>
  <c r="AR49" i="1"/>
  <c r="H49" i="1"/>
  <c r="AR48" i="1"/>
  <c r="J49" i="1"/>
  <c r="AF47" i="1"/>
  <c r="P49" i="1"/>
  <c r="Z49" i="1"/>
  <c r="T49" i="1"/>
  <c r="V49" i="1"/>
  <c r="X49" i="1"/>
  <c r="AP47" i="1"/>
  <c r="H48" i="1"/>
  <c r="AB49" i="1"/>
  <c r="AT49" i="1"/>
  <c r="AF49" i="1"/>
  <c r="N48" i="1"/>
  <c r="AH49" i="1"/>
  <c r="P48" i="1"/>
  <c r="AJ49" i="1"/>
  <c r="AD49" i="1"/>
  <c r="F49" i="1"/>
  <c r="AV49" i="1"/>
  <c r="AL49" i="1"/>
  <c r="T48" i="1"/>
  <c r="AN49" i="1"/>
  <c r="F48" i="1"/>
  <c r="V48" i="1"/>
  <c r="AH43" i="1"/>
  <c r="AJ43" i="1"/>
  <c r="AL43" i="1"/>
  <c r="AN43" i="1"/>
  <c r="AP43" i="1"/>
  <c r="AR43" i="1"/>
  <c r="R44" i="1"/>
  <c r="T44" i="1"/>
  <c r="T43" i="1"/>
  <c r="AN44" i="1"/>
  <c r="H43" i="1"/>
  <c r="V43" i="1"/>
  <c r="AP44" i="1"/>
  <c r="F43" i="1"/>
  <c r="AT44" i="1"/>
  <c r="X43" i="1"/>
  <c r="AT43" i="1"/>
  <c r="R43" i="1"/>
  <c r="Z43" i="1"/>
  <c r="J43" i="1"/>
  <c r="L43" i="1"/>
  <c r="N43" i="1"/>
  <c r="AB43" i="1"/>
  <c r="AV43" i="1"/>
  <c r="P43" i="1"/>
  <c r="AD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8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1" i="3" s="1"/>
  <c r="AK17" i="2"/>
  <c r="D3" i="3" s="1"/>
  <c r="AM17" i="2"/>
  <c r="D13" i="3" s="1"/>
  <c r="AI17" i="2"/>
  <c r="D19" i="3" s="1"/>
  <c r="AO17" i="2"/>
  <c r="D7" i="3" s="1"/>
  <c r="AA17" i="2"/>
  <c r="D11" i="3" s="1"/>
  <c r="AC17" i="2"/>
  <c r="D16" i="3" s="1"/>
  <c r="AE17" i="2"/>
  <c r="D4" i="3" s="1"/>
  <c r="AG17" i="2"/>
  <c r="D9" i="3" s="1"/>
  <c r="E17" i="2"/>
  <c r="D5" i="3" s="1"/>
  <c r="I17" i="2"/>
  <c r="D8" i="3" s="1"/>
  <c r="K17" i="2"/>
  <c r="D24" i="3" s="1"/>
  <c r="M17" i="2"/>
  <c r="D20" i="3" s="1"/>
  <c r="G17" i="2"/>
  <c r="D12" i="3" s="1"/>
  <c r="O17" i="2"/>
  <c r="D15" i="3" s="1"/>
  <c r="S17" i="2"/>
  <c r="D22" i="3" s="1"/>
  <c r="U17" i="2"/>
  <c r="D6" i="3" s="1"/>
  <c r="W17" i="2"/>
  <c r="D10" i="3" s="1"/>
  <c r="Y17" i="2"/>
  <c r="D14" i="3" s="1"/>
  <c r="C18" i="3" l="1"/>
  <c r="E18" i="3" s="1"/>
  <c r="C17" i="3"/>
  <c r="E17" i="3" s="1"/>
  <c r="C21" i="3"/>
  <c r="E21" i="3" s="1"/>
  <c r="C23" i="3"/>
  <c r="E23" i="3" s="1"/>
  <c r="C7" i="3"/>
  <c r="E7" i="3" s="1"/>
  <c r="C16" i="3"/>
  <c r="E16" i="3" s="1"/>
  <c r="C22" i="3"/>
  <c r="E22" i="3" s="1"/>
  <c r="C4" i="3"/>
  <c r="E4" i="3" s="1"/>
  <c r="C15" i="3"/>
  <c r="E15" i="3" s="1"/>
  <c r="C20" i="3"/>
  <c r="E20" i="3" s="1"/>
  <c r="C19" i="3"/>
  <c r="E19" i="3" s="1"/>
  <c r="C5" i="3"/>
  <c r="E5" i="3" s="1"/>
  <c r="C10" i="3"/>
  <c r="E10" i="3" s="1"/>
  <c r="C24" i="3"/>
  <c r="E24" i="3" s="1"/>
  <c r="C3" i="3"/>
  <c r="E3" i="3" s="1"/>
  <c r="C11" i="3"/>
  <c r="E11" i="3" s="1"/>
  <c r="C12" i="3"/>
  <c r="E12" i="3" s="1"/>
  <c r="C14" i="3"/>
  <c r="E14" i="3" s="1"/>
  <c r="C8" i="3"/>
  <c r="E8" i="3" s="1"/>
  <c r="C13" i="3"/>
  <c r="E13" i="3" s="1"/>
  <c r="C6" i="3"/>
  <c r="E6" i="3" s="1"/>
  <c r="C9" i="3"/>
  <c r="E9" i="3" s="1"/>
  <c r="A23" i="3" l="1"/>
  <c r="A13" i="3"/>
  <c r="A8" i="3"/>
  <c r="A17" i="3"/>
  <c r="A9" i="3"/>
  <c r="A5" i="3"/>
  <c r="A14" i="3"/>
  <c r="A24" i="3"/>
  <c r="A15" i="3"/>
  <c r="A7" i="3"/>
  <c r="A19" i="3"/>
  <c r="A6" i="3"/>
  <c r="A20" i="3"/>
  <c r="A12" i="3"/>
  <c r="A21" i="3"/>
  <c r="A22" i="3"/>
  <c r="A10" i="3"/>
  <c r="A3" i="3"/>
  <c r="A4" i="3"/>
  <c r="A16" i="3"/>
  <c r="A11" i="3"/>
  <c r="A18" i="3"/>
</calcChain>
</file>

<file path=xl/sharedStrings.xml><?xml version="1.0" encoding="utf-8"?>
<sst xmlns="http://schemas.openxmlformats.org/spreadsheetml/2006/main" count="3084" uniqueCount="270">
  <si>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</si>
  <si>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</si>
  <si>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</si>
  <si>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</si>
  <si>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</si>
  <si>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</si>
  <si>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</si>
  <si>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</si>
  <si>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</si>
  <si>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</si>
  <si>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</si>
  <si>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</si>
  <si>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</si>
  <si>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</si>
  <si>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</si>
  <si>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</si>
  <si>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</si>
  <si>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</si>
  <si>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</si>
  <si>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</si>
  <si>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</si>
  <si>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</si>
  <si>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</si>
  <si>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</si>
  <si>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</si>
  <si>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</si>
  <si>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</si>
  <si>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</si>
  <si>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</si>
  <si>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</si>
  <si>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</si>
  <si>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</si>
  <si>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</si>
  <si>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</si>
  <si>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</si>
  <si>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</si>
  <si>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</si>
  <si>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</si>
  <si>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</si>
  <si>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</si>
  <si>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</si>
  <si>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</si>
  <si>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</si>
  <si>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</si>
  <si>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</si>
  <si>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</si>
  <si>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</si>
  <si>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</si>
  <si>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</si>
  <si>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</si>
  <si>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</si>
  <si>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</si>
  <si>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</si>
  <si>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</si>
  <si>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</si>
  <si>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</si>
  <si>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</si>
  <si>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</si>
  <si>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</si>
  <si>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</si>
  <si>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</si>
  <si>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</si>
  <si>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</si>
  <si>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</si>
  <si>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</si>
  <si>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</si>
  <si>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</si>
  <si>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</si>
  <si>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</si>
  <si>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</si>
  <si>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</si>
  <si>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</si>
  <si>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</si>
  <si>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</si>
  <si>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</si>
  <si>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</si>
  <si>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</si>
  <si>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</si>
  <si>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</si>
  <si>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</si>
  <si>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</si>
  <si>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</si>
  <si>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</si>
  <si>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</si>
  <si>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</si>
  <si>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</si>
  <si>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</si>
  <si>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</si>
  <si>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</si>
  <si>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</si>
  <si>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</si>
  <si>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</si>
  <si>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</si>
  <si>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</si>
  <si>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</si>
  <si>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</si>
  <si>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</si>
  <si>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</si>
  <si>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</si>
  <si>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</si>
  <si>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</si>
  <si>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</si>
  <si>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</si>
  <si>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</si>
  <si>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</si>
  <si>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</si>
  <si>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</si>
  <si>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</si>
  <si>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</si>
  <si>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</si>
  <si>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</si>
  <si>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</si>
  <si>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</si>
  <si>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</si>
  <si>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</si>
  <si>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</si>
  <si>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</si>
  <si>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</si>
  <si>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</si>
  <si>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</si>
  <si>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</si>
  <si>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</si>
  <si>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</si>
  <si>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</si>
  <si>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</si>
  <si>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</si>
  <si>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</si>
  <si>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</si>
  <si>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</si>
  <si>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</si>
  <si>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</si>
  <si>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</si>
  <si>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</si>
  <si>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</si>
  <si>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</si>
  <si>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</si>
  <si>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zondag 5 juli 2026</t>
  </si>
  <si>
    <t>maandag 6 juli 2026</t>
  </si>
  <si>
    <t>dinsdag 7 juli 2026</t>
  </si>
  <si>
    <t>Kwartfinales</t>
  </si>
  <si>
    <t>donderdag 9 juli 2026</t>
  </si>
  <si>
    <t>vrijdag 10 juli 2026</t>
  </si>
  <si>
    <t>zaterdag 11 juli 2026</t>
  </si>
  <si>
    <t>zondag 12 juli 2026</t>
  </si>
  <si>
    <t>Halve finales</t>
  </si>
  <si>
    <t>dinsdag 14 juli 2026</t>
  </si>
  <si>
    <t>woensdag 15 juli 2026</t>
  </si>
  <si>
    <t>Troostfinale</t>
  </si>
  <si>
    <t>zaterdag 18 juli 2026</t>
  </si>
  <si>
    <t>Finale</t>
  </si>
  <si>
    <t>zondag 19 juli 2026</t>
  </si>
  <si>
    <t>Bonusvraag</t>
  </si>
  <si>
    <t>Correct antwoord</t>
  </si>
  <si>
    <t>Antwoord</t>
  </si>
  <si>
    <t>Welk land kroont zich tot Wereldkampioen?</t>
  </si>
  <si>
    <t>Welk land wordt de verliezend finalist?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</si>
  <si>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</si>
  <si>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</si>
  <si>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</si>
  <si>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</si>
  <si>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</si>
  <si>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</si>
  <si>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</si>
  <si>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</si>
  <si>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</si>
  <si>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</si>
  <si>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</si>
  <si>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</si>
  <si>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</si>
  <si>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</si>
  <si>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</si>
  <si>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</si>
  <si>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</si>
  <si>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</si>
  <si>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</si>
  <si>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</si>
  <si>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</si>
  <si>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</si>
  <si>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</si>
  <si>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</si>
  <si>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</si>
  <si>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</si>
  <si>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</si>
  <si>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</si>
  <si>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</si>
  <si>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</si>
  <si>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</si>
  <si>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</si>
  <si>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</si>
  <si>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</si>
  <si>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</si>
  <si>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</si>
  <si>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</si>
  <si>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</si>
  <si>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</si>
  <si>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</si>
  <si>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</si>
  <si>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</si>
  <si>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</si>
  <si>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</si>
  <si>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</si>
  <si>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</si>
  <si>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</si>
  <si>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</si>
  <si>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</si>
  <si>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</si>
  <si>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</si>
  <si>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</si>
  <si>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</si>
  <si>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</si>
  <si>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</si>
  <si>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</si>
  <si>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</si>
  <si>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</si>
  <si>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</si>
  <si>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</si>
  <si>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</si>
  <si>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</si>
  <si>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</si>
  <si>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</si>
  <si>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</si>
  <si>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</si>
  <si>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</si>
  <si>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</si>
  <si>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</si>
  <si>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</si>
  <si>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</si>
  <si>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</si>
  <si>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</si>
  <si>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</si>
  <si>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</si>
  <si>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</si>
  <si>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</si>
  <si>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</si>
  <si>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</si>
  <si>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</si>
  <si>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</si>
  <si>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</si>
  <si>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</si>
  <si>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</si>
  <si>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</si>
  <si>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</si>
  <si>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</si>
  <si>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</si>
  <si>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</si>
  <si>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</si>
  <si>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</si>
  <si>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</si>
  <si>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</si>
  <si>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</si>
  <si>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</si>
  <si>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</si>
  <si>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</si>
  <si>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</si>
  <si>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</si>
  <si>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</si>
  <si>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</si>
  <si>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</si>
  <si>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</si>
  <si>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</si>
  <si>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</si>
  <si>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</si>
  <si>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</si>
  <si>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</si>
  <si>
    <t>Paraguay (wns)</t>
  </si>
  <si>
    <t>Argentinië (wnv)</t>
  </si>
  <si>
    <t>Egypte (wns)</t>
  </si>
  <si>
    <t>Zwitserland (wns)</t>
  </si>
  <si>
    <t>Engeland (wnv)</t>
  </si>
  <si>
    <t>Irak + Tunesië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</si>
</sst>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dddd"/>
  </numFmts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002868"/>
      <name val="Calibri"/>
      <family val="2"/>
    </font>
    <font>
      <b/>
      <sz val="13"/>
      <color rgb="FFFFFFFF"/>
      <name val="Calibri"/>
      <family val="2"/>
    </font>
    <font>
      <b/>
      <sz val="12"/>
      <color rgb="FFFFFFFF"/>
      <name val="Calibri"/>
      <family val="2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0"/>
      <color rgb="FF1A1A1A"/>
      <name val="Arial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9"/>
      <name val="Calibri"/>
      <family val="2"/>
      <scheme val="minor"/>
    </font>
    <font>
      <sz val="11"/>
      <color rgb="FF00B05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E72F78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6" fillId="0" borderId="0" xfId="0" applyFont="1"/>
    <xf numFmtId="0" fontId="13" fillId="0" borderId="4" xfId="0" applyFont="1" applyBorder="1" applyAlignment="1">
      <alignment horizontal="left" vertical="center" wrapText="1"/>
    </xf>
    <xf numFmtId="0" fontId="13" fillId="0" borderId="0" xfId="0" applyFont="1"/>
    <xf numFmtId="0" fontId="15" fillId="0" borderId="4" xfId="0" applyFont="1" applyBorder="1" applyAlignment="1">
      <alignment horizontal="right" vertical="center" wrapText="1"/>
    </xf>
    <xf numFmtId="0" fontId="15" fillId="0" borderId="4" xfId="0" applyFont="1" applyBorder="1" applyAlignment="1">
      <alignment horizontal="left" vertical="center" wrapText="1"/>
    </xf>
    <xf numFmtId="49" fontId="15" fillId="0" borderId="4" xfId="0" applyNumberFormat="1" applyFont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0" fontId="16" fillId="0" borderId="4" xfId="0" applyFont="1" applyBorder="1" applyAlignment="1">
      <alignment horizontal="left" vertical="center" wrapText="1"/>
    </xf>
    <xf numFmtId="0" fontId="4" fillId="5" borderId="5" xfId="0" applyFont="1" applyFill="1" applyBorder="1" applyAlignment="1">
      <alignment horizontal="left" vertical="center" wrapText="1"/>
    </xf>
    <xf numFmtId="0" fontId="0" fillId="5" borderId="1" xfId="0" applyFill="1" applyBorder="1"/>
    <xf numFmtId="49" fontId="0" fillId="5" borderId="1" xfId="0" applyNumberFormat="1" applyFill="1" applyBorder="1"/>
    <xf numFmtId="0" fontId="0" fillId="5" borderId="2" xfId="0" applyFill="1" applyBorder="1"/>
    <xf numFmtId="164" fontId="8" fillId="5" borderId="5" xfId="0" applyNumberFormat="1" applyFont="1" applyFill="1" applyBorder="1" applyAlignment="1">
      <alignment horizontal="left" vertical="center" wrapText="1"/>
    </xf>
    <xf numFmtId="164" fontId="0" fillId="5" borderId="1" xfId="0" applyNumberFormat="1" applyFill="1" applyBorder="1"/>
    <xf numFmtId="164" fontId="0" fillId="5" borderId="2" xfId="0" applyNumberFormat="1" applyFill="1" applyBorder="1"/>
    <xf numFmtId="0" fontId="1" fillId="2" borderId="5" xfId="0" applyFont="1" applyFill="1" applyBorder="1" applyAlignment="1">
      <alignment horizontal="center" vertical="center" wrapText="1"/>
    </xf>
    <xf numFmtId="0" fontId="0" fillId="0" borderId="2" xfId="0" applyBorder="1"/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1" xfId="0" applyBorder="1"/>
    <xf numFmtId="49" fontId="0" fillId="0" borderId="1" xfId="0" applyNumberFormat="1" applyBorder="1"/>
    <xf numFmtId="0" fontId="8" fillId="5" borderId="5" xfId="0" applyFont="1" applyFill="1" applyBorder="1" applyAlignment="1">
      <alignment horizontal="left" vertical="center" wrapText="1"/>
    </xf>
    <xf numFmtId="0" fontId="0" fillId="0" borderId="3" xfId="0" applyBorder="1"/>
    <xf numFmtId="0" fontId="14" fillId="2" borderId="5" xfId="0" applyFont="1" applyFill="1" applyBorder="1" applyAlignment="1">
      <alignment horizontal="center" vertical="center" wrapText="1"/>
    </xf>
    <xf numFmtId="0" fontId="14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4" fillId="2" borderId="4" xfId="0" applyFont="1" applyFill="1" applyBorder="1" applyAlignment="1">
      <alignment horizontal="center" vertical="center" wrapText="1"/>
    </xf>
    <xf numFmtId="0" fontId="13" fillId="0" borderId="2" xfId="0" applyFont="1" applyBorder="1"/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E72F78"/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155" activePane="bottomRight" state="frozen"/>
      <selection pane="topRight"/>
      <selection pane="bottomLeft"/>
      <selection pane="bottomRight" activeCell="C187" sqref="C187"/>
    </sheetView>
  </sheetViews>
  <sheetFormatPr defaultRowHeight="15" x14ac:dyDescent="0.25"/>
  <cols>
    <col min="1" max="1" width="10.5703125" customWidth="1"/>
    <col min="2" max="2" width="22.140625" style="18" customWidth="1"/>
    <col min="3" max="3" width="10.5703125" customWidth="1"/>
    <col min="4" max="4" width="21.85546875" style="19" bestFit="1" customWidth="1"/>
    <col min="5" max="5" width="12.5703125" style="21" customWidth="1"/>
    <col min="6" max="6" width="8.5703125" customWidth="1"/>
    <col min="7" max="7" width="12.5703125" style="21" customWidth="1"/>
    <col min="8" max="8" width="8.5703125" customWidth="1"/>
    <col min="9" max="9" width="12.5703125" style="21" customWidth="1"/>
    <col min="10" max="10" width="8.5703125" customWidth="1"/>
    <col min="11" max="11" width="12.5703125" style="21" customWidth="1"/>
    <col min="12" max="12" width="8.5703125" customWidth="1"/>
    <col min="13" max="13" width="12.5703125" style="21" customWidth="1"/>
    <col min="14" max="14" width="8.5703125" customWidth="1"/>
    <col min="15" max="15" width="12.5703125" style="21" customWidth="1"/>
    <col min="16" max="16" width="8.5703125" customWidth="1"/>
    <col min="17" max="17" width="12.5703125" style="21" customWidth="1"/>
    <col min="18" max="18" width="8.5703125" customWidth="1"/>
    <col min="19" max="19" width="12.5703125" style="21" customWidth="1"/>
    <col min="20" max="20" width="8.5703125" customWidth="1"/>
    <col min="21" max="21" width="12.5703125" customWidth="1"/>
    <col min="22" max="22" width="8.5703125" customWidth="1"/>
    <col min="23" max="23" width="12.5703125" style="21" customWidth="1"/>
    <col min="24" max="24" width="8.5703125" customWidth="1"/>
    <col min="25" max="25" width="12.5703125" style="21" customWidth="1"/>
    <col min="26" max="26" width="8.5703125" customWidth="1"/>
    <col min="27" max="27" width="12.5703125" style="21" customWidth="1"/>
    <col min="28" max="28" width="8.5703125" customWidth="1"/>
    <col min="29" max="29" width="12.5703125" style="21" customWidth="1"/>
    <col min="30" max="30" width="8.5703125" customWidth="1"/>
    <col min="31" max="31" width="12.5703125" style="21" customWidth="1"/>
    <col min="32" max="32" width="8.5703125" customWidth="1"/>
    <col min="33" max="33" width="12.5703125" style="21" customWidth="1"/>
    <col min="34" max="34" width="8.5703125" customWidth="1"/>
    <col min="35" max="35" width="12.5703125" style="21" customWidth="1"/>
    <col min="36" max="36" width="8.5703125" customWidth="1"/>
    <col min="37" max="37" width="12.5703125" style="21" customWidth="1"/>
    <col min="38" max="38" width="8.5703125" customWidth="1"/>
    <col min="39" max="39" width="12.5703125" style="21" customWidth="1"/>
    <col min="40" max="40" width="8.5703125" customWidth="1"/>
    <col min="41" max="41" width="15.5703125" style="21" customWidth="1"/>
    <col min="42" max="42" width="8.5703125" customWidth="1"/>
    <col min="43" max="43" width="15.5703125" style="21" customWidth="1"/>
    <col min="44" max="44" width="8.5703125" customWidth="1"/>
    <col min="45" max="45" width="15.7109375" style="21" customWidth="1"/>
    <col min="46" max="46" width="8.5703125" customWidth="1"/>
    <col min="47" max="47" width="15.5703125" style="21" customWidth="1"/>
    <col min="48" max="48" width="8.5703125" customWidth="1"/>
    <col min="49" max="50" width="13" hidden="1" customWidth="1"/>
  </cols>
  <sheetData>
    <row r="1" spans="1:50" x14ac:dyDescent="0.25">
      <c r="A1" s="51" t="s">
        <v>0</v>
      </c>
      <c r="B1" s="51" t="s">
        <v>1</v>
      </c>
      <c r="C1" s="51" t="s">
        <v>2</v>
      </c>
      <c r="D1" s="51" t="s">
        <v>3</v>
      </c>
      <c r="E1" s="57" t="s">
        <v>4</v>
      </c>
      <c r="F1" s="58"/>
      <c r="G1" s="46" t="s">
        <v>5</v>
      </c>
      <c r="H1" s="47"/>
      <c r="I1" s="46" t="s">
        <v>6</v>
      </c>
      <c r="J1" s="47"/>
      <c r="K1" s="46" t="s">
        <v>7</v>
      </c>
      <c r="L1" s="47"/>
      <c r="M1" s="46" t="s">
        <v>8</v>
      </c>
      <c r="N1" s="47"/>
      <c r="O1" s="46" t="s">
        <v>9</v>
      </c>
      <c r="P1" s="47"/>
      <c r="Q1" s="46" t="s">
        <v>10</v>
      </c>
      <c r="R1" s="47"/>
      <c r="S1" s="46" t="s">
        <v>11</v>
      </c>
      <c r="T1" s="47"/>
      <c r="U1" s="46" t="s">
        <v>12</v>
      </c>
      <c r="V1" s="47"/>
      <c r="W1" s="46" t="s">
        <v>13</v>
      </c>
      <c r="X1" s="47"/>
      <c r="Y1" s="46" t="s">
        <v>14</v>
      </c>
      <c r="Z1" s="47"/>
      <c r="AA1" s="46" t="s">
        <v>15</v>
      </c>
      <c r="AB1" s="47"/>
      <c r="AC1" s="46" t="s">
        <v>16</v>
      </c>
      <c r="AD1" s="47"/>
      <c r="AE1" s="46" t="s">
        <v>17</v>
      </c>
      <c r="AF1" s="47"/>
      <c r="AG1" s="46" t="s">
        <v>18</v>
      </c>
      <c r="AH1" s="47"/>
      <c r="AI1" s="46" t="s">
        <v>19</v>
      </c>
      <c r="AJ1" s="47"/>
      <c r="AK1" s="46" t="s">
        <v>20</v>
      </c>
      <c r="AL1" s="47"/>
      <c r="AM1" s="46" t="s">
        <v>21</v>
      </c>
      <c r="AN1" s="47"/>
      <c r="AO1" s="46" t="s">
        <v>22</v>
      </c>
      <c r="AP1" s="47"/>
      <c r="AQ1" s="46" t="s">
        <v>23</v>
      </c>
      <c r="AR1" s="47"/>
      <c r="AS1" s="46" t="s">
        <v>258</v>
      </c>
      <c r="AT1" s="59"/>
      <c r="AU1" s="46" t="s">
        <v>24</v>
      </c>
      <c r="AV1" s="59"/>
      <c r="AW1" s="2" t="s">
        <v>25</v>
      </c>
      <c r="AX1" s="2" t="s">
        <v>26</v>
      </c>
    </row>
    <row r="2" spans="1:50" x14ac:dyDescent="0.25">
      <c r="A2" s="56"/>
      <c r="B2" s="52"/>
      <c r="C2" s="56"/>
      <c r="D2" s="52"/>
      <c r="E2" s="23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3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25">
      <c r="A3" s="48" t="s">
        <v>29</v>
      </c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50"/>
      <c r="AW3" s="7"/>
      <c r="AX3" s="7"/>
    </row>
    <row r="4" spans="1:50" ht="20.100000000000001" customHeight="1" x14ac:dyDescent="0.25">
      <c r="A4" s="43" t="s">
        <v>30</v>
      </c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5"/>
      <c r="AW4" s="8"/>
      <c r="AX4" s="8"/>
    </row>
    <row r="5" spans="1:50" ht="18" customHeight="1" x14ac:dyDescent="0.25">
      <c r="A5" s="9">
        <v>1.875</v>
      </c>
      <c r="B5" s="17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25">
      <c r="A6" s="12"/>
      <c r="B6" s="17"/>
      <c r="C6" s="13"/>
      <c r="D6" s="1"/>
      <c r="E6" s="20"/>
      <c r="F6" s="12"/>
      <c r="G6" s="20"/>
      <c r="H6" s="12"/>
      <c r="I6" s="20"/>
      <c r="J6" s="12"/>
      <c r="K6" s="20"/>
      <c r="L6" s="12"/>
      <c r="M6" s="20"/>
      <c r="N6" s="12"/>
      <c r="O6" s="20"/>
      <c r="P6" s="12"/>
      <c r="Q6" s="20"/>
      <c r="R6" s="12"/>
      <c r="S6" s="20"/>
      <c r="T6" s="12"/>
      <c r="U6" s="13"/>
      <c r="V6" s="12"/>
      <c r="W6" s="20"/>
      <c r="X6" s="12"/>
      <c r="Y6" s="20"/>
      <c r="Z6" s="12"/>
      <c r="AA6" s="20"/>
      <c r="AB6" s="12"/>
      <c r="AC6" s="20"/>
      <c r="AD6" s="12"/>
      <c r="AE6" s="20"/>
      <c r="AF6" s="12"/>
      <c r="AG6" s="20"/>
      <c r="AH6" s="12"/>
      <c r="AI6" s="20"/>
      <c r="AJ6" s="12"/>
      <c r="AK6" s="20"/>
      <c r="AL6" s="12"/>
      <c r="AM6" s="20"/>
      <c r="AN6" s="12"/>
      <c r="AO6" s="20"/>
      <c r="AP6" s="12"/>
      <c r="AQ6" s="20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0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0"/>
      <c r="AV6" s="12"/>
      <c r="AW6" s="12"/>
      <c r="AX6" s="12"/>
    </row>
    <row r="7" spans="1:50" ht="20.100000000000001" customHeight="1" x14ac:dyDescent="0.25">
      <c r="A7" s="43" t="s">
        <v>40</v>
      </c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  <c r="AQ7" s="44"/>
      <c r="AR7" s="44"/>
      <c r="AS7" s="44"/>
      <c r="AT7" s="44"/>
      <c r="AU7" s="44"/>
      <c r="AV7" s="45"/>
      <c r="AW7" s="8"/>
      <c r="AX7" s="8"/>
    </row>
    <row r="8" spans="1:50" ht="18" customHeight="1" x14ac:dyDescent="0.25">
      <c r="A8" s="9">
        <v>1.166666666666667</v>
      </c>
      <c r="B8" s="17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25">
      <c r="A9" s="9">
        <v>1.875</v>
      </c>
      <c r="B9" s="17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25">
      <c r="A10" s="12"/>
      <c r="B10" s="17"/>
      <c r="C10" s="13"/>
      <c r="D10" s="1"/>
      <c r="E10" s="20"/>
      <c r="F10" s="12"/>
      <c r="G10" s="20"/>
      <c r="H10" s="12"/>
      <c r="I10" s="20"/>
      <c r="J10" s="12"/>
      <c r="K10" s="20"/>
      <c r="L10" s="12"/>
      <c r="M10" s="20"/>
      <c r="N10" s="12"/>
      <c r="O10" s="20"/>
      <c r="P10" s="12"/>
      <c r="Q10" s="20"/>
      <c r="R10" s="12"/>
      <c r="S10" s="20"/>
      <c r="T10" s="12"/>
      <c r="U10" s="13"/>
      <c r="V10" s="12"/>
      <c r="W10" s="20"/>
      <c r="X10" s="12"/>
      <c r="Y10" s="20"/>
      <c r="Z10" s="12"/>
      <c r="AA10" s="20"/>
      <c r="AB10" s="12"/>
      <c r="AC10" s="20"/>
      <c r="AD10" s="12"/>
      <c r="AE10" s="20"/>
      <c r="AF10" s="12"/>
      <c r="AG10" s="20"/>
      <c r="AH10" s="12"/>
      <c r="AI10" s="20"/>
      <c r="AJ10" s="12"/>
      <c r="AK10" s="20"/>
      <c r="AL10" s="12"/>
      <c r="AM10" s="20"/>
      <c r="AN10" s="12"/>
      <c r="AO10" s="20"/>
      <c r="AP10" s="12"/>
      <c r="AQ10" s="20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0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0"/>
      <c r="AV10" s="12"/>
      <c r="AW10" s="12"/>
      <c r="AX10" s="12"/>
    </row>
    <row r="11" spans="1:50" ht="20.100000000000001" customHeight="1" x14ac:dyDescent="0.25">
      <c r="A11" s="43" t="s">
        <v>51</v>
      </c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5"/>
      <c r="AW11" s="8"/>
      <c r="AX11" s="8"/>
    </row>
    <row r="12" spans="1:50" ht="18" customHeight="1" x14ac:dyDescent="0.25">
      <c r="A12" s="9">
        <v>1.125</v>
      </c>
      <c r="B12" s="17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25">
      <c r="A13" s="9">
        <v>1.875</v>
      </c>
      <c r="B13" s="17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25">
      <c r="A14" s="12"/>
      <c r="B14" s="17"/>
      <c r="C14" s="13"/>
      <c r="D14" s="1"/>
      <c r="E14" s="20"/>
      <c r="F14" s="12"/>
      <c r="G14" s="20"/>
      <c r="H14" s="12"/>
      <c r="I14" s="20"/>
      <c r="J14" s="12"/>
      <c r="K14" s="20"/>
      <c r="L14" s="12"/>
      <c r="M14" s="20"/>
      <c r="N14" s="12"/>
      <c r="O14" s="20"/>
      <c r="P14" s="12"/>
      <c r="Q14" s="20"/>
      <c r="R14" s="12"/>
      <c r="S14" s="20"/>
      <c r="T14" s="12"/>
      <c r="U14" s="13"/>
      <c r="V14" s="12"/>
      <c r="W14" s="20"/>
      <c r="X14" s="12"/>
      <c r="Y14" s="20"/>
      <c r="Z14" s="12"/>
      <c r="AA14" s="20"/>
      <c r="AB14" s="12"/>
      <c r="AC14" s="20"/>
      <c r="AD14" s="12"/>
      <c r="AE14" s="20"/>
      <c r="AF14" s="12"/>
      <c r="AG14" s="20"/>
      <c r="AH14" s="12"/>
      <c r="AI14" s="20"/>
      <c r="AJ14" s="12"/>
      <c r="AK14" s="20"/>
      <c r="AL14" s="12"/>
      <c r="AM14" s="20"/>
      <c r="AN14" s="12"/>
      <c r="AO14" s="20"/>
      <c r="AP14" s="12"/>
      <c r="AQ14" s="20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0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0"/>
      <c r="AV14" s="12"/>
      <c r="AW14" s="12"/>
      <c r="AX14" s="12"/>
    </row>
    <row r="15" spans="1:50" ht="20.100000000000001" customHeight="1" x14ac:dyDescent="0.25">
      <c r="A15" s="43" t="s">
        <v>58</v>
      </c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5"/>
      <c r="AW15" s="8"/>
      <c r="AX15" s="8"/>
    </row>
    <row r="16" spans="1:50" ht="18" customHeight="1" x14ac:dyDescent="0.25">
      <c r="A16" s="9">
        <v>1</v>
      </c>
      <c r="B16" s="17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25">
      <c r="A17" s="9">
        <v>1.125</v>
      </c>
      <c r="B17" s="17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25">
      <c r="A18" s="9">
        <v>1.25</v>
      </c>
      <c r="B18" s="17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25">
      <c r="A19" s="9">
        <v>1.791666666666667</v>
      </c>
      <c r="B19" s="17" t="s">
        <v>69</v>
      </c>
      <c r="C19" s="10" t="s">
        <v>263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25">
      <c r="A20" s="9">
        <v>1.916666666666667</v>
      </c>
      <c r="B20" s="30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25">
      <c r="A21" s="12"/>
      <c r="B21" s="17"/>
      <c r="C21" s="13"/>
      <c r="D21" s="1"/>
      <c r="E21" s="20"/>
      <c r="F21" s="12"/>
      <c r="G21" s="20"/>
      <c r="H21" s="12"/>
      <c r="I21" s="20"/>
      <c r="J21" s="12"/>
      <c r="K21" s="20"/>
      <c r="L21" s="12"/>
      <c r="M21" s="20"/>
      <c r="N21" s="12"/>
      <c r="O21" s="20"/>
      <c r="P21" s="12"/>
      <c r="Q21" s="20"/>
      <c r="R21" s="12"/>
      <c r="S21" s="20"/>
      <c r="T21" s="12"/>
      <c r="U21" s="13"/>
      <c r="V21" s="12"/>
      <c r="W21" s="20"/>
      <c r="X21" s="12"/>
      <c r="Y21" s="20"/>
      <c r="Z21" s="12"/>
      <c r="AA21" s="20"/>
      <c r="AB21" s="12"/>
      <c r="AC21" s="20"/>
      <c r="AD21" s="12"/>
      <c r="AE21" s="20"/>
      <c r="AF21" s="12"/>
      <c r="AG21" s="20"/>
      <c r="AH21" s="12"/>
      <c r="AI21" s="20"/>
      <c r="AJ21" s="12"/>
      <c r="AK21" s="20"/>
      <c r="AL21" s="12"/>
      <c r="AM21" s="20"/>
      <c r="AN21" s="12"/>
      <c r="AO21" s="20"/>
      <c r="AP21" s="12"/>
      <c r="AQ21" s="20"/>
      <c r="AR21" s="12" t="str">
        <f t="shared" si="0"/>
        <v/>
      </c>
      <c r="AS21" s="20"/>
      <c r="AT21" s="12" t="str">
        <f t="shared" si="1"/>
        <v/>
      </c>
      <c r="AU21" s="20"/>
      <c r="AV21" s="12"/>
      <c r="AW21" s="12"/>
      <c r="AX21" s="12"/>
    </row>
    <row r="22" spans="1:50" ht="20.100000000000001" customHeight="1" x14ac:dyDescent="0.25">
      <c r="A22" s="43" t="s">
        <v>75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5"/>
      <c r="AW22" s="8"/>
      <c r="AX22" s="8"/>
    </row>
    <row r="23" spans="1:50" ht="18" customHeight="1" x14ac:dyDescent="0.25">
      <c r="A23" s="9">
        <v>1.041666666666667</v>
      </c>
      <c r="B23" s="17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25">
      <c r="A24" s="9">
        <v>1.166666666666667</v>
      </c>
      <c r="B24" s="17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25">
      <c r="A25" s="9">
        <v>1.75</v>
      </c>
      <c r="B25" s="17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25">
      <c r="A26" s="9">
        <v>1.875</v>
      </c>
      <c r="B26" s="17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25">
      <c r="A27" s="12"/>
      <c r="B27" s="17"/>
      <c r="C27" s="13"/>
      <c r="D27" s="1"/>
      <c r="E27" s="20"/>
      <c r="F27" s="12"/>
      <c r="G27" s="20"/>
      <c r="H27" s="12"/>
      <c r="I27" s="20"/>
      <c r="J27" s="12"/>
      <c r="K27" s="20"/>
      <c r="L27" s="12"/>
      <c r="M27" s="20"/>
      <c r="N27" s="12"/>
      <c r="O27" s="20"/>
      <c r="P27" s="12"/>
      <c r="Q27" s="20"/>
      <c r="R27" s="12"/>
      <c r="S27" s="20"/>
      <c r="T27" s="12"/>
      <c r="U27" s="13"/>
      <c r="V27" s="12"/>
      <c r="W27" s="20"/>
      <c r="X27" s="12"/>
      <c r="Y27" s="20"/>
      <c r="Z27" s="12"/>
      <c r="AA27" s="20"/>
      <c r="AB27" s="12"/>
      <c r="AC27" s="20"/>
      <c r="AD27" s="12"/>
      <c r="AE27" s="20"/>
      <c r="AF27" s="12"/>
      <c r="AG27" s="20"/>
      <c r="AH27" s="12"/>
      <c r="AI27" s="20"/>
      <c r="AJ27" s="12"/>
      <c r="AK27" s="20"/>
      <c r="AL27" s="12"/>
      <c r="AM27" s="20"/>
      <c r="AN27" s="12"/>
      <c r="AO27" s="20"/>
      <c r="AP27" s="12"/>
      <c r="AQ27" s="20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0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0"/>
      <c r="AV27" s="12"/>
      <c r="AW27" s="12"/>
      <c r="AX27" s="12"/>
    </row>
    <row r="28" spans="1:50" ht="20.100000000000001" customHeight="1" x14ac:dyDescent="0.25">
      <c r="A28" s="39" t="s">
        <v>84</v>
      </c>
      <c r="B28" s="40"/>
      <c r="C28" s="41"/>
      <c r="D28" s="40"/>
      <c r="E28" s="41"/>
      <c r="F28" s="40"/>
      <c r="G28" s="41"/>
      <c r="H28" s="40"/>
      <c r="I28" s="41"/>
      <c r="J28" s="40"/>
      <c r="K28" s="41"/>
      <c r="L28" s="40"/>
      <c r="M28" s="41"/>
      <c r="N28" s="40"/>
      <c r="O28" s="41"/>
      <c r="P28" s="40"/>
      <c r="Q28" s="41"/>
      <c r="R28" s="40"/>
      <c r="S28" s="41"/>
      <c r="T28" s="40"/>
      <c r="U28" s="41"/>
      <c r="V28" s="40"/>
      <c r="W28" s="41"/>
      <c r="X28" s="40"/>
      <c r="Y28" s="41"/>
      <c r="Z28" s="40"/>
      <c r="AA28" s="41"/>
      <c r="AB28" s="40"/>
      <c r="AC28" s="41"/>
      <c r="AD28" s="40"/>
      <c r="AE28" s="41"/>
      <c r="AF28" s="40"/>
      <c r="AG28" s="41"/>
      <c r="AH28" s="40"/>
      <c r="AI28" s="41"/>
      <c r="AJ28" s="40"/>
      <c r="AK28" s="41"/>
      <c r="AL28" s="40"/>
      <c r="AM28" s="41"/>
      <c r="AN28" s="40"/>
      <c r="AO28" s="41"/>
      <c r="AP28" s="40"/>
      <c r="AQ28" s="40"/>
      <c r="AR28" s="40"/>
      <c r="AS28" s="40"/>
      <c r="AT28" s="40"/>
      <c r="AU28" s="41"/>
      <c r="AV28" s="42"/>
      <c r="AW28" s="8"/>
      <c r="AX28" s="8"/>
    </row>
    <row r="29" spans="1:50" ht="18" customHeight="1" x14ac:dyDescent="0.25">
      <c r="A29" s="9">
        <v>1</v>
      </c>
      <c r="B29" s="17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25">
      <c r="A30" s="9">
        <v>1.125</v>
      </c>
      <c r="B30" s="17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25">
      <c r="A31" s="9">
        <v>1.875</v>
      </c>
      <c r="B31" s="17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25">
      <c r="A32" s="12"/>
      <c r="B32" s="17"/>
      <c r="C32" s="13"/>
      <c r="D32" s="1"/>
      <c r="E32" s="20"/>
      <c r="F32" s="12"/>
      <c r="G32" s="20"/>
      <c r="H32" s="12"/>
      <c r="I32" s="20"/>
      <c r="J32" s="12"/>
      <c r="K32" s="20"/>
      <c r="L32" s="12"/>
      <c r="M32" s="20"/>
      <c r="N32" s="12"/>
      <c r="O32" s="20"/>
      <c r="P32" s="12"/>
      <c r="Q32" s="20"/>
      <c r="R32" s="12"/>
      <c r="S32" s="20"/>
      <c r="T32" s="12"/>
      <c r="U32" s="13"/>
      <c r="V32" s="12"/>
      <c r="W32" s="20"/>
      <c r="X32" s="12"/>
      <c r="Y32" s="20"/>
      <c r="Z32" s="12"/>
      <c r="AA32" s="20"/>
      <c r="AB32" s="12"/>
      <c r="AC32" s="20"/>
      <c r="AD32" s="12"/>
      <c r="AE32" s="20"/>
      <c r="AF32" s="12"/>
      <c r="AG32" s="20"/>
      <c r="AH32" s="12"/>
      <c r="AI32" s="20"/>
      <c r="AJ32" s="12"/>
      <c r="AK32" s="20"/>
      <c r="AL32" s="12"/>
      <c r="AM32" s="20"/>
      <c r="AN32" s="12"/>
      <c r="AO32" s="20"/>
      <c r="AP32" s="12"/>
      <c r="AQ32" s="20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0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0"/>
      <c r="AV32" s="12"/>
      <c r="AW32" s="12"/>
      <c r="AX32" s="12"/>
    </row>
    <row r="33" spans="1:50" ht="20.100000000000001" customHeight="1" x14ac:dyDescent="0.25">
      <c r="A33" s="39" t="s">
        <v>92</v>
      </c>
      <c r="B33" s="40"/>
      <c r="C33" s="41"/>
      <c r="D33" s="40"/>
      <c r="E33" s="41"/>
      <c r="F33" s="40"/>
      <c r="G33" s="41"/>
      <c r="H33" s="40"/>
      <c r="I33" s="41"/>
      <c r="J33" s="40"/>
      <c r="K33" s="41"/>
      <c r="L33" s="40"/>
      <c r="M33" s="41"/>
      <c r="N33" s="40"/>
      <c r="O33" s="41"/>
      <c r="P33" s="40"/>
      <c r="Q33" s="41"/>
      <c r="R33" s="40"/>
      <c r="S33" s="41"/>
      <c r="T33" s="40"/>
      <c r="U33" s="41"/>
      <c r="V33" s="40"/>
      <c r="W33" s="41"/>
      <c r="X33" s="40"/>
      <c r="Y33" s="41"/>
      <c r="Z33" s="40"/>
      <c r="AA33" s="41"/>
      <c r="AB33" s="40"/>
      <c r="AC33" s="41"/>
      <c r="AD33" s="40"/>
      <c r="AE33" s="41"/>
      <c r="AF33" s="40"/>
      <c r="AG33" s="41"/>
      <c r="AH33" s="40"/>
      <c r="AI33" s="41"/>
      <c r="AJ33" s="40"/>
      <c r="AK33" s="41"/>
      <c r="AL33" s="40"/>
      <c r="AM33" s="41"/>
      <c r="AN33" s="40"/>
      <c r="AO33" s="41"/>
      <c r="AP33" s="40"/>
      <c r="AQ33" s="40"/>
      <c r="AR33" s="40"/>
      <c r="AS33" s="40"/>
      <c r="AT33" s="40"/>
      <c r="AU33" s="41"/>
      <c r="AV33" s="42"/>
      <c r="AW33" s="8"/>
      <c r="AX33" s="8"/>
    </row>
    <row r="34" spans="1:50" ht="18" customHeight="1" x14ac:dyDescent="0.25">
      <c r="A34" s="9">
        <v>1</v>
      </c>
      <c r="B34" s="17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25">
      <c r="A35" s="9">
        <v>1.125</v>
      </c>
      <c r="B35" s="17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25">
      <c r="A36" s="9">
        <v>1.25</v>
      </c>
      <c r="B36" s="17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25">
      <c r="A37" s="9">
        <v>1.791666666666667</v>
      </c>
      <c r="B37" s="17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25">
      <c r="A38" s="9">
        <v>1.916666666666667</v>
      </c>
      <c r="B38" s="17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25">
      <c r="A39" s="12"/>
      <c r="B39" s="17"/>
      <c r="C39" s="13"/>
      <c r="D39" s="1"/>
      <c r="E39" s="20"/>
      <c r="F39" s="12"/>
      <c r="G39" s="20"/>
      <c r="H39" s="12"/>
      <c r="I39" s="20"/>
      <c r="J39" s="12"/>
      <c r="K39" s="20"/>
      <c r="L39" s="12"/>
      <c r="M39" s="20"/>
      <c r="N39" s="12"/>
      <c r="O39" s="20"/>
      <c r="P39" s="12"/>
      <c r="Q39" s="20"/>
      <c r="R39" s="12"/>
      <c r="S39" s="20"/>
      <c r="T39" s="12"/>
      <c r="U39" s="13"/>
      <c r="V39" s="12"/>
      <c r="W39" s="20"/>
      <c r="X39" s="12"/>
      <c r="Y39" s="20"/>
      <c r="Z39" s="12"/>
      <c r="AA39" s="20"/>
      <c r="AB39" s="12"/>
      <c r="AC39" s="20"/>
      <c r="AD39" s="12"/>
      <c r="AE39" s="20"/>
      <c r="AF39" s="12"/>
      <c r="AG39" s="20"/>
      <c r="AH39" s="12"/>
      <c r="AI39" s="20"/>
      <c r="AJ39" s="12"/>
      <c r="AK39" s="20"/>
      <c r="AL39" s="12"/>
      <c r="AM39" s="20"/>
      <c r="AN39" s="12"/>
      <c r="AO39" s="20"/>
      <c r="AP39" s="12"/>
      <c r="AQ39" s="20"/>
      <c r="AR39" s="12" t="str">
        <f t="shared" si="2"/>
        <v/>
      </c>
      <c r="AS39" s="20"/>
      <c r="AT39" s="12" t="str">
        <f t="shared" si="3"/>
        <v/>
      </c>
      <c r="AU39" s="20"/>
      <c r="AV39" s="12"/>
      <c r="AW39" s="12"/>
      <c r="AX39" s="12"/>
    </row>
    <row r="40" spans="1:50" ht="20.100000000000001" customHeight="1" x14ac:dyDescent="0.25">
      <c r="A40" s="39" t="s">
        <v>103</v>
      </c>
      <c r="B40" s="40"/>
      <c r="C40" s="41"/>
      <c r="D40" s="40"/>
      <c r="E40" s="41"/>
      <c r="F40" s="40"/>
      <c r="G40" s="41"/>
      <c r="H40" s="40"/>
      <c r="I40" s="41"/>
      <c r="J40" s="40"/>
      <c r="K40" s="41"/>
      <c r="L40" s="40"/>
      <c r="M40" s="41"/>
      <c r="N40" s="40"/>
      <c r="O40" s="41"/>
      <c r="P40" s="40"/>
      <c r="Q40" s="41"/>
      <c r="R40" s="40"/>
      <c r="S40" s="41"/>
      <c r="T40" s="40"/>
      <c r="U40" s="41"/>
      <c r="V40" s="40"/>
      <c r="W40" s="41"/>
      <c r="X40" s="40"/>
      <c r="Y40" s="41"/>
      <c r="Z40" s="40"/>
      <c r="AA40" s="41"/>
      <c r="AB40" s="40"/>
      <c r="AC40" s="41"/>
      <c r="AD40" s="40"/>
      <c r="AE40" s="41"/>
      <c r="AF40" s="40"/>
      <c r="AG40" s="41"/>
      <c r="AH40" s="40"/>
      <c r="AI40" s="41"/>
      <c r="AJ40" s="40"/>
      <c r="AK40" s="41"/>
      <c r="AL40" s="40"/>
      <c r="AM40" s="41"/>
      <c r="AN40" s="40"/>
      <c r="AO40" s="41"/>
      <c r="AP40" s="40"/>
      <c r="AQ40" s="40"/>
      <c r="AR40" s="40"/>
      <c r="AS40" s="40"/>
      <c r="AT40" s="40"/>
      <c r="AU40" s="41"/>
      <c r="AV40" s="42"/>
      <c r="AW40" s="8"/>
      <c r="AX40" s="8"/>
    </row>
    <row r="41" spans="1:50" ht="18" customHeight="1" x14ac:dyDescent="0.25">
      <c r="A41" s="9">
        <v>1.041666666666667</v>
      </c>
      <c r="B41" s="17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25">
      <c r="A42" s="9">
        <v>1.166666666666667</v>
      </c>
      <c r="B42" s="17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25">
      <c r="A43" s="9">
        <v>1.75</v>
      </c>
      <c r="B43" s="17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25">
      <c r="A44" s="9">
        <v>1.875</v>
      </c>
      <c r="B44" s="17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25">
      <c r="A45" s="12"/>
      <c r="B45" s="17"/>
      <c r="C45" s="13"/>
      <c r="D45" s="1"/>
      <c r="E45" s="20"/>
      <c r="F45" s="12"/>
      <c r="G45" s="20"/>
      <c r="H45" s="12"/>
      <c r="I45" s="20"/>
      <c r="J45" s="12"/>
      <c r="K45" s="20"/>
      <c r="L45" s="12"/>
      <c r="M45" s="20"/>
      <c r="N45" s="12"/>
      <c r="O45" s="20"/>
      <c r="P45" s="12"/>
      <c r="Q45" s="20"/>
      <c r="R45" s="12"/>
      <c r="S45" s="20"/>
      <c r="T45" s="12"/>
      <c r="U45" s="13"/>
      <c r="V45" s="12"/>
      <c r="W45" s="20"/>
      <c r="X45" s="12"/>
      <c r="Y45" s="20"/>
      <c r="Z45" s="12"/>
      <c r="AA45" s="20"/>
      <c r="AB45" s="12"/>
      <c r="AC45" s="20"/>
      <c r="AD45" s="12"/>
      <c r="AE45" s="20"/>
      <c r="AF45" s="12"/>
      <c r="AG45" s="20"/>
      <c r="AH45" s="12"/>
      <c r="AI45" s="20"/>
      <c r="AJ45" s="12"/>
      <c r="AK45" s="20"/>
      <c r="AL45" s="12"/>
      <c r="AM45" s="20"/>
      <c r="AN45" s="12"/>
      <c r="AO45" s="20"/>
      <c r="AP45" s="12"/>
      <c r="AQ45" s="20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0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0"/>
      <c r="AV45" s="12"/>
      <c r="AW45" s="12"/>
      <c r="AX45" s="12"/>
    </row>
    <row r="46" spans="1:50" ht="20.100000000000001" customHeight="1" x14ac:dyDescent="0.25">
      <c r="A46" s="39" t="s">
        <v>110</v>
      </c>
      <c r="B46" s="40"/>
      <c r="C46" s="41"/>
      <c r="D46" s="40"/>
      <c r="E46" s="41"/>
      <c r="F46" s="40"/>
      <c r="G46" s="41"/>
      <c r="H46" s="40"/>
      <c r="I46" s="41"/>
      <c r="J46" s="40"/>
      <c r="K46" s="41"/>
      <c r="L46" s="40"/>
      <c r="M46" s="41"/>
      <c r="N46" s="40"/>
      <c r="O46" s="41"/>
      <c r="P46" s="40"/>
      <c r="Q46" s="41"/>
      <c r="R46" s="40"/>
      <c r="S46" s="41"/>
      <c r="T46" s="40"/>
      <c r="U46" s="41"/>
      <c r="V46" s="40"/>
      <c r="W46" s="41"/>
      <c r="X46" s="40"/>
      <c r="Y46" s="41"/>
      <c r="Z46" s="40"/>
      <c r="AA46" s="41"/>
      <c r="AB46" s="40"/>
      <c r="AC46" s="41"/>
      <c r="AD46" s="40"/>
      <c r="AE46" s="41"/>
      <c r="AF46" s="40"/>
      <c r="AG46" s="41"/>
      <c r="AH46" s="40"/>
      <c r="AI46" s="41"/>
      <c r="AJ46" s="40"/>
      <c r="AK46" s="41"/>
      <c r="AL46" s="40"/>
      <c r="AM46" s="41"/>
      <c r="AN46" s="40"/>
      <c r="AO46" s="41"/>
      <c r="AP46" s="40"/>
      <c r="AQ46" s="40"/>
      <c r="AR46" s="40"/>
      <c r="AS46" s="40"/>
      <c r="AT46" s="40"/>
      <c r="AU46" s="41"/>
      <c r="AV46" s="42"/>
      <c r="AW46" s="8"/>
      <c r="AX46" s="8"/>
    </row>
    <row r="47" spans="1:50" ht="18" customHeight="1" x14ac:dyDescent="0.25">
      <c r="A47" s="9">
        <v>1</v>
      </c>
      <c r="B47" s="17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25">
      <c r="A48" s="9">
        <v>1.125</v>
      </c>
      <c r="B48" s="17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25">
      <c r="A49" s="9">
        <v>1.875</v>
      </c>
      <c r="B49" s="17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25">
      <c r="A50" s="12"/>
      <c r="B50" s="17"/>
      <c r="C50" s="13"/>
      <c r="D50" s="1"/>
      <c r="E50" s="20"/>
      <c r="F50" s="12"/>
      <c r="G50" s="20"/>
      <c r="H50" s="12"/>
      <c r="I50" s="20"/>
      <c r="J50" s="12"/>
      <c r="K50" s="20"/>
      <c r="L50" s="12"/>
      <c r="M50" s="20"/>
      <c r="N50" s="12"/>
      <c r="O50" s="20"/>
      <c r="P50" s="12"/>
      <c r="Q50" s="20"/>
      <c r="R50" s="12"/>
      <c r="S50" s="20"/>
      <c r="T50" s="12"/>
      <c r="U50" s="13"/>
      <c r="V50" s="12"/>
      <c r="W50" s="20"/>
      <c r="X50" s="12"/>
      <c r="Y50" s="20"/>
      <c r="Z50" s="12"/>
      <c r="AA50" s="20"/>
      <c r="AB50" s="12"/>
      <c r="AC50" s="20"/>
      <c r="AD50" s="12"/>
      <c r="AE50" s="20"/>
      <c r="AF50" s="12"/>
      <c r="AG50" s="20"/>
      <c r="AH50" s="12"/>
      <c r="AI50" s="20"/>
      <c r="AJ50" s="12"/>
      <c r="AK50" s="20"/>
      <c r="AL50" s="12"/>
      <c r="AM50" s="20"/>
      <c r="AN50" s="12"/>
      <c r="AO50" s="20"/>
      <c r="AP50" s="12"/>
      <c r="AQ50" s="20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0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0"/>
      <c r="AV50" s="12"/>
      <c r="AW50" s="12"/>
      <c r="AX50" s="12"/>
    </row>
    <row r="51" spans="1:50" ht="20.100000000000001" customHeight="1" x14ac:dyDescent="0.25">
      <c r="A51" s="39" t="s">
        <v>111</v>
      </c>
      <c r="B51" s="40"/>
      <c r="C51" s="41"/>
      <c r="D51" s="40"/>
      <c r="E51" s="41"/>
      <c r="F51" s="40"/>
      <c r="G51" s="41"/>
      <c r="H51" s="40"/>
      <c r="I51" s="41"/>
      <c r="J51" s="40"/>
      <c r="K51" s="41"/>
      <c r="L51" s="40"/>
      <c r="M51" s="41"/>
      <c r="N51" s="40"/>
      <c r="O51" s="41"/>
      <c r="P51" s="40"/>
      <c r="Q51" s="41"/>
      <c r="R51" s="40"/>
      <c r="S51" s="41"/>
      <c r="T51" s="40"/>
      <c r="U51" s="41"/>
      <c r="V51" s="40"/>
      <c r="W51" s="41"/>
      <c r="X51" s="40"/>
      <c r="Y51" s="41"/>
      <c r="Z51" s="40"/>
      <c r="AA51" s="41"/>
      <c r="AB51" s="40"/>
      <c r="AC51" s="41"/>
      <c r="AD51" s="40"/>
      <c r="AE51" s="41"/>
      <c r="AF51" s="40"/>
      <c r="AG51" s="41"/>
      <c r="AH51" s="40"/>
      <c r="AI51" s="41"/>
      <c r="AJ51" s="40"/>
      <c r="AK51" s="41"/>
      <c r="AL51" s="40"/>
      <c r="AM51" s="41"/>
      <c r="AN51" s="40"/>
      <c r="AO51" s="41"/>
      <c r="AP51" s="40"/>
      <c r="AQ51" s="40"/>
      <c r="AR51" s="40"/>
      <c r="AS51" s="40"/>
      <c r="AT51" s="40"/>
      <c r="AU51" s="41"/>
      <c r="AV51" s="42"/>
      <c r="AW51" s="8"/>
      <c r="AX51" s="8"/>
    </row>
    <row r="52" spans="1:50" ht="18" customHeight="1" x14ac:dyDescent="0.25">
      <c r="A52" s="9">
        <v>1</v>
      </c>
      <c r="B52" s="17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25">
      <c r="A53" s="9">
        <v>1.125</v>
      </c>
      <c r="B53" s="17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25">
      <c r="A54" s="9">
        <v>1.25</v>
      </c>
      <c r="B54" s="17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25">
      <c r="A55" s="9">
        <v>1.791666666666667</v>
      </c>
      <c r="B55" s="30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25">
      <c r="A56" s="9">
        <v>1.916666666666667</v>
      </c>
      <c r="B56" s="17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25">
      <c r="A57" s="12"/>
      <c r="B57" s="17"/>
      <c r="C57" s="13"/>
      <c r="D57" s="1"/>
      <c r="E57" s="20"/>
      <c r="F57" s="12"/>
      <c r="G57" s="20"/>
      <c r="H57" s="12"/>
      <c r="I57" s="20"/>
      <c r="J57" s="12"/>
      <c r="K57" s="20"/>
      <c r="L57" s="12"/>
      <c r="M57" s="20"/>
      <c r="N57" s="12"/>
      <c r="O57" s="20"/>
      <c r="P57" s="12"/>
      <c r="Q57" s="20"/>
      <c r="R57" s="12"/>
      <c r="S57" s="20"/>
      <c r="T57" s="12"/>
      <c r="U57" s="13"/>
      <c r="V57" s="12"/>
      <c r="W57" s="20"/>
      <c r="X57" s="12"/>
      <c r="Y57" s="20"/>
      <c r="Z57" s="12"/>
      <c r="AA57" s="20"/>
      <c r="AB57" s="12"/>
      <c r="AC57" s="20"/>
      <c r="AD57" s="12"/>
      <c r="AE57" s="20"/>
      <c r="AF57" s="12"/>
      <c r="AG57" s="20"/>
      <c r="AH57" s="12"/>
      <c r="AI57" s="20"/>
      <c r="AJ57" s="12"/>
      <c r="AK57" s="20"/>
      <c r="AL57" s="12"/>
      <c r="AM57" s="20"/>
      <c r="AN57" s="12"/>
      <c r="AO57" s="20"/>
      <c r="AP57" s="12"/>
      <c r="AQ57" s="20"/>
      <c r="AR57" s="12" t="str">
        <f t="shared" si="4"/>
        <v/>
      </c>
      <c r="AS57" s="20"/>
      <c r="AT57" s="12" t="str">
        <f t="shared" si="5"/>
        <v/>
      </c>
      <c r="AU57" s="20"/>
      <c r="AV57" s="12"/>
      <c r="AW57" s="12"/>
      <c r="AX57" s="12"/>
    </row>
    <row r="58" spans="1:50" ht="20.100000000000001" customHeight="1" x14ac:dyDescent="0.25">
      <c r="A58" s="39" t="s">
        <v>114</v>
      </c>
      <c r="B58" s="40"/>
      <c r="C58" s="41"/>
      <c r="D58" s="40"/>
      <c r="E58" s="41"/>
      <c r="F58" s="40"/>
      <c r="G58" s="41"/>
      <c r="H58" s="40"/>
      <c r="I58" s="41"/>
      <c r="J58" s="40"/>
      <c r="K58" s="41"/>
      <c r="L58" s="40"/>
      <c r="M58" s="41"/>
      <c r="N58" s="40"/>
      <c r="O58" s="41"/>
      <c r="P58" s="40"/>
      <c r="Q58" s="41"/>
      <c r="R58" s="40"/>
      <c r="S58" s="41"/>
      <c r="T58" s="40"/>
      <c r="U58" s="41"/>
      <c r="V58" s="40"/>
      <c r="W58" s="41"/>
      <c r="X58" s="40"/>
      <c r="Y58" s="41"/>
      <c r="Z58" s="40"/>
      <c r="AA58" s="41"/>
      <c r="AB58" s="40"/>
      <c r="AC58" s="41"/>
      <c r="AD58" s="40"/>
      <c r="AE58" s="41"/>
      <c r="AF58" s="40"/>
      <c r="AG58" s="41"/>
      <c r="AH58" s="40"/>
      <c r="AI58" s="41"/>
      <c r="AJ58" s="40"/>
      <c r="AK58" s="41"/>
      <c r="AL58" s="40"/>
      <c r="AM58" s="41"/>
      <c r="AN58" s="40"/>
      <c r="AO58" s="41"/>
      <c r="AP58" s="40"/>
      <c r="AQ58" s="40"/>
      <c r="AR58" s="40"/>
      <c r="AS58" s="40"/>
      <c r="AT58" s="40"/>
      <c r="AU58" s="41"/>
      <c r="AV58" s="42"/>
      <c r="AW58" s="8"/>
      <c r="AX58" s="8"/>
    </row>
    <row r="59" spans="1:50" ht="18" customHeight="1" x14ac:dyDescent="0.25">
      <c r="A59" s="9">
        <v>1.083333333333333</v>
      </c>
      <c r="B59" s="17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25">
      <c r="A60" s="9">
        <v>1.25</v>
      </c>
      <c r="B60" s="17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25">
      <c r="A61" s="9">
        <v>1.75</v>
      </c>
      <c r="B61" s="17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25">
      <c r="A62" s="9">
        <v>1.875</v>
      </c>
      <c r="B62" s="17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25">
      <c r="A63" s="12"/>
      <c r="B63" s="17"/>
      <c r="C63" s="13"/>
      <c r="D63" s="1"/>
      <c r="E63" s="20"/>
      <c r="F63" s="12"/>
      <c r="G63" s="20"/>
      <c r="H63" s="12"/>
      <c r="I63" s="20"/>
      <c r="J63" s="12"/>
      <c r="K63" s="20"/>
      <c r="L63" s="12"/>
      <c r="M63" s="20"/>
      <c r="N63" s="12"/>
      <c r="O63" s="20"/>
      <c r="P63" s="12"/>
      <c r="Q63" s="20"/>
      <c r="R63" s="12"/>
      <c r="S63" s="20"/>
      <c r="T63" s="12"/>
      <c r="U63" s="13"/>
      <c r="V63" s="12"/>
      <c r="W63" s="20"/>
      <c r="X63" s="12"/>
      <c r="Y63" s="20"/>
      <c r="Z63" s="12"/>
      <c r="AA63" s="20"/>
      <c r="AB63" s="12"/>
      <c r="AC63" s="20"/>
      <c r="AD63" s="12"/>
      <c r="AE63" s="20"/>
      <c r="AF63" s="12"/>
      <c r="AG63" s="20"/>
      <c r="AH63" s="12"/>
      <c r="AI63" s="20"/>
      <c r="AJ63" s="12"/>
      <c r="AK63" s="20"/>
      <c r="AL63" s="12"/>
      <c r="AM63" s="20"/>
      <c r="AN63" s="12"/>
      <c r="AO63" s="20"/>
      <c r="AP63" s="12"/>
      <c r="AQ63" s="20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0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0"/>
      <c r="AV63" s="12"/>
      <c r="AW63" s="12"/>
      <c r="AX63" s="12"/>
    </row>
    <row r="64" spans="1:50" ht="20.100000000000001" customHeight="1" x14ac:dyDescent="0.25">
      <c r="A64" s="39" t="s">
        <v>116</v>
      </c>
      <c r="B64" s="40"/>
      <c r="C64" s="41"/>
      <c r="D64" s="40"/>
      <c r="E64" s="41"/>
      <c r="F64" s="40"/>
      <c r="G64" s="41"/>
      <c r="H64" s="40"/>
      <c r="I64" s="41"/>
      <c r="J64" s="40"/>
      <c r="K64" s="41"/>
      <c r="L64" s="40"/>
      <c r="M64" s="41"/>
      <c r="N64" s="40"/>
      <c r="O64" s="41"/>
      <c r="P64" s="40"/>
      <c r="Q64" s="41"/>
      <c r="R64" s="40"/>
      <c r="S64" s="41"/>
      <c r="T64" s="40"/>
      <c r="U64" s="41"/>
      <c r="V64" s="40"/>
      <c r="W64" s="41"/>
      <c r="X64" s="40"/>
      <c r="Y64" s="41"/>
      <c r="Z64" s="40"/>
      <c r="AA64" s="41"/>
      <c r="AB64" s="40"/>
      <c r="AC64" s="41"/>
      <c r="AD64" s="40"/>
      <c r="AE64" s="41"/>
      <c r="AF64" s="40"/>
      <c r="AG64" s="41"/>
      <c r="AH64" s="40"/>
      <c r="AI64" s="41"/>
      <c r="AJ64" s="40"/>
      <c r="AK64" s="41"/>
      <c r="AL64" s="40"/>
      <c r="AM64" s="41"/>
      <c r="AN64" s="40"/>
      <c r="AO64" s="41"/>
      <c r="AP64" s="40"/>
      <c r="AQ64" s="40"/>
      <c r="AR64" s="40"/>
      <c r="AS64" s="40"/>
      <c r="AT64" s="40"/>
      <c r="AU64" s="41"/>
      <c r="AV64" s="42"/>
      <c r="AW64" s="8"/>
      <c r="AX64" s="8"/>
    </row>
    <row r="65" spans="1:50" ht="18" customHeight="1" x14ac:dyDescent="0.25">
      <c r="A65" s="9">
        <v>1</v>
      </c>
      <c r="B65" s="17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25">
      <c r="A66" s="9">
        <v>1.125</v>
      </c>
      <c r="B66" s="17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25">
      <c r="A67" s="9">
        <v>1.791666666666667</v>
      </c>
      <c r="B67" s="17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25">
      <c r="A68" s="9">
        <v>1.958333333333333</v>
      </c>
      <c r="B68" s="17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25">
      <c r="A69" s="12"/>
      <c r="B69" s="17"/>
      <c r="C69" s="13"/>
      <c r="D69" s="1"/>
      <c r="E69" s="20"/>
      <c r="F69" s="12"/>
      <c r="G69" s="20"/>
      <c r="H69" s="12"/>
      <c r="I69" s="20"/>
      <c r="J69" s="12"/>
      <c r="K69" s="20"/>
      <c r="L69" s="12"/>
      <c r="M69" s="20"/>
      <c r="N69" s="12"/>
      <c r="O69" s="20"/>
      <c r="P69" s="12"/>
      <c r="Q69" s="20"/>
      <c r="R69" s="12"/>
      <c r="S69" s="20"/>
      <c r="T69" s="12"/>
      <c r="U69" s="13"/>
      <c r="V69" s="12"/>
      <c r="W69" s="20"/>
      <c r="X69" s="12"/>
      <c r="Y69" s="20"/>
      <c r="Z69" s="12"/>
      <c r="AA69" s="20"/>
      <c r="AB69" s="12"/>
      <c r="AC69" s="20"/>
      <c r="AD69" s="12"/>
      <c r="AE69" s="20"/>
      <c r="AF69" s="12"/>
      <c r="AG69" s="20"/>
      <c r="AH69" s="12"/>
      <c r="AI69" s="20"/>
      <c r="AJ69" s="12"/>
      <c r="AK69" s="20"/>
      <c r="AL69" s="12"/>
      <c r="AM69" s="20"/>
      <c r="AN69" s="12"/>
      <c r="AO69" s="20"/>
      <c r="AP69" s="12"/>
      <c r="AQ69" s="20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0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0"/>
      <c r="AV69" s="12"/>
      <c r="AW69" s="12"/>
      <c r="AX69" s="12"/>
    </row>
    <row r="70" spans="1:50" ht="20.100000000000001" customHeight="1" x14ac:dyDescent="0.25">
      <c r="A70" s="39" t="s">
        <v>117</v>
      </c>
      <c r="B70" s="40"/>
      <c r="C70" s="41"/>
      <c r="D70" s="40"/>
      <c r="E70" s="41"/>
      <c r="F70" s="40"/>
      <c r="G70" s="41"/>
      <c r="H70" s="40"/>
      <c r="I70" s="41"/>
      <c r="J70" s="40"/>
      <c r="K70" s="41"/>
      <c r="L70" s="40"/>
      <c r="M70" s="41"/>
      <c r="N70" s="40"/>
      <c r="O70" s="41"/>
      <c r="P70" s="40"/>
      <c r="Q70" s="41"/>
      <c r="R70" s="40"/>
      <c r="S70" s="41"/>
      <c r="T70" s="40"/>
      <c r="U70" s="41"/>
      <c r="V70" s="40"/>
      <c r="W70" s="41"/>
      <c r="X70" s="40"/>
      <c r="Y70" s="41"/>
      <c r="Z70" s="40"/>
      <c r="AA70" s="41"/>
      <c r="AB70" s="40"/>
      <c r="AC70" s="41"/>
      <c r="AD70" s="40"/>
      <c r="AE70" s="41"/>
      <c r="AF70" s="40"/>
      <c r="AG70" s="41"/>
      <c r="AH70" s="40"/>
      <c r="AI70" s="41"/>
      <c r="AJ70" s="40"/>
      <c r="AK70" s="41"/>
      <c r="AL70" s="40"/>
      <c r="AM70" s="41"/>
      <c r="AN70" s="40"/>
      <c r="AO70" s="41"/>
      <c r="AP70" s="40"/>
      <c r="AQ70" s="40"/>
      <c r="AR70" s="40"/>
      <c r="AS70" s="40"/>
      <c r="AT70" s="40"/>
      <c r="AU70" s="41"/>
      <c r="AV70" s="42"/>
      <c r="AW70" s="8"/>
      <c r="AX70" s="8"/>
    </row>
    <row r="71" spans="1:50" ht="18" customHeight="1" x14ac:dyDescent="0.25">
      <c r="A71" s="9">
        <v>1.083333333333333</v>
      </c>
      <c r="B71" s="17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25">
      <c r="A72" s="9">
        <v>1.208333333333333</v>
      </c>
      <c r="B72" s="17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25">
      <c r="A73" s="9">
        <v>1.791666666666667</v>
      </c>
      <c r="B73" s="17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25">
      <c r="A74" s="9">
        <v>1.916666666666667</v>
      </c>
      <c r="B74" s="17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25">
      <c r="A75" s="12"/>
      <c r="B75" s="17"/>
      <c r="C75" s="13"/>
      <c r="D75" s="1"/>
      <c r="E75" s="20"/>
      <c r="F75" s="12"/>
      <c r="G75" s="20"/>
      <c r="H75" s="12"/>
      <c r="I75" s="20"/>
      <c r="J75" s="12"/>
      <c r="K75" s="20"/>
      <c r="L75" s="12"/>
      <c r="M75" s="20"/>
      <c r="N75" s="12"/>
      <c r="O75" s="20"/>
      <c r="P75" s="12"/>
      <c r="Q75" s="20"/>
      <c r="R75" s="12"/>
      <c r="S75" s="20"/>
      <c r="T75" s="12"/>
      <c r="U75" s="13"/>
      <c r="V75" s="12"/>
      <c r="W75" s="20"/>
      <c r="X75" s="12"/>
      <c r="Y75" s="20"/>
      <c r="Z75" s="12"/>
      <c r="AA75" s="20"/>
      <c r="AB75" s="12"/>
      <c r="AC75" s="20"/>
      <c r="AD75" s="12"/>
      <c r="AE75" s="20"/>
      <c r="AF75" s="12"/>
      <c r="AG75" s="20"/>
      <c r="AH75" s="12"/>
      <c r="AI75" s="20"/>
      <c r="AJ75" s="12"/>
      <c r="AK75" s="20"/>
      <c r="AL75" s="12"/>
      <c r="AM75" s="20"/>
      <c r="AN75" s="12"/>
      <c r="AO75" s="20"/>
      <c r="AP75" s="12"/>
      <c r="AQ75" s="20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0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0"/>
      <c r="AV75" s="12"/>
      <c r="AW75" s="12"/>
      <c r="AX75" s="12"/>
    </row>
    <row r="76" spans="1:50" ht="20.100000000000001" customHeight="1" x14ac:dyDescent="0.25">
      <c r="A76" s="39" t="s">
        <v>118</v>
      </c>
      <c r="B76" s="40"/>
      <c r="C76" s="41"/>
      <c r="D76" s="40"/>
      <c r="E76" s="41"/>
      <c r="F76" s="40"/>
      <c r="G76" s="41"/>
      <c r="H76" s="40"/>
      <c r="I76" s="41"/>
      <c r="J76" s="40"/>
      <c r="K76" s="41"/>
      <c r="L76" s="40"/>
      <c r="M76" s="41"/>
      <c r="N76" s="40"/>
      <c r="O76" s="41"/>
      <c r="P76" s="40"/>
      <c r="Q76" s="41"/>
      <c r="R76" s="40"/>
      <c r="S76" s="41"/>
      <c r="T76" s="40"/>
      <c r="U76" s="41"/>
      <c r="V76" s="40"/>
      <c r="W76" s="41"/>
      <c r="X76" s="40"/>
      <c r="Y76" s="41"/>
      <c r="Z76" s="40"/>
      <c r="AA76" s="41"/>
      <c r="AB76" s="40"/>
      <c r="AC76" s="41"/>
      <c r="AD76" s="40"/>
      <c r="AE76" s="41"/>
      <c r="AF76" s="40"/>
      <c r="AG76" s="41"/>
      <c r="AH76" s="40"/>
      <c r="AI76" s="41"/>
      <c r="AJ76" s="40"/>
      <c r="AK76" s="41"/>
      <c r="AL76" s="40"/>
      <c r="AM76" s="41"/>
      <c r="AN76" s="40"/>
      <c r="AO76" s="41"/>
      <c r="AP76" s="40"/>
      <c r="AQ76" s="40"/>
      <c r="AR76" s="40"/>
      <c r="AS76" s="40"/>
      <c r="AT76" s="40"/>
      <c r="AU76" s="41"/>
      <c r="AV76" s="42"/>
      <c r="AW76" s="8"/>
      <c r="AX76" s="8"/>
    </row>
    <row r="77" spans="1:50" ht="18" customHeight="1" x14ac:dyDescent="0.25">
      <c r="A77" s="9">
        <v>1.041666666666667</v>
      </c>
      <c r="B77" s="17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4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25">
      <c r="A78" s="9">
        <v>1.166666666666667</v>
      </c>
      <c r="B78" s="17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4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25">
      <c r="A79" s="9">
        <v>1.875</v>
      </c>
      <c r="B79" s="17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4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25">
      <c r="A80" s="9">
        <v>1.875</v>
      </c>
      <c r="B80" s="17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4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25">
      <c r="A81" s="12"/>
      <c r="B81" s="17"/>
      <c r="C81" s="13"/>
      <c r="D81" s="1"/>
      <c r="E81" s="20"/>
      <c r="F81" s="12"/>
      <c r="G81" s="20"/>
      <c r="H81" s="12"/>
      <c r="I81" s="20"/>
      <c r="J81" s="12"/>
      <c r="K81" s="20"/>
      <c r="L81" s="12"/>
      <c r="M81" s="20"/>
      <c r="N81" s="12"/>
      <c r="O81" s="20"/>
      <c r="P81" s="12"/>
      <c r="Q81" s="20"/>
      <c r="R81" s="12"/>
      <c r="S81" s="20"/>
      <c r="T81" s="12"/>
      <c r="U81" s="13"/>
      <c r="V81" s="12"/>
      <c r="W81" s="20"/>
      <c r="X81" s="12"/>
      <c r="Y81" s="20"/>
      <c r="Z81" s="12"/>
      <c r="AA81" s="20"/>
      <c r="AB81" s="12"/>
      <c r="AC81" s="20"/>
      <c r="AD81" s="12"/>
      <c r="AE81" s="20"/>
      <c r="AF81" s="12"/>
      <c r="AG81" s="20"/>
      <c r="AH81" s="12"/>
      <c r="AI81" s="20"/>
      <c r="AJ81" s="12"/>
      <c r="AK81" s="20"/>
      <c r="AL81" s="12"/>
      <c r="AM81" s="20"/>
      <c r="AN81" s="12"/>
      <c r="AO81" s="20"/>
      <c r="AP81" s="12"/>
      <c r="AQ81" s="20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0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0"/>
      <c r="AV81" s="12"/>
      <c r="AW81" s="12"/>
      <c r="AX81" s="12"/>
    </row>
    <row r="82" spans="1:50" ht="20.100000000000001" customHeight="1" x14ac:dyDescent="0.25">
      <c r="A82" s="39" t="s">
        <v>119</v>
      </c>
      <c r="B82" s="40"/>
      <c r="C82" s="41"/>
      <c r="D82" s="40"/>
      <c r="E82" s="41"/>
      <c r="F82" s="40"/>
      <c r="G82" s="41"/>
      <c r="H82" s="40"/>
      <c r="I82" s="41"/>
      <c r="J82" s="40"/>
      <c r="K82" s="41"/>
      <c r="L82" s="40"/>
      <c r="M82" s="41"/>
      <c r="N82" s="40"/>
      <c r="O82" s="41"/>
      <c r="P82" s="40"/>
      <c r="Q82" s="41"/>
      <c r="R82" s="40"/>
      <c r="S82" s="41"/>
      <c r="T82" s="40"/>
      <c r="U82" s="41"/>
      <c r="V82" s="40"/>
      <c r="W82" s="41"/>
      <c r="X82" s="40"/>
      <c r="Y82" s="41"/>
      <c r="Z82" s="40"/>
      <c r="AA82" s="41"/>
      <c r="AB82" s="40"/>
      <c r="AC82" s="41"/>
      <c r="AD82" s="40"/>
      <c r="AE82" s="41"/>
      <c r="AF82" s="40"/>
      <c r="AG82" s="41"/>
      <c r="AH82" s="40"/>
      <c r="AI82" s="41"/>
      <c r="AJ82" s="40"/>
      <c r="AK82" s="41"/>
      <c r="AL82" s="40"/>
      <c r="AM82" s="41"/>
      <c r="AN82" s="40"/>
      <c r="AO82" s="41"/>
      <c r="AP82" s="40"/>
      <c r="AQ82" s="40"/>
      <c r="AR82" s="40"/>
      <c r="AS82" s="40"/>
      <c r="AT82" s="40"/>
      <c r="AU82" s="41"/>
      <c r="AV82" s="42"/>
      <c r="AW82" s="8"/>
      <c r="AX82" s="8"/>
    </row>
    <row r="83" spans="1:50" ht="18" customHeight="1" x14ac:dyDescent="0.25">
      <c r="A83" s="9">
        <v>1</v>
      </c>
      <c r="B83" s="17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4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25">
      <c r="A84" s="9">
        <v>1</v>
      </c>
      <c r="B84" s="17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4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25">
      <c r="A85" s="9">
        <v>1.125</v>
      </c>
      <c r="B85" s="17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4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25">
      <c r="A86" s="9">
        <v>1.125</v>
      </c>
      <c r="B86" s="17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4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25">
      <c r="A87" s="9">
        <v>1.916666666666667</v>
      </c>
      <c r="B87" s="17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4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25">
      <c r="A88" s="9">
        <v>1.916666666666667</v>
      </c>
      <c r="B88" s="17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4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25">
      <c r="A89" s="12"/>
      <c r="B89" s="17"/>
      <c r="C89" s="13"/>
      <c r="D89" s="1"/>
      <c r="E89" s="20"/>
      <c r="F89" s="12"/>
      <c r="G89" s="20"/>
      <c r="H89" s="12"/>
      <c r="I89" s="20"/>
      <c r="J89" s="12"/>
      <c r="K89" s="20"/>
      <c r="L89" s="12"/>
      <c r="M89" s="20"/>
      <c r="N89" s="12"/>
      <c r="O89" s="20"/>
      <c r="P89" s="12"/>
      <c r="Q89" s="20"/>
      <c r="R89" s="12"/>
      <c r="S89" s="20"/>
      <c r="T89" s="12"/>
      <c r="U89" s="13"/>
      <c r="V89" s="12"/>
      <c r="W89" s="20"/>
      <c r="X89" s="12"/>
      <c r="Y89" s="20"/>
      <c r="Z89" s="12"/>
      <c r="AA89" s="20"/>
      <c r="AB89" s="12"/>
      <c r="AC89" s="20"/>
      <c r="AD89" s="12"/>
      <c r="AE89" s="20"/>
      <c r="AF89" s="12"/>
      <c r="AG89" s="20"/>
      <c r="AH89" s="12"/>
      <c r="AI89" s="20"/>
      <c r="AJ89" s="12"/>
      <c r="AK89" s="20"/>
      <c r="AL89" s="12"/>
      <c r="AM89" s="20"/>
      <c r="AN89" s="12"/>
      <c r="AO89" s="20"/>
      <c r="AP89" s="12"/>
      <c r="AQ89" s="20"/>
      <c r="AR89" s="12" t="str">
        <f t="shared" si="25"/>
        <v/>
      </c>
      <c r="AS89" s="20"/>
      <c r="AT89" s="12" t="str">
        <f t="shared" si="26"/>
        <v/>
      </c>
      <c r="AU89" s="20"/>
      <c r="AV89" s="12"/>
      <c r="AW89" s="12"/>
      <c r="AX89" s="12"/>
    </row>
    <row r="90" spans="1:50" ht="20.100000000000001" customHeight="1" x14ac:dyDescent="0.25">
      <c r="A90" s="39" t="s">
        <v>122</v>
      </c>
      <c r="B90" s="40"/>
      <c r="C90" s="41"/>
      <c r="D90" s="40"/>
      <c r="E90" s="41"/>
      <c r="F90" s="40"/>
      <c r="G90" s="41"/>
      <c r="H90" s="40"/>
      <c r="I90" s="41"/>
      <c r="J90" s="40"/>
      <c r="K90" s="41"/>
      <c r="L90" s="40"/>
      <c r="M90" s="41"/>
      <c r="N90" s="40"/>
      <c r="O90" s="41"/>
      <c r="P90" s="40"/>
      <c r="Q90" s="41"/>
      <c r="R90" s="40"/>
      <c r="S90" s="41"/>
      <c r="T90" s="40"/>
      <c r="U90" s="41"/>
      <c r="V90" s="40"/>
      <c r="W90" s="41"/>
      <c r="X90" s="40"/>
      <c r="Y90" s="41"/>
      <c r="Z90" s="40"/>
      <c r="AA90" s="41"/>
      <c r="AB90" s="40"/>
      <c r="AC90" s="41"/>
      <c r="AD90" s="40"/>
      <c r="AE90" s="41"/>
      <c r="AF90" s="40"/>
      <c r="AG90" s="41"/>
      <c r="AH90" s="40"/>
      <c r="AI90" s="41"/>
      <c r="AJ90" s="40"/>
      <c r="AK90" s="41"/>
      <c r="AL90" s="40"/>
      <c r="AM90" s="41"/>
      <c r="AN90" s="40"/>
      <c r="AO90" s="41"/>
      <c r="AP90" s="40"/>
      <c r="AQ90" s="40"/>
      <c r="AR90" s="40"/>
      <c r="AS90" s="40"/>
      <c r="AT90" s="40"/>
      <c r="AU90" s="41"/>
      <c r="AV90" s="42"/>
      <c r="AW90" s="8"/>
      <c r="AX90" s="8"/>
    </row>
    <row r="91" spans="1:50" ht="18" customHeight="1" x14ac:dyDescent="0.25">
      <c r="A91" s="9">
        <v>1.041666666666667</v>
      </c>
      <c r="B91" s="17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4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25">
      <c r="A92" s="9">
        <v>1.041666666666667</v>
      </c>
      <c r="B92" s="17" t="s">
        <v>79</v>
      </c>
      <c r="C92" s="10" t="s">
        <v>57</v>
      </c>
      <c r="D92" s="31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4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25">
      <c r="A93" s="9">
        <v>1.166666666666667</v>
      </c>
      <c r="B93" s="17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4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25">
      <c r="A94" s="9">
        <v>1.166666666666667</v>
      </c>
      <c r="B94" s="17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4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25">
      <c r="A95" s="9">
        <v>1.875</v>
      </c>
      <c r="B95" s="17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4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25">
      <c r="A96" s="9">
        <v>1.875</v>
      </c>
      <c r="B96" s="17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4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25">
      <c r="A97" s="12"/>
      <c r="B97" s="17"/>
      <c r="C97" s="13"/>
      <c r="D97" s="1"/>
      <c r="E97" s="20"/>
      <c r="F97" s="12"/>
      <c r="G97" s="20"/>
      <c r="H97" s="12"/>
      <c r="I97" s="20"/>
      <c r="J97" s="12"/>
      <c r="K97" s="20"/>
      <c r="L97" s="12"/>
      <c r="M97" s="20"/>
      <c r="N97" s="12"/>
      <c r="O97" s="20"/>
      <c r="P97" s="12"/>
      <c r="Q97" s="20"/>
      <c r="R97" s="12"/>
      <c r="S97" s="20"/>
      <c r="T97" s="12"/>
      <c r="U97" s="13"/>
      <c r="V97" s="12"/>
      <c r="W97" s="20"/>
      <c r="X97" s="12"/>
      <c r="Y97" s="20"/>
      <c r="Z97" s="12"/>
      <c r="AA97" s="20"/>
      <c r="AB97" s="12"/>
      <c r="AC97" s="25"/>
      <c r="AD97" s="12"/>
      <c r="AE97" s="20"/>
      <c r="AF97" s="12"/>
      <c r="AG97" s="20"/>
      <c r="AH97" s="12"/>
      <c r="AI97" s="20"/>
      <c r="AJ97" s="12"/>
      <c r="AK97" s="20"/>
      <c r="AL97" s="12"/>
      <c r="AM97" s="20"/>
      <c r="AN97" s="12"/>
      <c r="AO97" s="20"/>
      <c r="AP97" s="12"/>
      <c r="AQ97" s="20"/>
      <c r="AR97" s="12" t="str">
        <f t="shared" si="49"/>
        <v/>
      </c>
      <c r="AS97" s="20"/>
      <c r="AT97" s="12" t="str">
        <f t="shared" si="50"/>
        <v/>
      </c>
      <c r="AU97" s="20"/>
      <c r="AV97" s="12"/>
      <c r="AW97" s="12"/>
      <c r="AX97" s="12"/>
    </row>
    <row r="98" spans="1:50" ht="20.100000000000001" customHeight="1" x14ac:dyDescent="0.25">
      <c r="A98" s="39" t="s">
        <v>125</v>
      </c>
      <c r="B98" s="40"/>
      <c r="C98" s="41"/>
      <c r="D98" s="40"/>
      <c r="E98" s="41"/>
      <c r="F98" s="40"/>
      <c r="G98" s="41"/>
      <c r="H98" s="40"/>
      <c r="I98" s="41"/>
      <c r="J98" s="40"/>
      <c r="K98" s="41"/>
      <c r="L98" s="40"/>
      <c r="M98" s="41"/>
      <c r="N98" s="40"/>
      <c r="O98" s="41"/>
      <c r="P98" s="40"/>
      <c r="Q98" s="41"/>
      <c r="R98" s="40"/>
      <c r="S98" s="41"/>
      <c r="T98" s="40"/>
      <c r="U98" s="41"/>
      <c r="V98" s="40"/>
      <c r="W98" s="41"/>
      <c r="X98" s="40"/>
      <c r="Y98" s="41"/>
      <c r="Z98" s="40"/>
      <c r="AA98" s="41"/>
      <c r="AB98" s="40"/>
      <c r="AC98" s="41"/>
      <c r="AD98" s="40"/>
      <c r="AE98" s="41"/>
      <c r="AF98" s="40"/>
      <c r="AG98" s="41"/>
      <c r="AH98" s="40"/>
      <c r="AI98" s="41"/>
      <c r="AJ98" s="40"/>
      <c r="AK98" s="41"/>
      <c r="AL98" s="40"/>
      <c r="AM98" s="41"/>
      <c r="AN98" s="40"/>
      <c r="AO98" s="41"/>
      <c r="AP98" s="40"/>
      <c r="AQ98" s="40"/>
      <c r="AR98" s="40"/>
      <c r="AS98" s="40"/>
      <c r="AT98" s="40"/>
      <c r="AU98" s="41"/>
      <c r="AV98" s="42"/>
      <c r="AW98" s="8"/>
      <c r="AX98" s="8"/>
    </row>
    <row r="99" spans="1:50" ht="18" customHeight="1" x14ac:dyDescent="0.25">
      <c r="A99" s="9">
        <v>1.083333333333333</v>
      </c>
      <c r="B99" s="17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4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25">
      <c r="A100" s="9">
        <v>1.083333333333333</v>
      </c>
      <c r="B100" s="17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4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25">
      <c r="A101" s="9">
        <v>1.208333333333333</v>
      </c>
      <c r="B101" s="17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4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25">
      <c r="A102" s="9">
        <v>1.208333333333333</v>
      </c>
      <c r="B102" s="17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4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25">
      <c r="A103" s="9">
        <v>1.958333333333333</v>
      </c>
      <c r="B103" s="17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4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25">
      <c r="A104" s="9">
        <v>1.958333333333333</v>
      </c>
      <c r="B104" s="17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4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25">
      <c r="A105" s="12"/>
      <c r="B105" s="17"/>
      <c r="C105" s="13"/>
      <c r="D105" s="1"/>
      <c r="E105" s="20"/>
      <c r="F105" s="12"/>
      <c r="G105" s="20"/>
      <c r="H105" s="12"/>
      <c r="I105" s="20"/>
      <c r="J105" s="12"/>
      <c r="K105" s="20"/>
      <c r="L105" s="12"/>
      <c r="M105" s="20"/>
      <c r="N105" s="12"/>
      <c r="O105" s="20"/>
      <c r="P105" s="12"/>
      <c r="Q105" s="20"/>
      <c r="R105" s="12"/>
      <c r="S105" s="20"/>
      <c r="T105" s="12"/>
      <c r="U105" s="13"/>
      <c r="V105" s="12"/>
      <c r="W105" s="20"/>
      <c r="X105" s="12"/>
      <c r="Y105" s="20"/>
      <c r="Z105" s="12"/>
      <c r="AA105" s="20"/>
      <c r="AB105" s="12"/>
      <c r="AC105" s="20"/>
      <c r="AD105" s="12"/>
      <c r="AE105" s="20"/>
      <c r="AF105" s="12"/>
      <c r="AG105" s="20"/>
      <c r="AH105" s="12"/>
      <c r="AI105" s="20"/>
      <c r="AJ105" s="12"/>
      <c r="AK105" s="20"/>
      <c r="AL105" s="12"/>
      <c r="AM105" s="20"/>
      <c r="AN105" s="12"/>
      <c r="AO105" s="20"/>
      <c r="AP105" s="12"/>
      <c r="AQ105" s="20"/>
      <c r="AR105" s="12" t="str">
        <f t="shared" si="73"/>
        <v/>
      </c>
      <c r="AS105" s="20"/>
      <c r="AT105" s="12" t="str">
        <f t="shared" si="74"/>
        <v/>
      </c>
      <c r="AU105" s="20"/>
      <c r="AV105" s="12"/>
      <c r="AW105" s="12"/>
      <c r="AX105" s="12"/>
    </row>
    <row r="106" spans="1:50" ht="20.100000000000001" customHeight="1" x14ac:dyDescent="0.25">
      <c r="A106" s="39" t="s">
        <v>126</v>
      </c>
      <c r="B106" s="40"/>
      <c r="C106" s="41"/>
      <c r="D106" s="40"/>
      <c r="E106" s="41"/>
      <c r="F106" s="40"/>
      <c r="G106" s="41"/>
      <c r="H106" s="40"/>
      <c r="I106" s="41"/>
      <c r="J106" s="40"/>
      <c r="K106" s="41"/>
      <c r="L106" s="40"/>
      <c r="M106" s="41"/>
      <c r="N106" s="40"/>
      <c r="O106" s="41"/>
      <c r="P106" s="40"/>
      <c r="Q106" s="41"/>
      <c r="R106" s="40"/>
      <c r="S106" s="41"/>
      <c r="T106" s="40"/>
      <c r="U106" s="41"/>
      <c r="V106" s="40"/>
      <c r="W106" s="41"/>
      <c r="X106" s="40"/>
      <c r="Y106" s="41"/>
      <c r="Z106" s="40"/>
      <c r="AA106" s="41"/>
      <c r="AB106" s="40"/>
      <c r="AC106" s="41"/>
      <c r="AD106" s="40"/>
      <c r="AE106" s="41"/>
      <c r="AF106" s="40"/>
      <c r="AG106" s="41"/>
      <c r="AH106" s="40"/>
      <c r="AI106" s="41"/>
      <c r="AJ106" s="40"/>
      <c r="AK106" s="41"/>
      <c r="AL106" s="40"/>
      <c r="AM106" s="41"/>
      <c r="AN106" s="40"/>
      <c r="AO106" s="41"/>
      <c r="AP106" s="40"/>
      <c r="AQ106" s="40"/>
      <c r="AR106" s="40"/>
      <c r="AS106" s="40"/>
      <c r="AT106" s="40"/>
      <c r="AU106" s="41"/>
      <c r="AV106" s="42"/>
      <c r="AW106" s="8"/>
      <c r="AX106" s="8"/>
    </row>
    <row r="107" spans="1:50" ht="18" customHeight="1" x14ac:dyDescent="0.25">
      <c r="A107" s="9">
        <v>1.0625</v>
      </c>
      <c r="B107" s="17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4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25">
      <c r="A108" s="9">
        <v>1.0625</v>
      </c>
      <c r="B108" s="17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4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25">
      <c r="A109" s="9">
        <v>1.166666666666667</v>
      </c>
      <c r="B109" s="17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4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>IF(OR($C109="",AQ109=""),"",IFERROR(IF(AND(IFERROR(--LEFT(AQ109,FIND("-",AQ109)-1),"")=AW109,IFERROR(--MID(AQ109,FIND("-",AQ109)+1,99),"")=AX109),10,5*(SIGN((IFERROR(--LEFT(AQ109,FIND("-",AQ109)-1),""))-(IFERROR(--MID(AQ109,FIND("-",AQ109)+1,99),"")))=SIGN((AW109)-(AX109)))+2*(((IFERROR(--LEFT(AQ109,FIND("-",AQ109)-1),""))-(IFERROR(--MID(AQ109,FIND("-",AQ109)+1,99),"")))=((AW109)-(AX109)))+2*((IFERROR(--LEFT(AQ109,FIND("-",AQ109)-1),""))=(AW109))+2*((IFERROR(--MID(AQ109,FIND("-",AQ109)+1,99),""))=(AX109))),""))</f>
        <v>0</v>
      </c>
      <c r="AS109" s="10" t="s">
        <v>50</v>
      </c>
      <c r="AT109" s="11">
        <f>IF(OR($C109="",AS109=""),"",IFERROR(IF(AND(IFERROR(--LEFT(AS109,FIND("-",AS109)-1),"")=AW109,IFERROR(--MID(AS109,FIND("-",AS109)+1,99),"")=AX109),10,5*(SIGN((IFERROR(--LEFT(AS109,FIND("-",AS109)-1),""))-(IFERROR(--MID(AS109,FIND("-",AS109)+1,99),"")))=SIGN((AW109)-(AX109)))+2*(((IFERROR(--LEFT(AS109,FIND("-",AS109)-1),""))-(IFERROR(--MID(AS109,FIND("-",AS109)+1,99),"")))=((AW109)-(AX109)))+2*((IFERROR(--LEFT(AS109,FIND("-",AS109)-1),""))=(AW109))+2*((IFERROR(--MID(AS109,FIND("-",AS109)+1,99),""))=(AX109))),""))</f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25">
      <c r="A110" s="9">
        <v>1.166666666666667</v>
      </c>
      <c r="B110" s="17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4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>IF(OR($C110="",AQ110=""),"",IFERROR(IF(AND(IFERROR(--LEFT(AQ110,FIND("-",AQ110)-1),"")=AW110,IFERROR(--MID(AQ110,FIND("-",AQ110)+1,99),"")=AX110),10,5*(SIGN((IFERROR(--LEFT(AQ110,FIND("-",AQ110)-1),""))-(IFERROR(--MID(AQ110,FIND("-",AQ110)+1,99),"")))=SIGN((AW110)-(AX110)))+2*(((IFERROR(--LEFT(AQ110,FIND("-",AQ110)-1),""))-(IFERROR(--MID(AQ110,FIND("-",AQ110)+1,99),"")))=((AW110)-(AX110)))+2*((IFERROR(--LEFT(AQ110,FIND("-",AQ110)-1),""))=(AW110))+2*((IFERROR(--MID(AQ110,FIND("-",AQ110)+1,99),""))=(AX110))),""))</f>
        <v>7</v>
      </c>
      <c r="AS110" s="10" t="s">
        <v>45</v>
      </c>
      <c r="AT110" s="11">
        <f>IF(OR($C110="",AS110=""),"",IFERROR(IF(AND(IFERROR(--LEFT(AS110,FIND("-",AS110)-1),"")=AW110,IFERROR(--MID(AS110,FIND("-",AS110)+1,99),"")=AX110),10,5*(SIGN((IFERROR(--LEFT(AS110,FIND("-",AS110)-1),""))-(IFERROR(--MID(AS110,FIND("-",AS110)+1,99),"")))=SIGN((AW110)-(AX110)))+2*(((IFERROR(--LEFT(AS110,FIND("-",AS110)-1),""))-(IFERROR(--MID(AS110,FIND("-",AS110)+1,99),"")))=((AW110)-(AX110)))+2*((IFERROR(--LEFT(AS110,FIND("-",AS110)-1),""))=(AW110))+2*((IFERROR(--MID(AS110,FIND("-",AS110)+1,99),""))=(AX110))),""))</f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25">
      <c r="A111" s="12"/>
      <c r="B111" s="17"/>
      <c r="C111" s="13"/>
      <c r="D111" s="1"/>
      <c r="E111" s="20"/>
      <c r="F111" s="12"/>
      <c r="G111" s="20"/>
      <c r="H111" s="12"/>
      <c r="I111" s="20"/>
      <c r="J111" s="12"/>
      <c r="K111" s="20"/>
      <c r="L111" s="12"/>
      <c r="M111" s="20"/>
      <c r="N111" s="12"/>
      <c r="O111" s="20"/>
      <c r="P111" s="12"/>
      <c r="Q111" s="20"/>
      <c r="R111" s="12"/>
      <c r="S111" s="20"/>
      <c r="T111" s="12"/>
      <c r="U111" s="13"/>
      <c r="V111" s="12"/>
      <c r="W111" s="20"/>
      <c r="X111" s="12"/>
      <c r="Y111" s="20"/>
      <c r="Z111" s="12"/>
      <c r="AA111" s="20"/>
      <c r="AB111" s="12"/>
      <c r="AC111" s="20"/>
      <c r="AD111" s="12"/>
      <c r="AE111" s="20"/>
      <c r="AF111" s="12"/>
      <c r="AG111" s="20"/>
      <c r="AH111" s="12"/>
      <c r="AI111" s="20"/>
      <c r="AJ111" s="12"/>
      <c r="AK111" s="20"/>
      <c r="AL111" s="12"/>
      <c r="AM111" s="20"/>
      <c r="AN111" s="12"/>
      <c r="AO111" s="20"/>
      <c r="AP111" s="12"/>
      <c r="AQ111" s="20"/>
      <c r="AR111" s="12" t="str">
        <f t="shared" si="78"/>
        <v/>
      </c>
      <c r="AS111" s="20"/>
      <c r="AT111" s="12" t="str">
        <f t="shared" si="79"/>
        <v/>
      </c>
      <c r="AU111" s="20"/>
      <c r="AV111" s="12"/>
      <c r="AW111" s="12"/>
      <c r="AX111" s="12"/>
    </row>
    <row r="112" spans="1:50" ht="18" customHeight="1" x14ac:dyDescent="0.25">
      <c r="A112" s="12"/>
      <c r="B112" s="17"/>
      <c r="C112" s="13"/>
      <c r="D112" s="1"/>
      <c r="E112" s="20"/>
      <c r="F112" s="12"/>
      <c r="G112" s="20"/>
      <c r="H112" s="12"/>
      <c r="I112" s="20"/>
      <c r="J112" s="12"/>
      <c r="K112" s="20"/>
      <c r="L112" s="12"/>
      <c r="M112" s="20"/>
      <c r="N112" s="12"/>
      <c r="O112" s="20"/>
      <c r="P112" s="12"/>
      <c r="Q112" s="20"/>
      <c r="R112" s="12"/>
      <c r="S112" s="20"/>
      <c r="T112" s="12"/>
      <c r="U112" s="13"/>
      <c r="V112" s="12"/>
      <c r="W112" s="20"/>
      <c r="X112" s="12"/>
      <c r="Y112" s="20"/>
      <c r="Z112" s="12"/>
      <c r="AA112" s="20"/>
      <c r="AB112" s="12"/>
      <c r="AC112" s="20"/>
      <c r="AD112" s="12"/>
      <c r="AE112" s="20"/>
      <c r="AF112" s="12"/>
      <c r="AG112" s="20"/>
      <c r="AH112" s="12"/>
      <c r="AI112" s="20"/>
      <c r="AJ112" s="12"/>
      <c r="AK112" s="20"/>
      <c r="AL112" s="12"/>
      <c r="AM112" s="20"/>
      <c r="AN112" s="12"/>
      <c r="AO112" s="20"/>
      <c r="AP112" s="12"/>
      <c r="AQ112" s="20"/>
      <c r="AR112" s="12" t="str">
        <f t="shared" si="78"/>
        <v/>
      </c>
      <c r="AS112" s="20"/>
      <c r="AT112" s="12" t="str">
        <f t="shared" si="79"/>
        <v/>
      </c>
      <c r="AU112" s="20"/>
      <c r="AV112" s="12"/>
      <c r="AW112" s="12"/>
      <c r="AX112" s="12"/>
    </row>
    <row r="113" spans="1:50" ht="20.100000000000001" customHeight="1" x14ac:dyDescent="0.25">
      <c r="A113" s="48" t="s">
        <v>128</v>
      </c>
      <c r="B113" s="53"/>
      <c r="C113" s="54"/>
      <c r="D113" s="53"/>
      <c r="E113" s="54"/>
      <c r="F113" s="53"/>
      <c r="G113" s="54"/>
      <c r="H113" s="53"/>
      <c r="I113" s="54"/>
      <c r="J113" s="53"/>
      <c r="K113" s="54"/>
      <c r="L113" s="53"/>
      <c r="M113" s="54"/>
      <c r="N113" s="53"/>
      <c r="O113" s="54"/>
      <c r="P113" s="53"/>
      <c r="Q113" s="54"/>
      <c r="R113" s="53"/>
      <c r="S113" s="54"/>
      <c r="T113" s="53"/>
      <c r="U113" s="54"/>
      <c r="V113" s="53"/>
      <c r="W113" s="54"/>
      <c r="X113" s="53"/>
      <c r="Y113" s="54"/>
      <c r="Z113" s="53"/>
      <c r="AA113" s="54"/>
      <c r="AB113" s="53"/>
      <c r="AC113" s="54"/>
      <c r="AD113" s="53"/>
      <c r="AE113" s="54"/>
      <c r="AF113" s="53"/>
      <c r="AG113" s="54"/>
      <c r="AH113" s="53"/>
      <c r="AI113" s="54"/>
      <c r="AJ113" s="53"/>
      <c r="AK113" s="54"/>
      <c r="AL113" s="53"/>
      <c r="AM113" s="54"/>
      <c r="AN113" s="53"/>
      <c r="AO113" s="54"/>
      <c r="AP113" s="53"/>
      <c r="AQ113" s="53"/>
      <c r="AR113" s="53"/>
      <c r="AS113" s="53"/>
      <c r="AT113" s="53"/>
      <c r="AU113" s="54"/>
      <c r="AV113" s="47"/>
      <c r="AW113" s="7"/>
      <c r="AX113" s="7"/>
    </row>
    <row r="114" spans="1:50" ht="20.100000000000001" customHeight="1" x14ac:dyDescent="0.25">
      <c r="A114" s="39" t="s">
        <v>126</v>
      </c>
      <c r="B114" s="40"/>
      <c r="C114" s="41"/>
      <c r="D114" s="40"/>
      <c r="E114" s="41"/>
      <c r="F114" s="40"/>
      <c r="G114" s="41"/>
      <c r="H114" s="40"/>
      <c r="I114" s="41"/>
      <c r="J114" s="40"/>
      <c r="K114" s="41"/>
      <c r="L114" s="40"/>
      <c r="M114" s="41"/>
      <c r="N114" s="40"/>
      <c r="O114" s="41"/>
      <c r="P114" s="40"/>
      <c r="Q114" s="41"/>
      <c r="R114" s="40"/>
      <c r="S114" s="41"/>
      <c r="T114" s="40"/>
      <c r="U114" s="41"/>
      <c r="V114" s="40"/>
      <c r="W114" s="41"/>
      <c r="X114" s="40"/>
      <c r="Y114" s="41"/>
      <c r="Z114" s="40"/>
      <c r="AA114" s="41"/>
      <c r="AB114" s="40"/>
      <c r="AC114" s="41"/>
      <c r="AD114" s="40"/>
      <c r="AE114" s="41"/>
      <c r="AF114" s="40"/>
      <c r="AG114" s="41"/>
      <c r="AH114" s="40"/>
      <c r="AI114" s="41"/>
      <c r="AJ114" s="40"/>
      <c r="AK114" s="41"/>
      <c r="AL114" s="40"/>
      <c r="AM114" s="41"/>
      <c r="AN114" s="40"/>
      <c r="AO114" s="41"/>
      <c r="AP114" s="40"/>
      <c r="AQ114" s="40"/>
      <c r="AR114" s="40"/>
      <c r="AS114" s="40"/>
      <c r="AT114" s="40"/>
      <c r="AU114" s="41"/>
      <c r="AV114" s="42"/>
      <c r="AW114" s="8"/>
      <c r="AX114" s="8"/>
    </row>
    <row r="115" spans="1:50" ht="18" customHeight="1" x14ac:dyDescent="0.25">
      <c r="A115" s="9">
        <v>1.875</v>
      </c>
      <c r="B115" s="17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 t="s">
        <v>45</v>
      </c>
      <c r="H115" s="11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>10</v>
      </c>
      <c r="I115" s="10" t="s">
        <v>37</v>
      </c>
      <c r="J115" s="11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>7</v>
      </c>
      <c r="K115" s="10" t="s">
        <v>45</v>
      </c>
      <c r="L115" s="11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>10</v>
      </c>
      <c r="M115" s="10" t="s">
        <v>50</v>
      </c>
      <c r="N115" s="11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>2</v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 t="s">
        <v>48</v>
      </c>
      <c r="V115" s="11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>7</v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 t="s">
        <v>37</v>
      </c>
      <c r="Z115" s="11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>7</v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 t="s">
        <v>37</v>
      </c>
      <c r="AD115" s="11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>7</v>
      </c>
      <c r="AE115" s="10" t="s">
        <v>48</v>
      </c>
      <c r="AF115" s="11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>7</v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 t="s">
        <v>57</v>
      </c>
      <c r="AJ115" s="11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>5</v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 t="s">
        <v>48</v>
      </c>
      <c r="AP115" s="11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>7</v>
      </c>
      <c r="AQ115" s="10" t="s">
        <v>50</v>
      </c>
      <c r="AR115" s="11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>2</v>
      </c>
      <c r="AS115" s="10" t="s">
        <v>45</v>
      </c>
      <c r="AT115" s="11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>10</v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25">
      <c r="A116" s="12"/>
      <c r="B116" s="17"/>
      <c r="C116" s="13"/>
      <c r="D116" s="1"/>
      <c r="E116" s="20"/>
      <c r="F116" s="12"/>
      <c r="G116" s="20"/>
      <c r="H116" s="12"/>
      <c r="I116" s="20"/>
      <c r="J116" s="12"/>
      <c r="K116" s="20"/>
      <c r="L116" s="12"/>
      <c r="M116" s="20"/>
      <c r="N116" s="12"/>
      <c r="O116" s="20"/>
      <c r="P116" s="12"/>
      <c r="Q116" s="20"/>
      <c r="R116" s="12"/>
      <c r="S116" s="20"/>
      <c r="T116" s="12"/>
      <c r="U116" s="13"/>
      <c r="V116" s="12"/>
      <c r="W116" s="20"/>
      <c r="X116" s="12"/>
      <c r="Y116" s="20"/>
      <c r="Z116" s="12"/>
      <c r="AA116" s="20"/>
      <c r="AB116" s="12"/>
      <c r="AC116" s="20"/>
      <c r="AD116" s="12"/>
      <c r="AE116" s="20"/>
      <c r="AF116" s="12"/>
      <c r="AG116" s="20"/>
      <c r="AH116" s="12"/>
      <c r="AI116" s="20"/>
      <c r="AJ116" s="12"/>
      <c r="AK116" s="20"/>
      <c r="AL116" s="12"/>
      <c r="AM116" s="20"/>
      <c r="AN116" s="12"/>
      <c r="AO116" s="20"/>
      <c r="AP116" s="12"/>
      <c r="AQ116" s="20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0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0"/>
      <c r="AV116" s="12"/>
      <c r="AW116" s="12"/>
      <c r="AX116" s="12"/>
    </row>
    <row r="117" spans="1:50" ht="20.100000000000001" customHeight="1" x14ac:dyDescent="0.25">
      <c r="A117" s="55" t="s">
        <v>129</v>
      </c>
      <c r="B117" s="40"/>
      <c r="C117" s="41"/>
      <c r="D117" s="40"/>
      <c r="E117" s="41"/>
      <c r="F117" s="40"/>
      <c r="G117" s="41"/>
      <c r="H117" s="40"/>
      <c r="I117" s="41"/>
      <c r="J117" s="40"/>
      <c r="K117" s="41"/>
      <c r="L117" s="40"/>
      <c r="M117" s="41"/>
      <c r="N117" s="40"/>
      <c r="O117" s="41"/>
      <c r="P117" s="40"/>
      <c r="Q117" s="41"/>
      <c r="R117" s="40"/>
      <c r="S117" s="41"/>
      <c r="T117" s="40"/>
      <c r="U117" s="41"/>
      <c r="V117" s="40"/>
      <c r="W117" s="41"/>
      <c r="X117" s="40"/>
      <c r="Y117" s="41"/>
      <c r="Z117" s="40"/>
      <c r="AA117" s="41"/>
      <c r="AB117" s="40"/>
      <c r="AC117" s="41"/>
      <c r="AD117" s="40"/>
      <c r="AE117" s="41"/>
      <c r="AF117" s="40"/>
      <c r="AG117" s="41"/>
      <c r="AH117" s="40"/>
      <c r="AI117" s="41"/>
      <c r="AJ117" s="40"/>
      <c r="AK117" s="41"/>
      <c r="AL117" s="40"/>
      <c r="AM117" s="41"/>
      <c r="AN117" s="40"/>
      <c r="AO117" s="41"/>
      <c r="AP117" s="40"/>
      <c r="AQ117" s="40"/>
      <c r="AR117" s="40"/>
      <c r="AS117" s="40"/>
      <c r="AT117" s="40"/>
      <c r="AU117" s="41"/>
      <c r="AV117" s="42"/>
      <c r="AW117" s="8"/>
      <c r="AX117" s="8"/>
    </row>
    <row r="118" spans="1:50" ht="18" customHeight="1" x14ac:dyDescent="0.25">
      <c r="A118" s="9">
        <v>1.791666666666667</v>
      </c>
      <c r="B118" s="17" t="s">
        <v>59</v>
      </c>
      <c r="C118" s="10" t="s">
        <v>33</v>
      </c>
      <c r="D118" s="1" t="s">
        <v>74</v>
      </c>
      <c r="E118" s="10" t="s">
        <v>34</v>
      </c>
      <c r="F118" s="11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>7</v>
      </c>
      <c r="G118" s="10" t="s">
        <v>33</v>
      </c>
      <c r="H118" s="11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>10</v>
      </c>
      <c r="I118" s="10" t="s">
        <v>33</v>
      </c>
      <c r="J118" s="11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>10</v>
      </c>
      <c r="K118" s="10" t="s">
        <v>34</v>
      </c>
      <c r="L118" s="11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>7</v>
      </c>
      <c r="M118" s="10" t="s">
        <v>37</v>
      </c>
      <c r="N118" s="11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>0</v>
      </c>
      <c r="O118" s="10" t="s">
        <v>37</v>
      </c>
      <c r="P118" s="11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>0</v>
      </c>
      <c r="Q118" s="10" t="s">
        <v>49</v>
      </c>
      <c r="R118" s="11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>2</v>
      </c>
      <c r="S118" s="10" t="s">
        <v>33</v>
      </c>
      <c r="T118" s="11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>10</v>
      </c>
      <c r="U118" s="10" t="s">
        <v>34</v>
      </c>
      <c r="V118" s="11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>7</v>
      </c>
      <c r="W118" s="10" t="s">
        <v>33</v>
      </c>
      <c r="X118" s="11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>10</v>
      </c>
      <c r="Y118" s="10" t="s">
        <v>34</v>
      </c>
      <c r="Z118" s="11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>7</v>
      </c>
      <c r="AA118" s="10" t="s">
        <v>61</v>
      </c>
      <c r="AB118" s="11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>7</v>
      </c>
      <c r="AC118" s="10" t="s">
        <v>34</v>
      </c>
      <c r="AD118" s="11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>7</v>
      </c>
      <c r="AE118" s="10" t="s">
        <v>33</v>
      </c>
      <c r="AF118" s="11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>10</v>
      </c>
      <c r="AG118" s="10" t="s">
        <v>36</v>
      </c>
      <c r="AH118" s="11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>7</v>
      </c>
      <c r="AI118" s="10" t="s">
        <v>61</v>
      </c>
      <c r="AJ118" s="11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>7</v>
      </c>
      <c r="AK118" s="10" t="s">
        <v>33</v>
      </c>
      <c r="AL118" s="11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>10</v>
      </c>
      <c r="AM118" s="10" t="s">
        <v>33</v>
      </c>
      <c r="AN118" s="11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>10</v>
      </c>
      <c r="AO118" s="10" t="s">
        <v>48</v>
      </c>
      <c r="AP118" s="11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>0</v>
      </c>
      <c r="AQ118" s="10" t="s">
        <v>33</v>
      </c>
      <c r="AR118" s="11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>10</v>
      </c>
      <c r="AS118" s="10" t="s">
        <v>39</v>
      </c>
      <c r="AT118" s="11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>7</v>
      </c>
      <c r="AU118" s="10" t="s">
        <v>34</v>
      </c>
      <c r="AV118" s="11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>7</v>
      </c>
      <c r="AW118" s="11">
        <f>IF($C118="","",IFERROR(--LEFT($C118,FIND("-",$C118)-1),""))</f>
        <v>2</v>
      </c>
      <c r="AX118" s="11">
        <f>IF($C118="","",IFERROR(--MID($C118,FIND("-",$C118)+1,99),""))</f>
        <v>1</v>
      </c>
    </row>
    <row r="119" spans="1:50" ht="18" customHeight="1" x14ac:dyDescent="0.25">
      <c r="A119" s="9">
        <v>1.9375</v>
      </c>
      <c r="B119" s="17" t="s">
        <v>69</v>
      </c>
      <c r="C119" s="10" t="s">
        <v>35</v>
      </c>
      <c r="D119" s="1" t="s">
        <v>264</v>
      </c>
      <c r="E119" s="10" t="s">
        <v>34</v>
      </c>
      <c r="F119" s="11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>2</v>
      </c>
      <c r="G119" s="10" t="s">
        <v>39</v>
      </c>
      <c r="H119" s="11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>2</v>
      </c>
      <c r="I119" s="10" t="s">
        <v>36</v>
      </c>
      <c r="J119" s="11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>0</v>
      </c>
      <c r="K119" s="10" t="s">
        <v>63</v>
      </c>
      <c r="L119" s="11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>0</v>
      </c>
      <c r="M119" s="10" t="s">
        <v>34</v>
      </c>
      <c r="N119" s="11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>2</v>
      </c>
      <c r="O119" s="10" t="s">
        <v>38</v>
      </c>
      <c r="P119" s="11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>0</v>
      </c>
      <c r="Q119" s="10" t="s">
        <v>43</v>
      </c>
      <c r="R119" s="11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>2</v>
      </c>
      <c r="S119" s="10" t="s">
        <v>36</v>
      </c>
      <c r="T119" s="11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>0</v>
      </c>
      <c r="U119" s="10" t="s">
        <v>38</v>
      </c>
      <c r="V119" s="11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>0</v>
      </c>
      <c r="W119" s="10" t="s">
        <v>36</v>
      </c>
      <c r="X119" s="11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>0</v>
      </c>
      <c r="Y119" s="10" t="s">
        <v>38</v>
      </c>
      <c r="Z119" s="11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>0</v>
      </c>
      <c r="AA119" s="10" t="s">
        <v>43</v>
      </c>
      <c r="AB119" s="11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>2</v>
      </c>
      <c r="AC119" s="10" t="s">
        <v>34</v>
      </c>
      <c r="AD119" s="11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>2</v>
      </c>
      <c r="AE119" s="10" t="s">
        <v>38</v>
      </c>
      <c r="AF119" s="11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>0</v>
      </c>
      <c r="AG119" s="10" t="s">
        <v>36</v>
      </c>
      <c r="AH119" s="11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>0</v>
      </c>
      <c r="AI119" s="10" t="s">
        <v>33</v>
      </c>
      <c r="AJ119" s="11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>2</v>
      </c>
      <c r="AK119" s="10" t="s">
        <v>39</v>
      </c>
      <c r="AL119" s="11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>2</v>
      </c>
      <c r="AM119" s="10" t="s">
        <v>39</v>
      </c>
      <c r="AN119" s="11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>2</v>
      </c>
      <c r="AO119" s="10" t="s">
        <v>34</v>
      </c>
      <c r="AP119" s="11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>2</v>
      </c>
      <c r="AQ119" s="10" t="s">
        <v>38</v>
      </c>
      <c r="AR119" s="11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>0</v>
      </c>
      <c r="AS119" s="10" t="s">
        <v>38</v>
      </c>
      <c r="AT119" s="11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>0</v>
      </c>
      <c r="AU119" s="10" t="s">
        <v>36</v>
      </c>
      <c r="AV119" s="11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>0</v>
      </c>
      <c r="AW119" s="11">
        <f>IF($C119="","",IFERROR(--LEFT($C119,FIND("-",$C119)-1),""))</f>
        <v>1</v>
      </c>
      <c r="AX119" s="11">
        <f>IF($C119="","",IFERROR(--MID($C119,FIND("-",$C119)+1,99),""))</f>
        <v>1</v>
      </c>
    </row>
    <row r="120" spans="1:50" ht="18" customHeight="1" x14ac:dyDescent="0.25">
      <c r="A120" s="12"/>
      <c r="B120" s="17"/>
      <c r="C120" s="13"/>
      <c r="D120" s="1"/>
      <c r="E120" s="20"/>
      <c r="F120" s="12"/>
      <c r="G120" s="20"/>
      <c r="H120" s="12"/>
      <c r="I120" s="20"/>
      <c r="J120" s="12"/>
      <c r="K120" s="20"/>
      <c r="L120" s="12"/>
      <c r="M120" s="20"/>
      <c r="N120" s="12"/>
      <c r="O120" s="20"/>
      <c r="P120" s="12"/>
      <c r="Q120" s="20"/>
      <c r="R120" s="12"/>
      <c r="S120" s="20"/>
      <c r="T120" s="12"/>
      <c r="U120" s="13"/>
      <c r="V120" s="12"/>
      <c r="W120" s="20"/>
      <c r="X120" s="12"/>
      <c r="Y120" s="20"/>
      <c r="Z120" s="12"/>
      <c r="AA120" s="20"/>
      <c r="AB120" s="12"/>
      <c r="AC120" s="20"/>
      <c r="AD120" s="12"/>
      <c r="AE120" s="20"/>
      <c r="AF120" s="12"/>
      <c r="AG120" s="20"/>
      <c r="AH120" s="12"/>
      <c r="AI120" s="20"/>
      <c r="AJ120" s="12"/>
      <c r="AK120" s="20"/>
      <c r="AL120" s="12"/>
      <c r="AM120" s="20"/>
      <c r="AN120" s="12"/>
      <c r="AO120" s="20"/>
      <c r="AP120" s="12"/>
      <c r="AQ120" s="20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0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0"/>
      <c r="AV120" s="12"/>
      <c r="AW120" s="12"/>
      <c r="AX120" s="12"/>
    </row>
    <row r="121" spans="1:50" ht="20.100000000000001" customHeight="1" x14ac:dyDescent="0.25">
      <c r="A121" s="55" t="s">
        <v>130</v>
      </c>
      <c r="B121" s="40"/>
      <c r="C121" s="41"/>
      <c r="D121" s="40"/>
      <c r="E121" s="41"/>
      <c r="F121" s="40"/>
      <c r="G121" s="41"/>
      <c r="H121" s="40"/>
      <c r="I121" s="41"/>
      <c r="J121" s="40"/>
      <c r="K121" s="41"/>
      <c r="L121" s="40"/>
      <c r="M121" s="41"/>
      <c r="N121" s="40"/>
      <c r="O121" s="41"/>
      <c r="P121" s="40"/>
      <c r="Q121" s="41"/>
      <c r="R121" s="40"/>
      <c r="S121" s="41"/>
      <c r="T121" s="40"/>
      <c r="U121" s="41"/>
      <c r="V121" s="40"/>
      <c r="W121" s="41"/>
      <c r="X121" s="40"/>
      <c r="Y121" s="41"/>
      <c r="Z121" s="40"/>
      <c r="AA121" s="41"/>
      <c r="AB121" s="40"/>
      <c r="AC121" s="41"/>
      <c r="AD121" s="40"/>
      <c r="AE121" s="41"/>
      <c r="AF121" s="40"/>
      <c r="AG121" s="41"/>
      <c r="AH121" s="40"/>
      <c r="AI121" s="41"/>
      <c r="AJ121" s="40"/>
      <c r="AK121" s="41"/>
      <c r="AL121" s="40"/>
      <c r="AM121" s="41"/>
      <c r="AN121" s="40"/>
      <c r="AO121" s="41"/>
      <c r="AP121" s="40"/>
      <c r="AQ121" s="40"/>
      <c r="AR121" s="40"/>
      <c r="AS121" s="40"/>
      <c r="AT121" s="40"/>
      <c r="AU121" s="41"/>
      <c r="AV121" s="42"/>
      <c r="AW121" s="8"/>
      <c r="AX121" s="8"/>
    </row>
    <row r="122" spans="1:50" ht="18" customHeight="1" x14ac:dyDescent="0.25">
      <c r="A122" s="9">
        <v>1.125</v>
      </c>
      <c r="B122" s="17" t="s">
        <v>73</v>
      </c>
      <c r="C122" s="10" t="s">
        <v>35</v>
      </c>
      <c r="D122" s="1" t="s">
        <v>60</v>
      </c>
      <c r="E122" s="10" t="s">
        <v>34</v>
      </c>
      <c r="F122" s="11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>2</v>
      </c>
      <c r="G122" s="10" t="s">
        <v>39</v>
      </c>
      <c r="H122" s="11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>2</v>
      </c>
      <c r="I122" s="10" t="s">
        <v>33</v>
      </c>
      <c r="J122" s="11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>2</v>
      </c>
      <c r="K122" s="10" t="s">
        <v>34</v>
      </c>
      <c r="L122" s="11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>2</v>
      </c>
      <c r="M122" s="10" t="s">
        <v>44</v>
      </c>
      <c r="N122" s="11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>0</v>
      </c>
      <c r="O122" s="10" t="s">
        <v>34</v>
      </c>
      <c r="P122" s="11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>2</v>
      </c>
      <c r="Q122" s="10" t="s">
        <v>61</v>
      </c>
      <c r="R122" s="11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>0</v>
      </c>
      <c r="S122" s="10" t="s">
        <v>33</v>
      </c>
      <c r="T122" s="11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>2</v>
      </c>
      <c r="U122" s="10" t="s">
        <v>33</v>
      </c>
      <c r="V122" s="11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>2</v>
      </c>
      <c r="W122" s="10" t="s">
        <v>33</v>
      </c>
      <c r="X122" s="11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>2</v>
      </c>
      <c r="Y122" s="10" t="s">
        <v>33</v>
      </c>
      <c r="Z122" s="11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>2</v>
      </c>
      <c r="AA122" s="10" t="s">
        <v>33</v>
      </c>
      <c r="AB122" s="11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>2</v>
      </c>
      <c r="AC122" s="10" t="s">
        <v>61</v>
      </c>
      <c r="AD122" s="11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>0</v>
      </c>
      <c r="AE122" s="10" t="s">
        <v>49</v>
      </c>
      <c r="AF122" s="11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>7</v>
      </c>
      <c r="AG122" s="10" t="s">
        <v>33</v>
      </c>
      <c r="AH122" s="11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>2</v>
      </c>
      <c r="AI122" s="10" t="s">
        <v>38</v>
      </c>
      <c r="AJ122" s="11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>0</v>
      </c>
      <c r="AK122" s="10" t="s">
        <v>33</v>
      </c>
      <c r="AL122" s="11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>2</v>
      </c>
      <c r="AM122" s="10" t="s">
        <v>61</v>
      </c>
      <c r="AN122" s="11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>0</v>
      </c>
      <c r="AO122" s="10" t="s">
        <v>49</v>
      </c>
      <c r="AP122" s="11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>7</v>
      </c>
      <c r="AQ122" s="10" t="s">
        <v>37</v>
      </c>
      <c r="AR122" s="11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>2</v>
      </c>
      <c r="AS122" s="10" t="s">
        <v>33</v>
      </c>
      <c r="AT122" s="11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>2</v>
      </c>
      <c r="AU122" s="10" t="s">
        <v>61</v>
      </c>
      <c r="AV122" s="11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>0</v>
      </c>
      <c r="AW122" s="11">
        <f>IF($C122="","",IFERROR(--LEFT($C122,FIND("-",$C122)-1),""))</f>
        <v>1</v>
      </c>
      <c r="AX122" s="11">
        <f>IF($C122="","",IFERROR(--MID($C122,FIND("-",$C122)+1,99),""))</f>
        <v>1</v>
      </c>
    </row>
    <row r="123" spans="1:50" ht="18" customHeight="1" x14ac:dyDescent="0.25">
      <c r="A123" s="9">
        <v>1.791666666666667</v>
      </c>
      <c r="B123" s="17" t="s">
        <v>76</v>
      </c>
      <c r="C123" s="10" t="s">
        <v>37</v>
      </c>
      <c r="D123" s="1" t="s">
        <v>94</v>
      </c>
      <c r="E123" s="10" t="s">
        <v>37</v>
      </c>
      <c r="F123" s="11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>10</v>
      </c>
      <c r="G123" s="10" t="s">
        <v>35</v>
      </c>
      <c r="H123" s="11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>2</v>
      </c>
      <c r="I123" s="10" t="s">
        <v>35</v>
      </c>
      <c r="J123" s="11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>2</v>
      </c>
      <c r="K123" s="10" t="s">
        <v>48</v>
      </c>
      <c r="L123" s="11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>7</v>
      </c>
      <c r="M123" s="10" t="s">
        <v>56</v>
      </c>
      <c r="N123" s="11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>5</v>
      </c>
      <c r="O123" s="10" t="s">
        <v>35</v>
      </c>
      <c r="P123" s="11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>2</v>
      </c>
      <c r="Q123" s="10" t="s">
        <v>115</v>
      </c>
      <c r="R123" s="11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>7</v>
      </c>
      <c r="S123" s="10" t="s">
        <v>33</v>
      </c>
      <c r="T123" s="11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>0</v>
      </c>
      <c r="U123" s="10" t="s">
        <v>37</v>
      </c>
      <c r="V123" s="11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>10</v>
      </c>
      <c r="W123" s="10" t="s">
        <v>37</v>
      </c>
      <c r="X123" s="11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>10</v>
      </c>
      <c r="Y123" s="10" t="s">
        <v>37</v>
      </c>
      <c r="Z123" s="11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>10</v>
      </c>
      <c r="AA123" s="10" t="s">
        <v>37</v>
      </c>
      <c r="AB123" s="11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>10</v>
      </c>
      <c r="AC123" s="10" t="s">
        <v>37</v>
      </c>
      <c r="AD123" s="11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>10</v>
      </c>
      <c r="AE123" s="10" t="s">
        <v>37</v>
      </c>
      <c r="AF123" s="11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>10</v>
      </c>
      <c r="AG123" s="10" t="s">
        <v>35</v>
      </c>
      <c r="AH123" s="11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>2</v>
      </c>
      <c r="AI123" s="10" t="s">
        <v>35</v>
      </c>
      <c r="AJ123" s="11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>2</v>
      </c>
      <c r="AK123" s="10" t="s">
        <v>48</v>
      </c>
      <c r="AL123" s="11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>7</v>
      </c>
      <c r="AM123" s="10" t="s">
        <v>49</v>
      </c>
      <c r="AN123" s="11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>2</v>
      </c>
      <c r="AO123" s="10" t="s">
        <v>35</v>
      </c>
      <c r="AP123" s="11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>2</v>
      </c>
      <c r="AQ123" s="10" t="s">
        <v>37</v>
      </c>
      <c r="AR123" s="11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>10</v>
      </c>
      <c r="AS123" s="10" t="s">
        <v>45</v>
      </c>
      <c r="AT123" s="11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>7</v>
      </c>
      <c r="AU123" s="10" t="s">
        <v>56</v>
      </c>
      <c r="AV123" s="11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>5</v>
      </c>
      <c r="AW123" s="11">
        <f>IF($C123="","",IFERROR(--LEFT($C123,FIND("-",$C123)-1),""))</f>
        <v>1</v>
      </c>
      <c r="AX123" s="11">
        <f>IF($C123="","",IFERROR(--MID($C123,FIND("-",$C123)+1,99),""))</f>
        <v>2</v>
      </c>
    </row>
    <row r="124" spans="1:50" ht="18" customHeight="1" x14ac:dyDescent="0.25">
      <c r="A124" s="9">
        <v>1.958333333333333</v>
      </c>
      <c r="B124" s="17" t="s">
        <v>89</v>
      </c>
      <c r="C124" s="10" t="s">
        <v>38</v>
      </c>
      <c r="D124" s="1" t="s">
        <v>78</v>
      </c>
      <c r="E124" s="10" t="s">
        <v>43</v>
      </c>
      <c r="F124" s="11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>7</v>
      </c>
      <c r="G124" s="10" t="s">
        <v>39</v>
      </c>
      <c r="H124" s="11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>7</v>
      </c>
      <c r="I124" s="10" t="s">
        <v>38</v>
      </c>
      <c r="J124" s="11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>10</v>
      </c>
      <c r="K124" s="10" t="s">
        <v>113</v>
      </c>
      <c r="L124" s="11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>5</v>
      </c>
      <c r="M124" s="10" t="s">
        <v>43</v>
      </c>
      <c r="N124" s="11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>7</v>
      </c>
      <c r="O124" s="10" t="s">
        <v>34</v>
      </c>
      <c r="P124" s="11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>7</v>
      </c>
      <c r="Q124" s="10" t="s">
        <v>62</v>
      </c>
      <c r="R124" s="11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>5</v>
      </c>
      <c r="S124" s="10" t="s">
        <v>38</v>
      </c>
      <c r="T124" s="11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>10</v>
      </c>
      <c r="U124" s="10" t="s">
        <v>43</v>
      </c>
      <c r="V124" s="11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>7</v>
      </c>
      <c r="W124" s="10" t="s">
        <v>34</v>
      </c>
      <c r="X124" s="11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>7</v>
      </c>
      <c r="Y124" s="10" t="s">
        <v>43</v>
      </c>
      <c r="Z124" s="11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>7</v>
      </c>
      <c r="AA124" s="10" t="s">
        <v>62</v>
      </c>
      <c r="AB124" s="11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>5</v>
      </c>
      <c r="AC124" s="10" t="s">
        <v>63</v>
      </c>
      <c r="AD124" s="11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>7</v>
      </c>
      <c r="AE124" s="10" t="s">
        <v>34</v>
      </c>
      <c r="AF124" s="11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>7</v>
      </c>
      <c r="AG124" s="10" t="s">
        <v>36</v>
      </c>
      <c r="AH124" s="11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>7</v>
      </c>
      <c r="AI124" s="10" t="s">
        <v>36</v>
      </c>
      <c r="AJ124" s="11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>7</v>
      </c>
      <c r="AK124" s="10" t="s">
        <v>36</v>
      </c>
      <c r="AL124" s="11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>7</v>
      </c>
      <c r="AM124" s="10" t="s">
        <v>71</v>
      </c>
      <c r="AN124" s="11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>7</v>
      </c>
      <c r="AO124" s="10" t="s">
        <v>34</v>
      </c>
      <c r="AP124" s="11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>7</v>
      </c>
      <c r="AQ124" s="10" t="s">
        <v>61</v>
      </c>
      <c r="AR124" s="11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>7</v>
      </c>
      <c r="AS124" s="10" t="s">
        <v>39</v>
      </c>
      <c r="AT124" s="11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>7</v>
      </c>
      <c r="AU124" s="10" t="s">
        <v>34</v>
      </c>
      <c r="AV124" s="11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>7</v>
      </c>
      <c r="AW124" s="11">
        <f>IF($C124="","",IFERROR(--LEFT($C124,FIND("-",$C124)-1),""))</f>
        <v>3</v>
      </c>
      <c r="AX124" s="11">
        <f>IF($C124="","",IFERROR(--MID($C124,FIND("-",$C124)+1,99),""))</f>
        <v>0</v>
      </c>
    </row>
    <row r="125" spans="1:50" ht="18" customHeight="1" x14ac:dyDescent="0.25">
      <c r="A125" s="12"/>
      <c r="B125" s="17"/>
      <c r="C125" s="13"/>
      <c r="D125" s="1"/>
      <c r="E125" s="20"/>
      <c r="F125" s="12"/>
      <c r="G125" s="20"/>
      <c r="H125" s="12"/>
      <c r="I125" s="20"/>
      <c r="J125" s="12"/>
      <c r="K125" s="20"/>
      <c r="L125" s="12"/>
      <c r="M125" s="20"/>
      <c r="N125" s="12"/>
      <c r="O125" s="20"/>
      <c r="P125" s="12"/>
      <c r="Q125" s="20"/>
      <c r="R125" s="12"/>
      <c r="S125" s="20"/>
      <c r="T125" s="12"/>
      <c r="U125" s="13"/>
      <c r="V125" s="12"/>
      <c r="W125" s="20"/>
      <c r="X125" s="12"/>
      <c r="Y125" s="20"/>
      <c r="Z125" s="12"/>
      <c r="AA125" s="20"/>
      <c r="AB125" s="12"/>
      <c r="AC125" s="20"/>
      <c r="AD125" s="12"/>
      <c r="AE125" s="20"/>
      <c r="AF125" s="12"/>
      <c r="AG125" s="20"/>
      <c r="AH125" s="12"/>
      <c r="AI125" s="20"/>
      <c r="AJ125" s="12"/>
      <c r="AK125" s="20"/>
      <c r="AL125" s="12"/>
      <c r="AM125" s="20"/>
      <c r="AN125" s="12"/>
      <c r="AO125" s="20"/>
      <c r="AP125" s="12"/>
      <c r="AQ125" s="20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0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0"/>
      <c r="AV125" s="12"/>
      <c r="AW125" s="12"/>
      <c r="AX125" s="12"/>
    </row>
    <row r="126" spans="1:50" ht="20.100000000000001" customHeight="1" x14ac:dyDescent="0.25">
      <c r="A126" s="55" t="s">
        <v>131</v>
      </c>
      <c r="B126" s="40"/>
      <c r="C126" s="41"/>
      <c r="D126" s="40"/>
      <c r="E126" s="41"/>
      <c r="F126" s="40"/>
      <c r="G126" s="41"/>
      <c r="H126" s="40"/>
      <c r="I126" s="41"/>
      <c r="J126" s="40"/>
      <c r="K126" s="41"/>
      <c r="L126" s="40"/>
      <c r="M126" s="41"/>
      <c r="N126" s="40"/>
      <c r="O126" s="41"/>
      <c r="P126" s="40"/>
      <c r="Q126" s="41"/>
      <c r="R126" s="40"/>
      <c r="S126" s="41"/>
      <c r="T126" s="40"/>
      <c r="U126" s="41"/>
      <c r="V126" s="40"/>
      <c r="W126" s="41"/>
      <c r="X126" s="40"/>
      <c r="Y126" s="41"/>
      <c r="Z126" s="40"/>
      <c r="AA126" s="41"/>
      <c r="AB126" s="40"/>
      <c r="AC126" s="41"/>
      <c r="AD126" s="40"/>
      <c r="AE126" s="41"/>
      <c r="AF126" s="40"/>
      <c r="AG126" s="41"/>
      <c r="AH126" s="40"/>
      <c r="AI126" s="41"/>
      <c r="AJ126" s="40"/>
      <c r="AK126" s="41"/>
      <c r="AL126" s="40"/>
      <c r="AM126" s="41"/>
      <c r="AN126" s="40"/>
      <c r="AO126" s="41"/>
      <c r="AP126" s="40"/>
      <c r="AQ126" s="40"/>
      <c r="AR126" s="40"/>
      <c r="AS126" s="40"/>
      <c r="AT126" s="40"/>
      <c r="AU126" s="41"/>
      <c r="AV126" s="42"/>
      <c r="AW126" s="8"/>
      <c r="AX126" s="8"/>
    </row>
    <row r="127" spans="1:50" ht="18" customHeight="1" x14ac:dyDescent="0.25">
      <c r="A127" s="9">
        <v>1.125</v>
      </c>
      <c r="B127" s="17" t="s">
        <v>31</v>
      </c>
      <c r="C127" s="10" t="s">
        <v>36</v>
      </c>
      <c r="D127" s="1" t="s">
        <v>77</v>
      </c>
      <c r="E127" s="10" t="s">
        <v>36</v>
      </c>
      <c r="F127" s="11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>10</v>
      </c>
      <c r="G127" s="10" t="s">
        <v>39</v>
      </c>
      <c r="H127" s="11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>7</v>
      </c>
      <c r="I127" s="10" t="s">
        <v>39</v>
      </c>
      <c r="J127" s="11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>7</v>
      </c>
      <c r="K127" s="10" t="s">
        <v>61</v>
      </c>
      <c r="L127" s="11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>5</v>
      </c>
      <c r="M127" s="10" t="s">
        <v>33</v>
      </c>
      <c r="N127" s="11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>7</v>
      </c>
      <c r="O127" s="10" t="s">
        <v>33</v>
      </c>
      <c r="P127" s="11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>7</v>
      </c>
      <c r="Q127" s="10" t="s">
        <v>61</v>
      </c>
      <c r="R127" s="11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>5</v>
      </c>
      <c r="S127" s="10" t="s">
        <v>45</v>
      </c>
      <c r="T127" s="11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>0</v>
      </c>
      <c r="U127" s="10" t="s">
        <v>39</v>
      </c>
      <c r="V127" s="11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>7</v>
      </c>
      <c r="W127" s="10" t="s">
        <v>39</v>
      </c>
      <c r="X127" s="11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>7</v>
      </c>
      <c r="Y127" s="10" t="s">
        <v>49</v>
      </c>
      <c r="Z127" s="11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>2</v>
      </c>
      <c r="AA127" s="10" t="s">
        <v>36</v>
      </c>
      <c r="AB127" s="11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>10</v>
      </c>
      <c r="AC127" s="10" t="s">
        <v>38</v>
      </c>
      <c r="AD127" s="11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>7</v>
      </c>
      <c r="AE127" s="10" t="s">
        <v>33</v>
      </c>
      <c r="AF127" s="11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>7</v>
      </c>
      <c r="AG127" s="10" t="s">
        <v>35</v>
      </c>
      <c r="AH127" s="11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>0</v>
      </c>
      <c r="AI127" s="10" t="s">
        <v>33</v>
      </c>
      <c r="AJ127" s="11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>7</v>
      </c>
      <c r="AK127" s="10" t="s">
        <v>35</v>
      </c>
      <c r="AL127" s="11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>0</v>
      </c>
      <c r="AM127" s="10" t="s">
        <v>33</v>
      </c>
      <c r="AN127" s="11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>7</v>
      </c>
      <c r="AO127" s="10" t="s">
        <v>33</v>
      </c>
      <c r="AP127" s="11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>7</v>
      </c>
      <c r="AQ127" s="10" t="s">
        <v>37</v>
      </c>
      <c r="AR127" s="11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>0</v>
      </c>
      <c r="AS127" s="10" t="s">
        <v>50</v>
      </c>
      <c r="AT127" s="11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>2</v>
      </c>
      <c r="AU127" s="10" t="s">
        <v>39</v>
      </c>
      <c r="AV127" s="11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>7</v>
      </c>
      <c r="AW127" s="11">
        <f>IF($C127="","",IFERROR(--LEFT($C127,FIND("-",$C127)-1),""))</f>
        <v>2</v>
      </c>
      <c r="AX127" s="11">
        <f>IF($C127="","",IFERROR(--MID($C127,FIND("-",$C127)+1,99),""))</f>
        <v>0</v>
      </c>
    </row>
    <row r="128" spans="1:50" ht="18" customHeight="1" x14ac:dyDescent="0.25">
      <c r="A128" s="9">
        <v>1.75</v>
      </c>
      <c r="B128" s="17" t="s">
        <v>101</v>
      </c>
      <c r="C128" s="10" t="s">
        <v>33</v>
      </c>
      <c r="D128" s="1" t="s">
        <v>100</v>
      </c>
      <c r="E128" s="10" t="s">
        <v>36</v>
      </c>
      <c r="F128" s="11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>7</v>
      </c>
      <c r="G128" s="10" t="s">
        <v>36</v>
      </c>
      <c r="H128" s="11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>7</v>
      </c>
      <c r="I128" s="10" t="s">
        <v>36</v>
      </c>
      <c r="J128" s="11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>7</v>
      </c>
      <c r="K128" s="10" t="s">
        <v>63</v>
      </c>
      <c r="L128" s="11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>5</v>
      </c>
      <c r="M128" s="10" t="s">
        <v>71</v>
      </c>
      <c r="N128" s="11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>5</v>
      </c>
      <c r="O128" s="10" t="s">
        <v>38</v>
      </c>
      <c r="P128" s="11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>5</v>
      </c>
      <c r="Q128" s="10" t="s">
        <v>63</v>
      </c>
      <c r="R128" s="11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>5</v>
      </c>
      <c r="S128" s="10" t="s">
        <v>36</v>
      </c>
      <c r="T128" s="11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>7</v>
      </c>
      <c r="U128" s="10" t="s">
        <v>36</v>
      </c>
      <c r="V128" s="11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>7</v>
      </c>
      <c r="W128" s="10" t="s">
        <v>36</v>
      </c>
      <c r="X128" s="11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>7</v>
      </c>
      <c r="Y128" s="10" t="s">
        <v>34</v>
      </c>
      <c r="Z128" s="11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>7</v>
      </c>
      <c r="AA128" s="10" t="s">
        <v>38</v>
      </c>
      <c r="AB128" s="11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>5</v>
      </c>
      <c r="AC128" s="10" t="s">
        <v>49</v>
      </c>
      <c r="AD128" s="11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>2</v>
      </c>
      <c r="AE128" s="10" t="s">
        <v>34</v>
      </c>
      <c r="AF128" s="11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>7</v>
      </c>
      <c r="AG128" s="10" t="s">
        <v>36</v>
      </c>
      <c r="AH128" s="11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>7</v>
      </c>
      <c r="AI128" s="10" t="s">
        <v>38</v>
      </c>
      <c r="AJ128" s="11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>5</v>
      </c>
      <c r="AK128" s="10" t="s">
        <v>36</v>
      </c>
      <c r="AL128" s="11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>7</v>
      </c>
      <c r="AM128" s="10" t="s">
        <v>36</v>
      </c>
      <c r="AN128" s="11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>7</v>
      </c>
      <c r="AO128" s="10" t="s">
        <v>38</v>
      </c>
      <c r="AP128" s="11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>5</v>
      </c>
      <c r="AQ128" s="10" t="s">
        <v>34</v>
      </c>
      <c r="AR128" s="11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>7</v>
      </c>
      <c r="AS128" s="10" t="s">
        <v>39</v>
      </c>
      <c r="AT128" s="11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>7</v>
      </c>
      <c r="AU128" s="10" t="s">
        <v>38</v>
      </c>
      <c r="AV128" s="11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>5</v>
      </c>
      <c r="AW128" s="11">
        <f>IF($C128="","",IFERROR(--LEFT($C128,FIND("-",$C128)-1),""))</f>
        <v>2</v>
      </c>
      <c r="AX128" s="11">
        <f>IF($C128="","",IFERROR(--MID($C128,FIND("-",$C128)+1,99),""))</f>
        <v>1</v>
      </c>
    </row>
    <row r="129" spans="1:50" ht="18" customHeight="1" x14ac:dyDescent="0.25">
      <c r="A129" s="9">
        <v>1.916666666666667</v>
      </c>
      <c r="B129" s="17" t="s">
        <v>82</v>
      </c>
      <c r="C129" s="10" t="s">
        <v>49</v>
      </c>
      <c r="D129" s="1" t="s">
        <v>90</v>
      </c>
      <c r="E129" s="10" t="s">
        <v>33</v>
      </c>
      <c r="F129" s="11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>2</v>
      </c>
      <c r="G129" s="10" t="s">
        <v>35</v>
      </c>
      <c r="H129" s="11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>7</v>
      </c>
      <c r="I129" s="10" t="s">
        <v>39</v>
      </c>
      <c r="J129" s="11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>0</v>
      </c>
      <c r="K129" s="10" t="s">
        <v>33</v>
      </c>
      <c r="L129" s="11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>2</v>
      </c>
      <c r="M129" s="10" t="s">
        <v>33</v>
      </c>
      <c r="N129" s="11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>2</v>
      </c>
      <c r="O129" s="10" t="s">
        <v>37</v>
      </c>
      <c r="P129" s="11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>2</v>
      </c>
      <c r="Q129" s="10" t="s">
        <v>49</v>
      </c>
      <c r="R129" s="11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>10</v>
      </c>
      <c r="S129" s="10" t="s">
        <v>37</v>
      </c>
      <c r="T129" s="11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>2</v>
      </c>
      <c r="U129" s="10" t="s">
        <v>37</v>
      </c>
      <c r="V129" s="11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>2</v>
      </c>
      <c r="W129" s="10" t="s">
        <v>33</v>
      </c>
      <c r="X129" s="11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>2</v>
      </c>
      <c r="Y129" s="10" t="s">
        <v>37</v>
      </c>
      <c r="Z129" s="11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>2</v>
      </c>
      <c r="AA129" s="10" t="s">
        <v>33</v>
      </c>
      <c r="AB129" s="11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>2</v>
      </c>
      <c r="AC129" s="10" t="s">
        <v>33</v>
      </c>
      <c r="AD129" s="11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>2</v>
      </c>
      <c r="AE129" s="10" t="s">
        <v>33</v>
      </c>
      <c r="AF129" s="11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>2</v>
      </c>
      <c r="AG129" s="10" t="s">
        <v>35</v>
      </c>
      <c r="AH129" s="11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>7</v>
      </c>
      <c r="AI129" s="10" t="s">
        <v>35</v>
      </c>
      <c r="AJ129" s="11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>7</v>
      </c>
      <c r="AK129" s="10" t="s">
        <v>33</v>
      </c>
      <c r="AL129" s="11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>2</v>
      </c>
      <c r="AM129" s="10" t="s">
        <v>35</v>
      </c>
      <c r="AN129" s="11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>7</v>
      </c>
      <c r="AO129" s="10" t="s">
        <v>37</v>
      </c>
      <c r="AP129" s="11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>2</v>
      </c>
      <c r="AQ129" s="10" t="s">
        <v>37</v>
      </c>
      <c r="AR129" s="11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>2</v>
      </c>
      <c r="AS129" s="10" t="s">
        <v>45</v>
      </c>
      <c r="AT129" s="11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>0</v>
      </c>
      <c r="AU129" s="10" t="s">
        <v>37</v>
      </c>
      <c r="AV129" s="11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>2</v>
      </c>
      <c r="AW129" s="11">
        <f>IF($C129="","",IFERROR(--LEFT($C129,FIND("-",$C129)-1),""))</f>
        <v>2</v>
      </c>
      <c r="AX129" s="11">
        <f>IF($C129="","",IFERROR(--MID($C129,FIND("-",$C129)+1,99),""))</f>
        <v>2</v>
      </c>
    </row>
    <row r="130" spans="1:50" ht="18" customHeight="1" x14ac:dyDescent="0.25">
      <c r="A130" s="12"/>
      <c r="B130" s="17"/>
      <c r="C130" s="13"/>
      <c r="D130" s="1"/>
      <c r="E130" s="20"/>
      <c r="F130" s="12"/>
      <c r="G130" s="20"/>
      <c r="H130" s="12"/>
      <c r="I130" s="20"/>
      <c r="J130" s="12"/>
      <c r="K130" s="20"/>
      <c r="L130" s="12"/>
      <c r="M130" s="20"/>
      <c r="N130" s="12"/>
      <c r="O130" s="20"/>
      <c r="P130" s="12"/>
      <c r="Q130" s="20"/>
      <c r="R130" s="12"/>
      <c r="S130" s="20"/>
      <c r="T130" s="12"/>
      <c r="U130" s="13"/>
      <c r="V130" s="12"/>
      <c r="W130" s="20"/>
      <c r="X130" s="12"/>
      <c r="Y130" s="20"/>
      <c r="Z130" s="12"/>
      <c r="AA130" s="20"/>
      <c r="AB130" s="12"/>
      <c r="AC130" s="20"/>
      <c r="AD130" s="12"/>
      <c r="AE130" s="20"/>
      <c r="AF130" s="12"/>
      <c r="AG130" s="20"/>
      <c r="AH130" s="12"/>
      <c r="AI130" s="20"/>
      <c r="AJ130" s="12"/>
      <c r="AK130" s="20"/>
      <c r="AL130" s="12"/>
      <c r="AM130" s="20"/>
      <c r="AN130" s="12"/>
      <c r="AO130" s="20"/>
      <c r="AP130" s="12"/>
      <c r="AQ130" s="20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0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0"/>
      <c r="AV130" s="12"/>
      <c r="AW130" s="12"/>
      <c r="AX130" s="12"/>
    </row>
    <row r="131" spans="1:50" ht="20.100000000000001" customHeight="1" x14ac:dyDescent="0.25">
      <c r="A131" s="55" t="s">
        <v>132</v>
      </c>
      <c r="B131" s="40"/>
      <c r="C131" s="41"/>
      <c r="D131" s="40"/>
      <c r="E131" s="41"/>
      <c r="F131" s="40"/>
      <c r="G131" s="41"/>
      <c r="H131" s="40"/>
      <c r="I131" s="41"/>
      <c r="J131" s="40"/>
      <c r="K131" s="41"/>
      <c r="L131" s="40"/>
      <c r="M131" s="41"/>
      <c r="N131" s="40"/>
      <c r="O131" s="41"/>
      <c r="P131" s="40"/>
      <c r="Q131" s="41"/>
      <c r="R131" s="40"/>
      <c r="S131" s="41"/>
      <c r="T131" s="40"/>
      <c r="U131" s="41"/>
      <c r="V131" s="40"/>
      <c r="W131" s="41"/>
      <c r="X131" s="40"/>
      <c r="Y131" s="41"/>
      <c r="Z131" s="40"/>
      <c r="AA131" s="41"/>
      <c r="AB131" s="40"/>
      <c r="AC131" s="41"/>
      <c r="AD131" s="40"/>
      <c r="AE131" s="41"/>
      <c r="AF131" s="40"/>
      <c r="AG131" s="41"/>
      <c r="AH131" s="40"/>
      <c r="AI131" s="41"/>
      <c r="AJ131" s="40"/>
      <c r="AK131" s="41"/>
      <c r="AL131" s="40"/>
      <c r="AM131" s="41"/>
      <c r="AN131" s="40"/>
      <c r="AO131" s="41"/>
      <c r="AP131" s="40"/>
      <c r="AQ131" s="40"/>
      <c r="AR131" s="40"/>
      <c r="AS131" s="40"/>
      <c r="AT131" s="40"/>
      <c r="AU131" s="41"/>
      <c r="AV131" s="42"/>
      <c r="AW131" s="8"/>
      <c r="AX131" s="8"/>
    </row>
    <row r="132" spans="1:50" ht="18" customHeight="1" x14ac:dyDescent="0.25">
      <c r="A132" s="9">
        <v>1.083333333333333</v>
      </c>
      <c r="B132" s="17" t="s">
        <v>52</v>
      </c>
      <c r="C132" s="10" t="s">
        <v>36</v>
      </c>
      <c r="D132" s="1" t="s">
        <v>47</v>
      </c>
      <c r="E132" s="10" t="s">
        <v>33</v>
      </c>
      <c r="F132" s="11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>7</v>
      </c>
      <c r="G132" s="10" t="s">
        <v>36</v>
      </c>
      <c r="H132" s="11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>10</v>
      </c>
      <c r="I132" s="10" t="s">
        <v>39</v>
      </c>
      <c r="J132" s="11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>7</v>
      </c>
      <c r="K132" s="10" t="s">
        <v>39</v>
      </c>
      <c r="L132" s="11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>7</v>
      </c>
      <c r="M132" s="10" t="s">
        <v>37</v>
      </c>
      <c r="N132" s="11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>0</v>
      </c>
      <c r="O132" s="10" t="s">
        <v>36</v>
      </c>
      <c r="P132" s="11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>10</v>
      </c>
      <c r="Q132" s="10" t="s">
        <v>37</v>
      </c>
      <c r="R132" s="11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>0</v>
      </c>
      <c r="S132" s="10" t="s">
        <v>36</v>
      </c>
      <c r="T132" s="11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>10</v>
      </c>
      <c r="U132" s="10" t="s">
        <v>36</v>
      </c>
      <c r="V132" s="11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>10</v>
      </c>
      <c r="W132" s="10" t="s">
        <v>36</v>
      </c>
      <c r="X132" s="11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>10</v>
      </c>
      <c r="Y132" s="10" t="s">
        <v>43</v>
      </c>
      <c r="Z132" s="11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>5</v>
      </c>
      <c r="AA132" s="10" t="s">
        <v>33</v>
      </c>
      <c r="AB132" s="11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>7</v>
      </c>
      <c r="AC132" s="10" t="s">
        <v>36</v>
      </c>
      <c r="AD132" s="11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>10</v>
      </c>
      <c r="AE132" s="10" t="s">
        <v>33</v>
      </c>
      <c r="AF132" s="11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>7</v>
      </c>
      <c r="AG132" s="10" t="s">
        <v>33</v>
      </c>
      <c r="AH132" s="11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>7</v>
      </c>
      <c r="AI132" s="10" t="s">
        <v>36</v>
      </c>
      <c r="AJ132" s="11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>10</v>
      </c>
      <c r="AK132" s="10" t="s">
        <v>36</v>
      </c>
      <c r="AL132" s="11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>10</v>
      </c>
      <c r="AM132" s="10" t="s">
        <v>33</v>
      </c>
      <c r="AN132" s="11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>7</v>
      </c>
      <c r="AO132" s="10" t="s">
        <v>36</v>
      </c>
      <c r="AP132" s="11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>10</v>
      </c>
      <c r="AQ132" s="10" t="s">
        <v>57</v>
      </c>
      <c r="AR132" s="11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>0</v>
      </c>
      <c r="AS132" s="10" t="s">
        <v>35</v>
      </c>
      <c r="AT132" s="11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>0</v>
      </c>
      <c r="AU132" s="10" t="s">
        <v>36</v>
      </c>
      <c r="AV132" s="11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>10</v>
      </c>
      <c r="AW132" s="11">
        <f>IF($C132="","",IFERROR(--LEFT($C132,FIND("-",$C132)-1),""))</f>
        <v>2</v>
      </c>
      <c r="AX132" s="11">
        <f>IF($C132="","",IFERROR(--MID($C132,FIND("-",$C132)+1,99),""))</f>
        <v>0</v>
      </c>
    </row>
    <row r="133" spans="1:50" ht="18" customHeight="1" x14ac:dyDescent="0.25">
      <c r="A133" s="9">
        <v>1.875</v>
      </c>
      <c r="B133" s="17" t="s">
        <v>80</v>
      </c>
      <c r="C133" s="10" t="s">
        <v>38</v>
      </c>
      <c r="D133" s="1" t="s">
        <v>97</v>
      </c>
      <c r="E133" s="10" t="s">
        <v>36</v>
      </c>
      <c r="F133" s="11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>7</v>
      </c>
      <c r="G133" s="10" t="s">
        <v>36</v>
      </c>
      <c r="H133" s="11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>7</v>
      </c>
      <c r="I133" s="10" t="s">
        <v>38</v>
      </c>
      <c r="J133" s="11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>10</v>
      </c>
      <c r="K133" s="10" t="s">
        <v>34</v>
      </c>
      <c r="L133" s="11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>7</v>
      </c>
      <c r="M133" s="10" t="s">
        <v>34</v>
      </c>
      <c r="N133" s="11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>7</v>
      </c>
      <c r="O133" s="10" t="s">
        <v>34</v>
      </c>
      <c r="P133" s="11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>7</v>
      </c>
      <c r="Q133" s="10" t="s">
        <v>62</v>
      </c>
      <c r="R133" s="11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>5</v>
      </c>
      <c r="S133" s="10" t="s">
        <v>36</v>
      </c>
      <c r="T133" s="11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>7</v>
      </c>
      <c r="U133" s="10" t="s">
        <v>33</v>
      </c>
      <c r="V133" s="11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>5</v>
      </c>
      <c r="W133" s="10" t="s">
        <v>36</v>
      </c>
      <c r="X133" s="11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>7</v>
      </c>
      <c r="Y133" s="10" t="s">
        <v>37</v>
      </c>
      <c r="Z133" s="11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>0</v>
      </c>
      <c r="AA133" s="10" t="s">
        <v>36</v>
      </c>
      <c r="AB133" s="11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>7</v>
      </c>
      <c r="AC133" s="10" t="s">
        <v>38</v>
      </c>
      <c r="AD133" s="11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>10</v>
      </c>
      <c r="AE133" s="10" t="s">
        <v>63</v>
      </c>
      <c r="AF133" s="11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>7</v>
      </c>
      <c r="AG133" s="10" t="s">
        <v>36</v>
      </c>
      <c r="AH133" s="11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>7</v>
      </c>
      <c r="AI133" s="10" t="s">
        <v>33</v>
      </c>
      <c r="AJ133" s="11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>5</v>
      </c>
      <c r="AK133" s="10" t="s">
        <v>36</v>
      </c>
      <c r="AL133" s="11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>7</v>
      </c>
      <c r="AM133" s="10" t="s">
        <v>34</v>
      </c>
      <c r="AN133" s="11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>7</v>
      </c>
      <c r="AO133" s="10" t="s">
        <v>36</v>
      </c>
      <c r="AP133" s="11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>7</v>
      </c>
      <c r="AQ133" s="10" t="s">
        <v>34</v>
      </c>
      <c r="AR133" s="11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>7</v>
      </c>
      <c r="AS133" s="10" t="s">
        <v>36</v>
      </c>
      <c r="AT133" s="11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>7</v>
      </c>
      <c r="AU133" s="10" t="s">
        <v>38</v>
      </c>
      <c r="AV133" s="11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>10</v>
      </c>
      <c r="AW133" s="11">
        <f>IF($C133="","",IFERROR(--LEFT($C133,FIND("-",$C133)-1),""))</f>
        <v>3</v>
      </c>
      <c r="AX133" s="11">
        <f>IF($C133="","",IFERROR(--MID($C133,FIND("-",$C133)+1,99),""))</f>
        <v>0</v>
      </c>
    </row>
    <row r="134" spans="1:50" ht="18" customHeight="1" x14ac:dyDescent="0.25">
      <c r="A134" s="12"/>
      <c r="B134" s="17"/>
      <c r="C134" s="13"/>
      <c r="D134" s="1"/>
      <c r="E134" s="20"/>
      <c r="F134" s="12"/>
      <c r="G134" s="20"/>
      <c r="H134" s="12"/>
      <c r="I134" s="20"/>
      <c r="J134" s="12"/>
      <c r="K134" s="20"/>
      <c r="L134" s="12"/>
      <c r="M134" s="20"/>
      <c r="N134" s="12"/>
      <c r="O134" s="20"/>
      <c r="P134" s="12"/>
      <c r="Q134" s="20"/>
      <c r="R134" s="12"/>
      <c r="S134" s="20"/>
      <c r="T134" s="12"/>
      <c r="U134" s="13"/>
      <c r="V134" s="12"/>
      <c r="W134" s="20"/>
      <c r="X134" s="12"/>
      <c r="Y134" s="20"/>
      <c r="Z134" s="12"/>
      <c r="AA134" s="20"/>
      <c r="AB134" s="12"/>
      <c r="AC134" s="20"/>
      <c r="AD134" s="12"/>
      <c r="AE134" s="20"/>
      <c r="AF134" s="12"/>
      <c r="AG134" s="20"/>
      <c r="AH134" s="12"/>
      <c r="AI134" s="20"/>
      <c r="AJ134" s="12"/>
      <c r="AK134" s="20"/>
      <c r="AL134" s="12"/>
      <c r="AM134" s="20"/>
      <c r="AN134" s="12"/>
      <c r="AO134" s="20"/>
      <c r="AP134" s="12"/>
      <c r="AQ134" s="20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0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0"/>
      <c r="AV134" s="12"/>
      <c r="AW134" s="12"/>
      <c r="AX134" s="12"/>
    </row>
    <row r="135" spans="1:50" ht="20.100000000000001" customHeight="1" x14ac:dyDescent="0.25">
      <c r="A135" s="55" t="s">
        <v>133</v>
      </c>
      <c r="B135" s="40"/>
      <c r="C135" s="41"/>
      <c r="D135" s="40"/>
      <c r="E135" s="41"/>
      <c r="F135" s="40"/>
      <c r="G135" s="41"/>
      <c r="H135" s="40"/>
      <c r="I135" s="41"/>
      <c r="J135" s="40"/>
      <c r="K135" s="41"/>
      <c r="L135" s="40"/>
      <c r="M135" s="41"/>
      <c r="N135" s="40"/>
      <c r="O135" s="41"/>
      <c r="P135" s="40"/>
      <c r="Q135" s="41"/>
      <c r="R135" s="40"/>
      <c r="S135" s="41"/>
      <c r="T135" s="40"/>
      <c r="U135" s="41"/>
      <c r="V135" s="40"/>
      <c r="W135" s="41"/>
      <c r="X135" s="40"/>
      <c r="Y135" s="41"/>
      <c r="Z135" s="40"/>
      <c r="AA135" s="41"/>
      <c r="AB135" s="40"/>
      <c r="AC135" s="41"/>
      <c r="AD135" s="40"/>
      <c r="AE135" s="41"/>
      <c r="AF135" s="40"/>
      <c r="AG135" s="41"/>
      <c r="AH135" s="40"/>
      <c r="AI135" s="41"/>
      <c r="AJ135" s="40"/>
      <c r="AK135" s="41"/>
      <c r="AL135" s="40"/>
      <c r="AM135" s="41"/>
      <c r="AN135" s="40"/>
      <c r="AO135" s="41"/>
      <c r="AP135" s="40"/>
      <c r="AQ135" s="40"/>
      <c r="AR135" s="40"/>
      <c r="AS135" s="40"/>
      <c r="AT135" s="40"/>
      <c r="AU135" s="41"/>
      <c r="AV135" s="42"/>
      <c r="AW135" s="8"/>
      <c r="AX135" s="8"/>
    </row>
    <row r="136" spans="1:50" ht="18" customHeight="1" x14ac:dyDescent="0.25">
      <c r="A136" s="9">
        <v>1.041666666666667</v>
      </c>
      <c r="B136" s="17" t="s">
        <v>99</v>
      </c>
      <c r="C136" s="10" t="s">
        <v>33</v>
      </c>
      <c r="D136" s="1" t="s">
        <v>102</v>
      </c>
      <c r="E136" s="10" t="s">
        <v>33</v>
      </c>
      <c r="F136" s="11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>10</v>
      </c>
      <c r="G136" s="10" t="s">
        <v>33</v>
      </c>
      <c r="H136" s="11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>10</v>
      </c>
      <c r="I136" s="10" t="s">
        <v>36</v>
      </c>
      <c r="J136" s="11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>7</v>
      </c>
      <c r="K136" s="10" t="s">
        <v>48</v>
      </c>
      <c r="L136" s="11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>0</v>
      </c>
      <c r="M136" s="10" t="s">
        <v>33</v>
      </c>
      <c r="N136" s="11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>10</v>
      </c>
      <c r="O136" s="10" t="s">
        <v>35</v>
      </c>
      <c r="P136" s="11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>2</v>
      </c>
      <c r="Q136" s="10" t="s">
        <v>33</v>
      </c>
      <c r="R136" s="11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>10</v>
      </c>
      <c r="S136" s="10" t="s">
        <v>33</v>
      </c>
      <c r="T136" s="11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>10</v>
      </c>
      <c r="U136" s="10" t="s">
        <v>35</v>
      </c>
      <c r="V136" s="11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>2</v>
      </c>
      <c r="W136" s="10" t="s">
        <v>33</v>
      </c>
      <c r="X136" s="11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>10</v>
      </c>
      <c r="Y136" s="10" t="s">
        <v>36</v>
      </c>
      <c r="Z136" s="11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>7</v>
      </c>
      <c r="AA136" s="10" t="s">
        <v>33</v>
      </c>
      <c r="AB136" s="11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>10</v>
      </c>
      <c r="AC136" s="10" t="s">
        <v>35</v>
      </c>
      <c r="AD136" s="11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>2</v>
      </c>
      <c r="AE136" s="10" t="s">
        <v>35</v>
      </c>
      <c r="AF136" s="11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>2</v>
      </c>
      <c r="AG136" s="10" t="s">
        <v>33</v>
      </c>
      <c r="AH136" s="11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>10</v>
      </c>
      <c r="AI136" s="10" t="s">
        <v>35</v>
      </c>
      <c r="AJ136" s="11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>2</v>
      </c>
      <c r="AK136" s="10" t="s">
        <v>33</v>
      </c>
      <c r="AL136" s="11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>10</v>
      </c>
      <c r="AM136" s="10" t="s">
        <v>35</v>
      </c>
      <c r="AN136" s="11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>2</v>
      </c>
      <c r="AO136" s="10" t="s">
        <v>35</v>
      </c>
      <c r="AP136" s="11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>2</v>
      </c>
      <c r="AQ136" s="10" t="s">
        <v>33</v>
      </c>
      <c r="AR136" s="11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>10</v>
      </c>
      <c r="AS136" s="10" t="s">
        <v>39</v>
      </c>
      <c r="AT136" s="11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>7</v>
      </c>
      <c r="AU136" s="10" t="s">
        <v>37</v>
      </c>
      <c r="AV136" s="11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>0</v>
      </c>
      <c r="AW136" s="11">
        <f>IF($C136="","",IFERROR(--LEFT($C136,FIND("-",$C136)-1),""))</f>
        <v>2</v>
      </c>
      <c r="AX136" s="11">
        <f>IF($C136="","",IFERROR(--MID($C136,FIND("-",$C136)+1,99),""))</f>
        <v>1</v>
      </c>
    </row>
    <row r="137" spans="1:50" ht="18" customHeight="1" x14ac:dyDescent="0.25">
      <c r="A137" s="9">
        <v>1.208333333333333</v>
      </c>
      <c r="B137" s="17" t="s">
        <v>55</v>
      </c>
      <c r="C137" s="10" t="s">
        <v>36</v>
      </c>
      <c r="D137" s="1" t="s">
        <v>96</v>
      </c>
      <c r="E137" s="10" t="s">
        <v>33</v>
      </c>
      <c r="F137" s="11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>7</v>
      </c>
      <c r="G137" s="10" t="s">
        <v>36</v>
      </c>
      <c r="H137" s="11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>10</v>
      </c>
      <c r="I137" s="10" t="s">
        <v>39</v>
      </c>
      <c r="J137" s="11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>7</v>
      </c>
      <c r="K137" s="10" t="s">
        <v>45</v>
      </c>
      <c r="L137" s="11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>0</v>
      </c>
      <c r="M137" s="10" t="s">
        <v>33</v>
      </c>
      <c r="N137" s="11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>7</v>
      </c>
      <c r="O137" s="10" t="s">
        <v>49</v>
      </c>
      <c r="P137" s="11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>2</v>
      </c>
      <c r="Q137" s="10" t="s">
        <v>49</v>
      </c>
      <c r="R137" s="11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>2</v>
      </c>
      <c r="S137" s="10" t="s">
        <v>45</v>
      </c>
      <c r="T137" s="11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>0</v>
      </c>
      <c r="U137" s="10" t="s">
        <v>35</v>
      </c>
      <c r="V137" s="11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>0</v>
      </c>
      <c r="W137" s="10" t="s">
        <v>33</v>
      </c>
      <c r="X137" s="11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>7</v>
      </c>
      <c r="Y137" s="10" t="s">
        <v>33</v>
      </c>
      <c r="Z137" s="11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>7</v>
      </c>
      <c r="AA137" s="10" t="s">
        <v>37</v>
      </c>
      <c r="AB137" s="11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>0</v>
      </c>
      <c r="AC137" s="10" t="s">
        <v>36</v>
      </c>
      <c r="AD137" s="11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>10</v>
      </c>
      <c r="AE137" s="10" t="s">
        <v>33</v>
      </c>
      <c r="AF137" s="11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>7</v>
      </c>
      <c r="AG137" s="10" t="s">
        <v>39</v>
      </c>
      <c r="AH137" s="11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>7</v>
      </c>
      <c r="AI137" s="10" t="s">
        <v>39</v>
      </c>
      <c r="AJ137" s="11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>7</v>
      </c>
      <c r="AK137" s="10" t="s">
        <v>36</v>
      </c>
      <c r="AL137" s="11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>10</v>
      </c>
      <c r="AM137" s="10" t="s">
        <v>33</v>
      </c>
      <c r="AN137" s="11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>7</v>
      </c>
      <c r="AO137" s="10" t="s">
        <v>36</v>
      </c>
      <c r="AP137" s="11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>10</v>
      </c>
      <c r="AQ137" s="10" t="s">
        <v>33</v>
      </c>
      <c r="AR137" s="11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>7</v>
      </c>
      <c r="AS137" s="10" t="s">
        <v>39</v>
      </c>
      <c r="AT137" s="11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>7</v>
      </c>
      <c r="AU137" s="10" t="s">
        <v>39</v>
      </c>
      <c r="AV137" s="11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>7</v>
      </c>
      <c r="AW137" s="11">
        <f>IF($C137="","",IFERROR(--LEFT($C137,FIND("-",$C137)-1),""))</f>
        <v>2</v>
      </c>
      <c r="AX137" s="11">
        <f>IF($C137="","",IFERROR(--MID($C137,FIND("-",$C137)+1,99),""))</f>
        <v>0</v>
      </c>
    </row>
    <row r="138" spans="1:50" ht="18" customHeight="1" x14ac:dyDescent="0.25">
      <c r="A138" s="9">
        <v>1.833333333333333</v>
      </c>
      <c r="B138" s="17" t="s">
        <v>67</v>
      </c>
      <c r="C138" s="10" t="s">
        <v>35</v>
      </c>
      <c r="D138" s="1" t="s">
        <v>266</v>
      </c>
      <c r="E138" s="10" t="s">
        <v>37</v>
      </c>
      <c r="F138" s="11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>2</v>
      </c>
      <c r="G138" s="10" t="s">
        <v>37</v>
      </c>
      <c r="H138" s="11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>2</v>
      </c>
      <c r="I138" s="10" t="s">
        <v>45</v>
      </c>
      <c r="J138" s="11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>2</v>
      </c>
      <c r="K138" s="10" t="s">
        <v>37</v>
      </c>
      <c r="L138" s="11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>2</v>
      </c>
      <c r="M138" s="10" t="s">
        <v>36</v>
      </c>
      <c r="N138" s="11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>0</v>
      </c>
      <c r="O138" s="10" t="s">
        <v>37</v>
      </c>
      <c r="P138" s="11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>2</v>
      </c>
      <c r="Q138" s="10" t="s">
        <v>34</v>
      </c>
      <c r="R138" s="11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>2</v>
      </c>
      <c r="S138" s="10" t="s">
        <v>48</v>
      </c>
      <c r="T138" s="11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>0</v>
      </c>
      <c r="U138" s="10" t="s">
        <v>35</v>
      </c>
      <c r="V138" s="11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>10</v>
      </c>
      <c r="W138" s="10" t="s">
        <v>45</v>
      </c>
      <c r="X138" s="11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>2</v>
      </c>
      <c r="Y138" s="10" t="s">
        <v>50</v>
      </c>
      <c r="Z138" s="11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>7</v>
      </c>
      <c r="AA138" s="10" t="s">
        <v>45</v>
      </c>
      <c r="AB138" s="11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>2</v>
      </c>
      <c r="AC138" s="10" t="s">
        <v>37</v>
      </c>
      <c r="AD138" s="11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>2</v>
      </c>
      <c r="AE138" s="10" t="s">
        <v>37</v>
      </c>
      <c r="AF138" s="11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>2</v>
      </c>
      <c r="AG138" s="10" t="s">
        <v>35</v>
      </c>
      <c r="AH138" s="11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>10</v>
      </c>
      <c r="AI138" s="10" t="s">
        <v>36</v>
      </c>
      <c r="AJ138" s="11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>0</v>
      </c>
      <c r="AK138" s="10" t="s">
        <v>45</v>
      </c>
      <c r="AL138" s="11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>2</v>
      </c>
      <c r="AM138" s="10" t="s">
        <v>48</v>
      </c>
      <c r="AN138" s="11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>0</v>
      </c>
      <c r="AO138" s="10" t="s">
        <v>50</v>
      </c>
      <c r="AP138" s="11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>7</v>
      </c>
      <c r="AQ138" s="10" t="s">
        <v>44</v>
      </c>
      <c r="AR138" s="11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>0</v>
      </c>
      <c r="AS138" s="10" t="s">
        <v>39</v>
      </c>
      <c r="AT138" s="11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>2</v>
      </c>
      <c r="AU138" s="10" t="s">
        <v>39</v>
      </c>
      <c r="AV138" s="11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>2</v>
      </c>
      <c r="AW138" s="11">
        <f>IF($C138="","",IFERROR(--LEFT($C138,FIND("-",$C138)-1),""))</f>
        <v>1</v>
      </c>
      <c r="AX138" s="11">
        <f>IF($C138="","",IFERROR(--MID($C138,FIND("-",$C138)+1,99),""))</f>
        <v>1</v>
      </c>
    </row>
    <row r="139" spans="1:50" ht="18" customHeight="1" x14ac:dyDescent="0.25">
      <c r="A139" s="12"/>
      <c r="B139" s="17"/>
      <c r="C139" s="13"/>
      <c r="D139" s="1"/>
      <c r="E139" s="20"/>
      <c r="F139" s="12"/>
      <c r="G139" s="20"/>
      <c r="H139" s="12"/>
      <c r="I139" s="20"/>
      <c r="J139" s="12"/>
      <c r="K139" s="20"/>
      <c r="L139" s="12"/>
      <c r="M139" s="20"/>
      <c r="N139" s="12"/>
      <c r="O139" s="20"/>
      <c r="P139" s="12"/>
      <c r="Q139" s="20"/>
      <c r="R139" s="12"/>
      <c r="S139" s="20"/>
      <c r="T139" s="12"/>
      <c r="U139" s="13"/>
      <c r="V139" s="12"/>
      <c r="W139" s="20"/>
      <c r="X139" s="12"/>
      <c r="Y139" s="20"/>
      <c r="Z139" s="12"/>
      <c r="AA139" s="20"/>
      <c r="AB139" s="12"/>
      <c r="AC139" s="20"/>
      <c r="AD139" s="12"/>
      <c r="AE139" s="20"/>
      <c r="AF139" s="12"/>
      <c r="AG139" s="20"/>
      <c r="AH139" s="12"/>
      <c r="AI139" s="20"/>
      <c r="AJ139" s="12"/>
      <c r="AK139" s="20"/>
      <c r="AL139" s="12"/>
      <c r="AM139" s="20"/>
      <c r="AN139" s="12"/>
      <c r="AO139" s="20"/>
      <c r="AP139" s="12"/>
      <c r="AQ139" s="20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0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0"/>
      <c r="AV139" s="12"/>
      <c r="AW139" s="12"/>
      <c r="AX139" s="12"/>
    </row>
    <row r="140" spans="1:50" ht="20.100000000000001" customHeight="1" x14ac:dyDescent="0.25">
      <c r="A140" s="55" t="s">
        <v>134</v>
      </c>
      <c r="B140" s="40"/>
      <c r="C140" s="41"/>
      <c r="D140" s="40"/>
      <c r="E140" s="41"/>
      <c r="F140" s="40"/>
      <c r="G140" s="41"/>
      <c r="H140" s="40"/>
      <c r="I140" s="41"/>
      <c r="J140" s="40"/>
      <c r="K140" s="41"/>
      <c r="L140" s="40"/>
      <c r="M140" s="41"/>
      <c r="N140" s="40"/>
      <c r="O140" s="41"/>
      <c r="P140" s="40"/>
      <c r="Q140" s="41"/>
      <c r="R140" s="40"/>
      <c r="S140" s="41"/>
      <c r="T140" s="40"/>
      <c r="U140" s="41"/>
      <c r="V140" s="40"/>
      <c r="W140" s="41"/>
      <c r="X140" s="40"/>
      <c r="Y140" s="41"/>
      <c r="Z140" s="40"/>
      <c r="AA140" s="41"/>
      <c r="AB140" s="40"/>
      <c r="AC140" s="41"/>
      <c r="AD140" s="40"/>
      <c r="AE140" s="41"/>
      <c r="AF140" s="40"/>
      <c r="AG140" s="41"/>
      <c r="AH140" s="40"/>
      <c r="AI140" s="41"/>
      <c r="AJ140" s="40"/>
      <c r="AK140" s="41"/>
      <c r="AL140" s="40"/>
      <c r="AM140" s="41"/>
      <c r="AN140" s="40"/>
      <c r="AO140" s="41"/>
      <c r="AP140" s="40"/>
      <c r="AQ140" s="40"/>
      <c r="AR140" s="40"/>
      <c r="AS140" s="40"/>
      <c r="AT140" s="40"/>
      <c r="AU140" s="41"/>
      <c r="AV140" s="42"/>
      <c r="AW140" s="8"/>
      <c r="AX140" s="8"/>
    </row>
    <row r="141" spans="1:50" ht="18" customHeight="1" x14ac:dyDescent="0.25">
      <c r="A141" s="9">
        <v>1</v>
      </c>
      <c r="B141" s="17" t="s">
        <v>265</v>
      </c>
      <c r="C141" s="10" t="s">
        <v>35</v>
      </c>
      <c r="D141" s="1" t="s">
        <v>81</v>
      </c>
      <c r="E141" s="10" t="s">
        <v>36</v>
      </c>
      <c r="F141" s="11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>0</v>
      </c>
      <c r="G141" s="10" t="s">
        <v>38</v>
      </c>
      <c r="H141" s="11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>0</v>
      </c>
      <c r="I141" s="10" t="s">
        <v>38</v>
      </c>
      <c r="J141" s="11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>0</v>
      </c>
      <c r="K141" s="10" t="s">
        <v>38</v>
      </c>
      <c r="L141" s="11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>0</v>
      </c>
      <c r="M141" s="10" t="s">
        <v>72</v>
      </c>
      <c r="N141" s="11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>0</v>
      </c>
      <c r="O141" s="10" t="s">
        <v>38</v>
      </c>
      <c r="P141" s="11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>0</v>
      </c>
      <c r="Q141" s="10" t="s">
        <v>36</v>
      </c>
      <c r="R141" s="11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>0</v>
      </c>
      <c r="S141" s="10" t="s">
        <v>38</v>
      </c>
      <c r="T141" s="11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>0</v>
      </c>
      <c r="U141" s="10" t="s">
        <v>38</v>
      </c>
      <c r="V141" s="11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>0</v>
      </c>
      <c r="W141" s="10" t="s">
        <v>36</v>
      </c>
      <c r="X141" s="11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>0</v>
      </c>
      <c r="Y141" s="10" t="s">
        <v>49</v>
      </c>
      <c r="Z141" s="11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>7</v>
      </c>
      <c r="AA141" s="10" t="s">
        <v>36</v>
      </c>
      <c r="AB141" s="11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>0</v>
      </c>
      <c r="AC141" s="10" t="s">
        <v>72</v>
      </c>
      <c r="AD141" s="11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>0</v>
      </c>
      <c r="AE141" s="10" t="s">
        <v>63</v>
      </c>
      <c r="AF141" s="11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>0</v>
      </c>
      <c r="AG141" s="10" t="s">
        <v>38</v>
      </c>
      <c r="AH141" s="11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>0</v>
      </c>
      <c r="AI141" s="10" t="s">
        <v>63</v>
      </c>
      <c r="AJ141" s="11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>0</v>
      </c>
      <c r="AK141" s="10" t="s">
        <v>36</v>
      </c>
      <c r="AL141" s="11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>0</v>
      </c>
      <c r="AM141" s="10" t="s">
        <v>43</v>
      </c>
      <c r="AN141" s="11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>2</v>
      </c>
      <c r="AO141" s="10" t="s">
        <v>38</v>
      </c>
      <c r="AP141" s="11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>0</v>
      </c>
      <c r="AQ141" s="10" t="s">
        <v>57</v>
      </c>
      <c r="AR141" s="11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>2</v>
      </c>
      <c r="AS141" s="10" t="s">
        <v>39</v>
      </c>
      <c r="AT141" s="11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>2</v>
      </c>
      <c r="AU141" s="10" t="s">
        <v>63</v>
      </c>
      <c r="AV141" s="11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>0</v>
      </c>
      <c r="AW141" s="11">
        <f>IF($C141="","",IFERROR(--LEFT($C141,FIND("-",$C141)-1),""))</f>
        <v>1</v>
      </c>
      <c r="AX141" s="11">
        <f>IF($C141="","",IFERROR(--MID($C141,FIND("-",$C141)+1,99),""))</f>
        <v>1</v>
      </c>
    </row>
    <row r="142" spans="1:50" ht="18" customHeight="1" x14ac:dyDescent="0.25">
      <c r="A142" s="9">
        <v>1.145833333333333</v>
      </c>
      <c r="B142" s="17" t="s">
        <v>108</v>
      </c>
      <c r="C142" s="10" t="s">
        <v>39</v>
      </c>
      <c r="D142" s="1" t="s">
        <v>104</v>
      </c>
      <c r="E142" s="10" t="s">
        <v>39</v>
      </c>
      <c r="F142" s="11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>10</v>
      </c>
      <c r="G142" s="10" t="s">
        <v>33</v>
      </c>
      <c r="H142" s="11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>7</v>
      </c>
      <c r="I142" s="10" t="s">
        <v>39</v>
      </c>
      <c r="J142" s="11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>10</v>
      </c>
      <c r="K142" s="10" t="s">
        <v>38</v>
      </c>
      <c r="L142" s="11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>7</v>
      </c>
      <c r="M142" s="10" t="s">
        <v>37</v>
      </c>
      <c r="N142" s="11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>2</v>
      </c>
      <c r="O142" s="10" t="s">
        <v>33</v>
      </c>
      <c r="P142" s="11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>7</v>
      </c>
      <c r="Q142" s="10" t="s">
        <v>123</v>
      </c>
      <c r="R142" s="11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>0</v>
      </c>
      <c r="S142" s="10" t="s">
        <v>45</v>
      </c>
      <c r="T142" s="11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>0</v>
      </c>
      <c r="U142" s="10" t="s">
        <v>36</v>
      </c>
      <c r="V142" s="11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>7</v>
      </c>
      <c r="W142" s="10" t="s">
        <v>36</v>
      </c>
      <c r="X142" s="11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>7</v>
      </c>
      <c r="Y142" s="10" t="s">
        <v>37</v>
      </c>
      <c r="Z142" s="11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>2</v>
      </c>
      <c r="AA142" s="10" t="s">
        <v>57</v>
      </c>
      <c r="AB142" s="11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>2</v>
      </c>
      <c r="AC142" s="10" t="s">
        <v>33</v>
      </c>
      <c r="AD142" s="11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>7</v>
      </c>
      <c r="AE142" s="10" t="s">
        <v>33</v>
      </c>
      <c r="AF142" s="11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>7</v>
      </c>
      <c r="AG142" s="10" t="s">
        <v>33</v>
      </c>
      <c r="AH142" s="11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>7</v>
      </c>
      <c r="AI142" s="10" t="s">
        <v>36</v>
      </c>
      <c r="AJ142" s="11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>7</v>
      </c>
      <c r="AK142" s="10" t="s">
        <v>39</v>
      </c>
      <c r="AL142" s="11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>10</v>
      </c>
      <c r="AM142" s="10" t="s">
        <v>34</v>
      </c>
      <c r="AN142" s="11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>5</v>
      </c>
      <c r="AO142" s="10" t="s">
        <v>39</v>
      </c>
      <c r="AP142" s="11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>10</v>
      </c>
      <c r="AQ142" s="10" t="s">
        <v>34</v>
      </c>
      <c r="AR142" s="11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>5</v>
      </c>
      <c r="AS142" s="10" t="s">
        <v>45</v>
      </c>
      <c r="AT142" s="11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>0</v>
      </c>
      <c r="AU142" s="10" t="s">
        <v>37</v>
      </c>
      <c r="AV142" s="11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>2</v>
      </c>
      <c r="AW142" s="11">
        <f>IF($C142="","",IFERROR(--LEFT($C142,FIND("-",$C142)-1),""))</f>
        <v>1</v>
      </c>
      <c r="AX142" s="11">
        <f>IF($C142="","",IFERROR(--MID($C142,FIND("-",$C142)+1,99),""))</f>
        <v>0</v>
      </c>
    </row>
    <row r="143" spans="1:50" ht="18" customHeight="1" x14ac:dyDescent="0.25">
      <c r="A143" s="12"/>
      <c r="B143" s="17"/>
      <c r="C143" s="13"/>
      <c r="D143" s="1"/>
      <c r="E143" s="20"/>
      <c r="F143" s="12"/>
      <c r="G143" s="20"/>
      <c r="H143" s="12"/>
      <c r="I143" s="20"/>
      <c r="J143" s="12"/>
      <c r="K143" s="20"/>
      <c r="L143" s="12"/>
      <c r="M143" s="20"/>
      <c r="N143" s="12"/>
      <c r="O143" s="20"/>
      <c r="P143" s="12"/>
      <c r="Q143" s="20"/>
      <c r="R143" s="12"/>
      <c r="S143" s="20"/>
      <c r="T143" s="12"/>
      <c r="U143" s="13"/>
      <c r="V143" s="12"/>
      <c r="W143" s="20"/>
      <c r="X143" s="12"/>
      <c r="Y143" s="20"/>
      <c r="Z143" s="12"/>
      <c r="AA143" s="20"/>
      <c r="AB143" s="12"/>
      <c r="AC143" s="20"/>
      <c r="AD143" s="12"/>
      <c r="AE143" s="20"/>
      <c r="AF143" s="12"/>
      <c r="AG143" s="20"/>
      <c r="AH143" s="12"/>
      <c r="AI143" s="20"/>
      <c r="AJ143" s="12"/>
      <c r="AK143" s="20"/>
      <c r="AL143" s="12"/>
      <c r="AM143" s="20"/>
      <c r="AN143" s="12"/>
      <c r="AO143" s="20"/>
      <c r="AP143" s="12"/>
      <c r="AQ143" s="20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0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0"/>
      <c r="AV143" s="12"/>
      <c r="AW143" s="12"/>
      <c r="AX143" s="12"/>
    </row>
    <row r="144" spans="1:50" ht="18" customHeight="1" x14ac:dyDescent="0.25">
      <c r="A144" s="12"/>
      <c r="B144" s="17"/>
      <c r="C144" s="13"/>
      <c r="D144" s="1"/>
      <c r="E144" s="20"/>
      <c r="F144" s="12"/>
      <c r="G144" s="20"/>
      <c r="H144" s="12"/>
      <c r="I144" s="20"/>
      <c r="J144" s="12"/>
      <c r="K144" s="20"/>
      <c r="L144" s="12"/>
      <c r="M144" s="20"/>
      <c r="N144" s="12"/>
      <c r="O144" s="20"/>
      <c r="P144" s="12"/>
      <c r="Q144" s="20"/>
      <c r="R144" s="12"/>
      <c r="S144" s="20"/>
      <c r="T144" s="12"/>
      <c r="U144" s="13"/>
      <c r="V144" s="12"/>
      <c r="W144" s="20"/>
      <c r="X144" s="12"/>
      <c r="Y144" s="20"/>
      <c r="Z144" s="12"/>
      <c r="AA144" s="20"/>
      <c r="AB144" s="12"/>
      <c r="AC144" s="20"/>
      <c r="AD144" s="12"/>
      <c r="AE144" s="20"/>
      <c r="AF144" s="12"/>
      <c r="AG144" s="20"/>
      <c r="AH144" s="12"/>
      <c r="AI144" s="20"/>
      <c r="AJ144" s="12"/>
      <c r="AK144" s="20"/>
      <c r="AL144" s="12"/>
      <c r="AM144" s="20"/>
      <c r="AN144" s="12"/>
      <c r="AO144" s="20"/>
      <c r="AP144" s="12"/>
      <c r="AQ144" s="20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0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0"/>
      <c r="AV144" s="12"/>
      <c r="AW144" s="12"/>
      <c r="AX144" s="12"/>
    </row>
    <row r="145" spans="1:50" ht="20.100000000000001" customHeight="1" x14ac:dyDescent="0.25">
      <c r="A145" s="48" t="s">
        <v>135</v>
      </c>
      <c r="B145" s="53"/>
      <c r="C145" s="54"/>
      <c r="D145" s="53"/>
      <c r="E145" s="54"/>
      <c r="F145" s="53"/>
      <c r="G145" s="54"/>
      <c r="H145" s="53"/>
      <c r="I145" s="54"/>
      <c r="J145" s="53"/>
      <c r="K145" s="54"/>
      <c r="L145" s="53"/>
      <c r="M145" s="54"/>
      <c r="N145" s="53"/>
      <c r="O145" s="54"/>
      <c r="P145" s="53"/>
      <c r="Q145" s="54"/>
      <c r="R145" s="53"/>
      <c r="S145" s="54"/>
      <c r="T145" s="53"/>
      <c r="U145" s="54"/>
      <c r="V145" s="53"/>
      <c r="W145" s="54"/>
      <c r="X145" s="53"/>
      <c r="Y145" s="54"/>
      <c r="Z145" s="53"/>
      <c r="AA145" s="54"/>
      <c r="AB145" s="53"/>
      <c r="AC145" s="54"/>
      <c r="AD145" s="53"/>
      <c r="AE145" s="54"/>
      <c r="AF145" s="53"/>
      <c r="AG145" s="54"/>
      <c r="AH145" s="53"/>
      <c r="AI145" s="54"/>
      <c r="AJ145" s="53"/>
      <c r="AK145" s="54"/>
      <c r="AL145" s="53"/>
      <c r="AM145" s="54"/>
      <c r="AN145" s="53"/>
      <c r="AO145" s="54"/>
      <c r="AP145" s="53"/>
      <c r="AQ145" s="53"/>
      <c r="AR145" s="53"/>
      <c r="AS145" s="53"/>
      <c r="AT145" s="53"/>
      <c r="AU145" s="54"/>
      <c r="AV145" s="47"/>
      <c r="AW145" s="7"/>
      <c r="AX145" s="7"/>
    </row>
    <row r="146" spans="1:50" ht="20.100000000000001" customHeight="1" x14ac:dyDescent="0.25">
      <c r="A146" s="39" t="s">
        <v>134</v>
      </c>
      <c r="B146" s="40"/>
      <c r="C146" s="41"/>
      <c r="D146" s="40"/>
      <c r="E146" s="41"/>
      <c r="F146" s="40"/>
      <c r="G146" s="41"/>
      <c r="H146" s="40"/>
      <c r="I146" s="41"/>
      <c r="J146" s="40"/>
      <c r="K146" s="41"/>
      <c r="L146" s="40"/>
      <c r="M146" s="41"/>
      <c r="N146" s="40"/>
      <c r="O146" s="41"/>
      <c r="P146" s="40"/>
      <c r="Q146" s="41"/>
      <c r="R146" s="40"/>
      <c r="S146" s="41"/>
      <c r="T146" s="40"/>
      <c r="U146" s="41"/>
      <c r="V146" s="40"/>
      <c r="W146" s="41"/>
      <c r="X146" s="40"/>
      <c r="Y146" s="41"/>
      <c r="Z146" s="40"/>
      <c r="AA146" s="41"/>
      <c r="AB146" s="40"/>
      <c r="AC146" s="41"/>
      <c r="AD146" s="40"/>
      <c r="AE146" s="41"/>
      <c r="AF146" s="40"/>
      <c r="AG146" s="41"/>
      <c r="AH146" s="40"/>
      <c r="AI146" s="41"/>
      <c r="AJ146" s="40"/>
      <c r="AK146" s="41"/>
      <c r="AL146" s="40"/>
      <c r="AM146" s="41"/>
      <c r="AN146" s="40"/>
      <c r="AO146" s="41"/>
      <c r="AP146" s="40"/>
      <c r="AQ146" s="40"/>
      <c r="AR146" s="40"/>
      <c r="AS146" s="40"/>
      <c r="AT146" s="40"/>
      <c r="AU146" s="41"/>
      <c r="AV146" s="42"/>
      <c r="AW146" s="8"/>
      <c r="AX146" s="8"/>
    </row>
    <row r="147" spans="1:50" ht="18" customHeight="1" x14ac:dyDescent="0.25">
      <c r="A147" s="9">
        <v>1.791666666666667</v>
      </c>
      <c r="B147" s="17" t="s">
        <v>46</v>
      </c>
      <c r="C147" s="10" t="s">
        <v>56</v>
      </c>
      <c r="D147" s="1" t="s">
        <v>60</v>
      </c>
      <c r="E147" s="10" t="s">
        <v>33</v>
      </c>
      <c r="F147" s="11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>0</v>
      </c>
      <c r="G147" s="10" t="s">
        <v>35</v>
      </c>
      <c r="H147" s="11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>0</v>
      </c>
      <c r="I147" s="10" t="s">
        <v>35</v>
      </c>
      <c r="J147" s="11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>0</v>
      </c>
      <c r="K147" s="10" t="s">
        <v>50</v>
      </c>
      <c r="L147" s="11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>2</v>
      </c>
      <c r="M147" s="10" t="s">
        <v>57</v>
      </c>
      <c r="N147" s="11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>7</v>
      </c>
      <c r="O147" s="10" t="s">
        <v>57</v>
      </c>
      <c r="P147" s="11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>7</v>
      </c>
      <c r="Q147" s="10" t="s">
        <v>33</v>
      </c>
      <c r="R147" s="11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>0</v>
      </c>
      <c r="S147" s="10" t="s">
        <v>37</v>
      </c>
      <c r="T147" s="11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>5</v>
      </c>
      <c r="U147" s="10" t="s">
        <v>48</v>
      </c>
      <c r="V147" s="11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>7</v>
      </c>
      <c r="W147" s="10" t="s">
        <v>35</v>
      </c>
      <c r="X147" s="11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>0</v>
      </c>
      <c r="Y147" s="10" t="s">
        <v>50</v>
      </c>
      <c r="Z147" s="11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>2</v>
      </c>
      <c r="AA147" s="10" t="s">
        <v>57</v>
      </c>
      <c r="AB147" s="11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>7</v>
      </c>
      <c r="AC147" s="10" t="s">
        <v>56</v>
      </c>
      <c r="AD147" s="11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>10</v>
      </c>
      <c r="AE147" s="10" t="s">
        <v>48</v>
      </c>
      <c r="AF147" s="11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>7</v>
      </c>
      <c r="AG147" s="10" t="s">
        <v>37</v>
      </c>
      <c r="AH147" s="11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>5</v>
      </c>
      <c r="AI147" s="10" t="s">
        <v>37</v>
      </c>
      <c r="AJ147" s="11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>5</v>
      </c>
      <c r="AK147" s="10" t="s">
        <v>45</v>
      </c>
      <c r="AL147" s="11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>7</v>
      </c>
      <c r="AM147" s="10" t="s">
        <v>48</v>
      </c>
      <c r="AN147" s="11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>7</v>
      </c>
      <c r="AO147" s="10" t="s">
        <v>57</v>
      </c>
      <c r="AP147" s="11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>7</v>
      </c>
      <c r="AQ147" s="10" t="s">
        <v>37</v>
      </c>
      <c r="AR147" s="11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>5</v>
      </c>
      <c r="AS147" s="10" t="s">
        <v>50</v>
      </c>
      <c r="AT147" s="11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>2</v>
      </c>
      <c r="AU147" s="10" t="s">
        <v>49</v>
      </c>
      <c r="AV147" s="11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>0</v>
      </c>
      <c r="AW147" s="11">
        <f>IF($C147="","",IFERROR(--LEFT($C147,FIND("-",$C147)-1),""))</f>
        <v>0</v>
      </c>
      <c r="AX147" s="11">
        <f>IF($C147="","",IFERROR(--MID($C147,FIND("-",$C147)+1,99),""))</f>
        <v>3</v>
      </c>
    </row>
    <row r="148" spans="1:50" ht="18" customHeight="1" x14ac:dyDescent="0.25">
      <c r="A148" s="9">
        <v>1.958333333333333</v>
      </c>
      <c r="B148" s="17" t="s">
        <v>53</v>
      </c>
      <c r="C148" s="10" t="s">
        <v>45</v>
      </c>
      <c r="D148" s="1" t="s">
        <v>89</v>
      </c>
      <c r="E148" s="10" t="s">
        <v>57</v>
      </c>
      <c r="F148" s="11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>5</v>
      </c>
      <c r="G148" s="10" t="s">
        <v>37</v>
      </c>
      <c r="H148" s="11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>7</v>
      </c>
      <c r="I148" s="10" t="s">
        <v>56</v>
      </c>
      <c r="J148" s="11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>7</v>
      </c>
      <c r="K148" s="10" t="s">
        <v>50</v>
      </c>
      <c r="L148" s="11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>2</v>
      </c>
      <c r="M148" s="10" t="s">
        <v>57</v>
      </c>
      <c r="N148" s="11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>5</v>
      </c>
      <c r="O148" s="10" t="s">
        <v>56</v>
      </c>
      <c r="P148" s="11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>7</v>
      </c>
      <c r="Q148" s="10" t="s">
        <v>56</v>
      </c>
      <c r="R148" s="11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>7</v>
      </c>
      <c r="S148" s="10" t="s">
        <v>56</v>
      </c>
      <c r="T148" s="11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>7</v>
      </c>
      <c r="U148" s="10" t="s">
        <v>56</v>
      </c>
      <c r="V148" s="11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>7</v>
      </c>
      <c r="W148" s="10" t="s">
        <v>48</v>
      </c>
      <c r="X148" s="11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>7</v>
      </c>
      <c r="Y148" s="10" t="s">
        <v>50</v>
      </c>
      <c r="Z148" s="11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>2</v>
      </c>
      <c r="AA148" s="10" t="s">
        <v>48</v>
      </c>
      <c r="AB148" s="11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>7</v>
      </c>
      <c r="AC148" s="10" t="s">
        <v>57</v>
      </c>
      <c r="AD148" s="11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>5</v>
      </c>
      <c r="AE148" s="10" t="s">
        <v>56</v>
      </c>
      <c r="AF148" s="11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>7</v>
      </c>
      <c r="AG148" s="10" t="s">
        <v>48</v>
      </c>
      <c r="AH148" s="11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>7</v>
      </c>
      <c r="AI148" s="10" t="s">
        <v>44</v>
      </c>
      <c r="AJ148" s="11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>7</v>
      </c>
      <c r="AK148" s="10" t="s">
        <v>48</v>
      </c>
      <c r="AL148" s="11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>7</v>
      </c>
      <c r="AM148" s="10" t="s">
        <v>57</v>
      </c>
      <c r="AN148" s="11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>5</v>
      </c>
      <c r="AO148" s="10" t="s">
        <v>48</v>
      </c>
      <c r="AP148" s="11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>7</v>
      </c>
      <c r="AQ148" s="10" t="s">
        <v>56</v>
      </c>
      <c r="AR148" s="11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>7</v>
      </c>
      <c r="AS148" s="10" t="s">
        <v>48</v>
      </c>
      <c r="AT148" s="11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>7</v>
      </c>
      <c r="AU148" s="10" t="s">
        <v>121</v>
      </c>
      <c r="AV148" s="11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>5</v>
      </c>
      <c r="AW148" s="11">
        <f>IF($C148="","",IFERROR(--LEFT($C148,FIND("-",$C148)-1),""))</f>
        <v>0</v>
      </c>
      <c r="AX148" s="11">
        <f>IF($C148="","",IFERROR(--MID($C148,FIND("-",$C148)+1,99),""))</f>
        <v>1</v>
      </c>
    </row>
    <row r="149" spans="1:50" ht="18" customHeight="1" x14ac:dyDescent="0.25">
      <c r="A149" s="12"/>
      <c r="B149" s="17"/>
      <c r="C149" s="13"/>
      <c r="D149" s="1"/>
      <c r="E149" s="20"/>
      <c r="F149" s="12"/>
      <c r="G149" s="20"/>
      <c r="H149" s="12"/>
      <c r="I149" s="20"/>
      <c r="J149" s="12"/>
      <c r="K149" s="20"/>
      <c r="L149" s="12"/>
      <c r="M149" s="20"/>
      <c r="N149" s="12"/>
      <c r="O149" s="20"/>
      <c r="P149" s="12"/>
      <c r="Q149" s="20"/>
      <c r="R149" s="12"/>
      <c r="S149" s="20"/>
      <c r="T149" s="12"/>
      <c r="U149" s="13"/>
      <c r="V149" s="12"/>
      <c r="W149" s="20"/>
      <c r="X149" s="12"/>
      <c r="Y149" s="20"/>
      <c r="Z149" s="12"/>
      <c r="AA149" s="20"/>
      <c r="AB149" s="12"/>
      <c r="AC149" s="20"/>
      <c r="AD149" s="12"/>
      <c r="AE149" s="20"/>
      <c r="AF149" s="12"/>
      <c r="AG149" s="20"/>
      <c r="AH149" s="12"/>
      <c r="AI149" s="20"/>
      <c r="AJ149" s="12"/>
      <c r="AK149" s="20"/>
      <c r="AL149" s="12"/>
      <c r="AM149" s="20"/>
      <c r="AN149" s="12"/>
      <c r="AO149" s="20"/>
      <c r="AP149" s="12"/>
      <c r="AQ149" s="20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0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0"/>
      <c r="AV149" s="12"/>
      <c r="AW149" s="12"/>
      <c r="AX149" s="12"/>
    </row>
    <row r="150" spans="1:50" ht="20.100000000000001" customHeight="1" x14ac:dyDescent="0.25">
      <c r="A150" s="39" t="s">
        <v>136</v>
      </c>
      <c r="B150" s="40"/>
      <c r="C150" s="41"/>
      <c r="D150" s="40"/>
      <c r="E150" s="41"/>
      <c r="F150" s="40"/>
      <c r="G150" s="41"/>
      <c r="H150" s="40"/>
      <c r="I150" s="41"/>
      <c r="J150" s="40"/>
      <c r="K150" s="41"/>
      <c r="L150" s="40"/>
      <c r="M150" s="41"/>
      <c r="N150" s="40"/>
      <c r="O150" s="41"/>
      <c r="P150" s="40"/>
      <c r="Q150" s="41"/>
      <c r="R150" s="40"/>
      <c r="S150" s="41"/>
      <c r="T150" s="40"/>
      <c r="U150" s="41"/>
      <c r="V150" s="40"/>
      <c r="W150" s="41"/>
      <c r="X150" s="40"/>
      <c r="Y150" s="41"/>
      <c r="Z150" s="40"/>
      <c r="AA150" s="41"/>
      <c r="AB150" s="40"/>
      <c r="AC150" s="41"/>
      <c r="AD150" s="40"/>
      <c r="AE150" s="41"/>
      <c r="AF150" s="40"/>
      <c r="AG150" s="41"/>
      <c r="AH150" s="40"/>
      <c r="AI150" s="41"/>
      <c r="AJ150" s="40"/>
      <c r="AK150" s="41"/>
      <c r="AL150" s="40"/>
      <c r="AM150" s="41"/>
      <c r="AN150" s="40"/>
      <c r="AO150" s="41"/>
      <c r="AP150" s="40"/>
      <c r="AQ150" s="40"/>
      <c r="AR150" s="40"/>
      <c r="AS150" s="40"/>
      <c r="AT150" s="40"/>
      <c r="AU150" s="41"/>
      <c r="AV150" s="42"/>
      <c r="AW150" s="8"/>
      <c r="AX150" s="8"/>
    </row>
    <row r="151" spans="1:50" ht="18" customHeight="1" x14ac:dyDescent="0.25">
      <c r="A151" s="9">
        <v>1.916666666666667</v>
      </c>
      <c r="B151" s="17" t="s">
        <v>59</v>
      </c>
      <c r="C151" s="10" t="s">
        <v>37</v>
      </c>
      <c r="D151" s="1" t="s">
        <v>94</v>
      </c>
      <c r="E151" s="10" t="s">
        <v>34</v>
      </c>
      <c r="F151" s="11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>0</v>
      </c>
      <c r="G151" s="10" t="s">
        <v>37</v>
      </c>
      <c r="H151" s="11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>10</v>
      </c>
      <c r="I151" s="10" t="s">
        <v>36</v>
      </c>
      <c r="J151" s="11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>0</v>
      </c>
      <c r="K151" s="10" t="s">
        <v>50</v>
      </c>
      <c r="L151" s="11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>0</v>
      </c>
      <c r="M151" s="10" t="s">
        <v>37</v>
      </c>
      <c r="N151" s="11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>10</v>
      </c>
      <c r="O151" s="10" t="s">
        <v>33</v>
      </c>
      <c r="P151" s="11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>0</v>
      </c>
      <c r="Q151" s="10" t="s">
        <v>35</v>
      </c>
      <c r="R151" s="11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>2</v>
      </c>
      <c r="S151" s="10" t="s">
        <v>35</v>
      </c>
      <c r="T151" s="11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>2</v>
      </c>
      <c r="U151" s="10" t="s">
        <v>35</v>
      </c>
      <c r="V151" s="11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>2</v>
      </c>
      <c r="W151" s="10" t="s">
        <v>33</v>
      </c>
      <c r="X151" s="11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>0</v>
      </c>
      <c r="Y151" s="10" t="s">
        <v>50</v>
      </c>
      <c r="Z151" s="11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>0</v>
      </c>
      <c r="AA151" s="10" t="s">
        <v>37</v>
      </c>
      <c r="AB151" s="11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>10</v>
      </c>
      <c r="AC151" s="10" t="s">
        <v>37</v>
      </c>
      <c r="AD151" s="11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>10</v>
      </c>
      <c r="AE151" s="10" t="s">
        <v>49</v>
      </c>
      <c r="AF151" s="11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>2</v>
      </c>
      <c r="AG151" s="10" t="s">
        <v>33</v>
      </c>
      <c r="AH151" s="11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>0</v>
      </c>
      <c r="AI151" s="10" t="s">
        <v>36</v>
      </c>
      <c r="AJ151" s="11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>0</v>
      </c>
      <c r="AK151" s="10" t="s">
        <v>33</v>
      </c>
      <c r="AL151" s="11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>0</v>
      </c>
      <c r="AM151" s="10" t="s">
        <v>33</v>
      </c>
      <c r="AN151" s="11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>0</v>
      </c>
      <c r="AO151" s="10" t="s">
        <v>33</v>
      </c>
      <c r="AP151" s="11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>0</v>
      </c>
      <c r="AQ151" s="10" t="s">
        <v>36</v>
      </c>
      <c r="AR151" s="11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>0</v>
      </c>
      <c r="AS151" s="10" t="s">
        <v>35</v>
      </c>
      <c r="AT151" s="11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>2</v>
      </c>
      <c r="AU151" s="10" t="s">
        <v>34</v>
      </c>
      <c r="AV151" s="11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>0</v>
      </c>
      <c r="AW151" s="11">
        <f>IF($C151="","",IFERROR(--LEFT($C151,FIND("-",$C151)-1),""))</f>
        <v>1</v>
      </c>
      <c r="AX151" s="11">
        <f>IF($C151="","",IFERROR(--MID($C151,FIND("-",$C151)+1,99),""))</f>
        <v>2</v>
      </c>
    </row>
    <row r="152" spans="1:50" ht="18" customHeight="1" x14ac:dyDescent="0.25">
      <c r="A152" s="12"/>
      <c r="B152" s="17"/>
      <c r="C152" s="13"/>
      <c r="D152" s="1"/>
      <c r="E152" s="20"/>
      <c r="F152" s="12"/>
      <c r="G152" s="20"/>
      <c r="H152" s="12"/>
      <c r="I152" s="20"/>
      <c r="J152" s="12"/>
      <c r="K152" s="20"/>
      <c r="L152" s="12"/>
      <c r="M152" s="20"/>
      <c r="N152" s="12"/>
      <c r="O152" s="20"/>
      <c r="P152" s="12"/>
      <c r="Q152" s="20"/>
      <c r="R152" s="12"/>
      <c r="S152" s="20"/>
      <c r="T152" s="12"/>
      <c r="U152" s="13"/>
      <c r="V152" s="12"/>
      <c r="W152" s="20"/>
      <c r="X152" s="12"/>
      <c r="Y152" s="20"/>
      <c r="Z152" s="12"/>
      <c r="AA152" s="20"/>
      <c r="AB152" s="12"/>
      <c r="AC152" s="20"/>
      <c r="AD152" s="12"/>
      <c r="AE152" s="20"/>
      <c r="AF152" s="12"/>
      <c r="AG152" s="20"/>
      <c r="AH152" s="12"/>
      <c r="AI152" s="20"/>
      <c r="AJ152" s="12"/>
      <c r="AK152" s="20"/>
      <c r="AL152" s="12"/>
      <c r="AM152" s="20"/>
      <c r="AN152" s="12"/>
      <c r="AO152" s="20"/>
      <c r="AP152" s="12"/>
      <c r="AQ152" s="20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0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0"/>
      <c r="AV152" s="12"/>
      <c r="AW152" s="12"/>
      <c r="AX152" s="12"/>
    </row>
    <row r="153" spans="1:50" ht="20.100000000000001" customHeight="1" x14ac:dyDescent="0.25">
      <c r="A153" s="39" t="s">
        <v>137</v>
      </c>
      <c r="B153" s="40"/>
      <c r="C153" s="41"/>
      <c r="D153" s="40"/>
      <c r="E153" s="41"/>
      <c r="F153" s="40"/>
      <c r="G153" s="41"/>
      <c r="H153" s="40"/>
      <c r="I153" s="41"/>
      <c r="J153" s="40"/>
      <c r="K153" s="41"/>
      <c r="L153" s="40"/>
      <c r="M153" s="41"/>
      <c r="N153" s="40"/>
      <c r="O153" s="41"/>
      <c r="P153" s="40"/>
      <c r="Q153" s="41"/>
      <c r="R153" s="40"/>
      <c r="S153" s="41"/>
      <c r="T153" s="40"/>
      <c r="U153" s="41"/>
      <c r="V153" s="40"/>
      <c r="W153" s="41"/>
      <c r="X153" s="40"/>
      <c r="Y153" s="41"/>
      <c r="Z153" s="40"/>
      <c r="AA153" s="41"/>
      <c r="AB153" s="40"/>
      <c r="AC153" s="41"/>
      <c r="AD153" s="40"/>
      <c r="AE153" s="41"/>
      <c r="AF153" s="40"/>
      <c r="AG153" s="41"/>
      <c r="AH153" s="40"/>
      <c r="AI153" s="41"/>
      <c r="AJ153" s="40"/>
      <c r="AK153" s="41"/>
      <c r="AL153" s="40"/>
      <c r="AM153" s="41"/>
      <c r="AN153" s="40"/>
      <c r="AO153" s="41"/>
      <c r="AP153" s="40"/>
      <c r="AQ153" s="40"/>
      <c r="AR153" s="40"/>
      <c r="AS153" s="40"/>
      <c r="AT153" s="40"/>
      <c r="AU153" s="41"/>
      <c r="AV153" s="42"/>
      <c r="AW153" s="8"/>
      <c r="AX153" s="8"/>
    </row>
    <row r="154" spans="1:50" ht="18" customHeight="1" x14ac:dyDescent="0.25">
      <c r="A154" s="9">
        <v>1.083333333333333</v>
      </c>
      <c r="B154" s="17" t="s">
        <v>31</v>
      </c>
      <c r="C154" s="10" t="s">
        <v>44</v>
      </c>
      <c r="D154" s="1" t="s">
        <v>101</v>
      </c>
      <c r="E154" s="10" t="s">
        <v>35</v>
      </c>
      <c r="F154" s="11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>0</v>
      </c>
      <c r="G154" s="10" t="s">
        <v>45</v>
      </c>
      <c r="H154" s="11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>7</v>
      </c>
      <c r="I154" s="10" t="s">
        <v>37</v>
      </c>
      <c r="J154" s="11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>7</v>
      </c>
      <c r="K154" s="10" t="s">
        <v>50</v>
      </c>
      <c r="L154" s="11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>0</v>
      </c>
      <c r="M154" s="10" t="s">
        <v>48</v>
      </c>
      <c r="N154" s="11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>5</v>
      </c>
      <c r="O154" s="10" t="s">
        <v>35</v>
      </c>
      <c r="P154" s="11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>0</v>
      </c>
      <c r="Q154" s="10" t="s">
        <v>44</v>
      </c>
      <c r="R154" s="11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>10</v>
      </c>
      <c r="S154" s="10" t="s">
        <v>35</v>
      </c>
      <c r="T154" s="11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>0</v>
      </c>
      <c r="U154" s="10" t="s">
        <v>45</v>
      </c>
      <c r="V154" s="11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>7</v>
      </c>
      <c r="W154" s="10" t="s">
        <v>35</v>
      </c>
      <c r="X154" s="11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>0</v>
      </c>
      <c r="Y154" s="10" t="s">
        <v>50</v>
      </c>
      <c r="Z154" s="11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>0</v>
      </c>
      <c r="AA154" s="10" t="s">
        <v>35</v>
      </c>
      <c r="AB154" s="11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>0</v>
      </c>
      <c r="AC154" s="10" t="s">
        <v>49</v>
      </c>
      <c r="AD154" s="11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>2</v>
      </c>
      <c r="AE154" s="10" t="s">
        <v>37</v>
      </c>
      <c r="AF154" s="11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>7</v>
      </c>
      <c r="AG154" s="10" t="s">
        <v>39</v>
      </c>
      <c r="AH154" s="11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>0</v>
      </c>
      <c r="AI154" s="10" t="s">
        <v>35</v>
      </c>
      <c r="AJ154" s="11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>0</v>
      </c>
      <c r="AK154" s="10" t="s">
        <v>45</v>
      </c>
      <c r="AL154" s="11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>7</v>
      </c>
      <c r="AM154" s="10" t="s">
        <v>49</v>
      </c>
      <c r="AN154" s="11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>2</v>
      </c>
      <c r="AO154" s="10" t="s">
        <v>35</v>
      </c>
      <c r="AP154" s="11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>0</v>
      </c>
      <c r="AQ154" s="10" t="s">
        <v>57</v>
      </c>
      <c r="AR154" s="11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>7</v>
      </c>
      <c r="AS154" s="10" t="s">
        <v>35</v>
      </c>
      <c r="AT154" s="11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>0</v>
      </c>
      <c r="AU154" s="10" t="s">
        <v>48</v>
      </c>
      <c r="AV154" s="11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>5</v>
      </c>
      <c r="AW154" s="11">
        <f>IF($C154="","",IFERROR(--LEFT($C154,FIND("-",$C154)-1),""))</f>
        <v>2</v>
      </c>
      <c r="AX154" s="11">
        <f>IF($C154="","",IFERROR(--MID($C154,FIND("-",$C154)+1,99),""))</f>
        <v>3</v>
      </c>
    </row>
    <row r="155" spans="1:50" ht="18" customHeight="1" x14ac:dyDescent="0.25">
      <c r="A155" s="9">
        <v>1.875</v>
      </c>
      <c r="B155" s="17" t="s">
        <v>99</v>
      </c>
      <c r="C155" s="10" t="s">
        <v>45</v>
      </c>
      <c r="D155" s="1" t="s">
        <v>80</v>
      </c>
      <c r="E155" s="10" t="s">
        <v>37</v>
      </c>
      <c r="F155" s="11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>7</v>
      </c>
      <c r="G155" s="10" t="s">
        <v>45</v>
      </c>
      <c r="H155" s="11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>10</v>
      </c>
      <c r="I155" s="10" t="s">
        <v>35</v>
      </c>
      <c r="J155" s="11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>2</v>
      </c>
      <c r="K155" s="10" t="s">
        <v>57</v>
      </c>
      <c r="L155" s="11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>5</v>
      </c>
      <c r="M155" s="10" t="s">
        <v>49</v>
      </c>
      <c r="N155" s="11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>0</v>
      </c>
      <c r="O155" s="10" t="s">
        <v>37</v>
      </c>
      <c r="P155" s="11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>7</v>
      </c>
      <c r="Q155" s="10" t="s">
        <v>49</v>
      </c>
      <c r="R155" s="11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>0</v>
      </c>
      <c r="S155" s="10" t="s">
        <v>37</v>
      </c>
      <c r="T155" s="11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>7</v>
      </c>
      <c r="U155" s="10" t="s">
        <v>57</v>
      </c>
      <c r="V155" s="11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>5</v>
      </c>
      <c r="W155" s="10" t="s">
        <v>37</v>
      </c>
      <c r="X155" s="11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>7</v>
      </c>
      <c r="Y155" s="10" t="s">
        <v>50</v>
      </c>
      <c r="Z155" s="11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>2</v>
      </c>
      <c r="AA155" s="10" t="s">
        <v>33</v>
      </c>
      <c r="AB155" s="11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>2</v>
      </c>
      <c r="AC155" s="10" t="s">
        <v>44</v>
      </c>
      <c r="AD155" s="11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>7</v>
      </c>
      <c r="AE155" s="10" t="s">
        <v>44</v>
      </c>
      <c r="AF155" s="11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>7</v>
      </c>
      <c r="AG155" s="10" t="s">
        <v>37</v>
      </c>
      <c r="AH155" s="11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>7</v>
      </c>
      <c r="AI155" s="10" t="s">
        <v>37</v>
      </c>
      <c r="AJ155" s="11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>7</v>
      </c>
      <c r="AK155" s="10" t="s">
        <v>37</v>
      </c>
      <c r="AL155" s="11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>7</v>
      </c>
      <c r="AM155" s="10" t="s">
        <v>37</v>
      </c>
      <c r="AN155" s="11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>7</v>
      </c>
      <c r="AO155" s="10" t="s">
        <v>48</v>
      </c>
      <c r="AP155" s="11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>7</v>
      </c>
      <c r="AQ155" s="10" t="s">
        <v>37</v>
      </c>
      <c r="AR155" s="11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>7</v>
      </c>
      <c r="AS155" s="10" t="s">
        <v>39</v>
      </c>
      <c r="AT155" s="11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>0</v>
      </c>
      <c r="AU155" s="10" t="s">
        <v>33</v>
      </c>
      <c r="AV155" s="11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>2</v>
      </c>
      <c r="AW155" s="11">
        <f>IF($C155="","",IFERROR(--LEFT($C155,FIND("-",$C155)-1),""))</f>
        <v>0</v>
      </c>
      <c r="AX155" s="11">
        <f>IF($C155="","",IFERROR(--MID($C155,FIND("-",$C155)+1,99),""))</f>
        <v>1</v>
      </c>
    </row>
    <row r="156" spans="1:50" ht="18" customHeight="1" x14ac:dyDescent="0.25">
      <c r="A156" s="12"/>
      <c r="B156" s="17"/>
      <c r="C156" s="13"/>
      <c r="D156" s="1"/>
      <c r="E156" s="20"/>
      <c r="F156" s="12"/>
      <c r="G156" s="20"/>
      <c r="H156" s="12"/>
      <c r="I156" s="20"/>
      <c r="J156" s="12"/>
      <c r="K156" s="20"/>
      <c r="L156" s="12"/>
      <c r="M156" s="20"/>
      <c r="N156" s="12"/>
      <c r="O156" s="20"/>
      <c r="P156" s="12"/>
      <c r="Q156" s="20"/>
      <c r="R156" s="12"/>
      <c r="S156" s="20"/>
      <c r="T156" s="12"/>
      <c r="U156" s="13"/>
      <c r="V156" s="12"/>
      <c r="W156" s="20"/>
      <c r="X156" s="12"/>
      <c r="Y156" s="20"/>
      <c r="Z156" s="12"/>
      <c r="AA156" s="20"/>
      <c r="AB156" s="12"/>
      <c r="AC156" s="20"/>
      <c r="AD156" s="12"/>
      <c r="AE156" s="20"/>
      <c r="AF156" s="12"/>
      <c r="AG156" s="20"/>
      <c r="AH156" s="12"/>
      <c r="AI156" s="20"/>
      <c r="AJ156" s="12"/>
      <c r="AK156" s="20"/>
      <c r="AL156" s="12"/>
      <c r="AM156" s="20"/>
      <c r="AN156" s="12"/>
      <c r="AO156" s="20"/>
      <c r="AP156" s="12"/>
      <c r="AQ156" s="20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0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0"/>
      <c r="AV156" s="12"/>
      <c r="AW156" s="12"/>
      <c r="AX156" s="12"/>
    </row>
    <row r="157" spans="1:50" ht="20.100000000000001" customHeight="1" x14ac:dyDescent="0.25">
      <c r="A157" s="39" t="s">
        <v>138</v>
      </c>
      <c r="B157" s="40"/>
      <c r="C157" s="41"/>
      <c r="D157" s="40"/>
      <c r="E157" s="41"/>
      <c r="F157" s="40"/>
      <c r="G157" s="41"/>
      <c r="H157" s="40"/>
      <c r="I157" s="41"/>
      <c r="J157" s="40"/>
      <c r="K157" s="41"/>
      <c r="L157" s="40"/>
      <c r="M157" s="41"/>
      <c r="N157" s="40"/>
      <c r="O157" s="41"/>
      <c r="P157" s="40"/>
      <c r="Q157" s="41"/>
      <c r="R157" s="40"/>
      <c r="S157" s="41"/>
      <c r="T157" s="40"/>
      <c r="U157" s="41"/>
      <c r="V157" s="40"/>
      <c r="W157" s="41"/>
      <c r="X157" s="40"/>
      <c r="Y157" s="41"/>
      <c r="Z157" s="40"/>
      <c r="AA157" s="41"/>
      <c r="AB157" s="40"/>
      <c r="AC157" s="41"/>
      <c r="AD157" s="40"/>
      <c r="AE157" s="41"/>
      <c r="AF157" s="40"/>
      <c r="AG157" s="41"/>
      <c r="AH157" s="40"/>
      <c r="AI157" s="41"/>
      <c r="AJ157" s="40"/>
      <c r="AK157" s="41"/>
      <c r="AL157" s="40"/>
      <c r="AM157" s="41"/>
      <c r="AN157" s="40"/>
      <c r="AO157" s="41"/>
      <c r="AP157" s="40"/>
      <c r="AQ157" s="40"/>
      <c r="AR157" s="40"/>
      <c r="AS157" s="40"/>
      <c r="AT157" s="40"/>
      <c r="AU157" s="41"/>
      <c r="AV157" s="42"/>
      <c r="AW157" s="8"/>
      <c r="AX157" s="8"/>
    </row>
    <row r="158" spans="1:50" ht="18" customHeight="1" x14ac:dyDescent="0.25">
      <c r="A158" s="9">
        <v>1.083333333333333</v>
      </c>
      <c r="B158" s="17" t="s">
        <v>52</v>
      </c>
      <c r="C158" s="10" t="s">
        <v>115</v>
      </c>
      <c r="D158" s="1" t="s">
        <v>82</v>
      </c>
      <c r="E158" s="10" t="s">
        <v>35</v>
      </c>
      <c r="F158" s="11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>2</v>
      </c>
      <c r="G158" s="10" t="s">
        <v>50</v>
      </c>
      <c r="H158" s="11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>0</v>
      </c>
      <c r="I158" s="10" t="s">
        <v>37</v>
      </c>
      <c r="J158" s="11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>7</v>
      </c>
      <c r="K158" s="10" t="s">
        <v>37</v>
      </c>
      <c r="L158" s="11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>7</v>
      </c>
      <c r="M158" s="10" t="s">
        <v>56</v>
      </c>
      <c r="N158" s="11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>7</v>
      </c>
      <c r="O158" s="10" t="s">
        <v>36</v>
      </c>
      <c r="P158" s="11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>0</v>
      </c>
      <c r="Q158" s="10" t="s">
        <v>35</v>
      </c>
      <c r="R158" s="11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>2</v>
      </c>
      <c r="S158" s="10" t="s">
        <v>33</v>
      </c>
      <c r="T158" s="11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>0</v>
      </c>
      <c r="U158" s="10" t="s">
        <v>49</v>
      </c>
      <c r="V158" s="11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>0</v>
      </c>
      <c r="W158" s="10" t="s">
        <v>35</v>
      </c>
      <c r="X158" s="11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>2</v>
      </c>
      <c r="Y158" s="10" t="s">
        <v>50</v>
      </c>
      <c r="Z158" s="11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>0</v>
      </c>
      <c r="AA158" s="10" t="s">
        <v>49</v>
      </c>
      <c r="AB158" s="11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>0</v>
      </c>
      <c r="AC158" s="10" t="s">
        <v>37</v>
      </c>
      <c r="AD158" s="11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>7</v>
      </c>
      <c r="AE158" s="10" t="s">
        <v>49</v>
      </c>
      <c r="AF158" s="11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>0</v>
      </c>
      <c r="AG158" s="10" t="s">
        <v>35</v>
      </c>
      <c r="AH158" s="11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>2</v>
      </c>
      <c r="AI158" s="10" t="s">
        <v>35</v>
      </c>
      <c r="AJ158" s="11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>2</v>
      </c>
      <c r="AK158" s="10" t="s">
        <v>35</v>
      </c>
      <c r="AL158" s="11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>2</v>
      </c>
      <c r="AM158" s="10" t="s">
        <v>33</v>
      </c>
      <c r="AN158" s="11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>0</v>
      </c>
      <c r="AO158" s="10" t="s">
        <v>39</v>
      </c>
      <c r="AP158" s="11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>2</v>
      </c>
      <c r="AQ158" s="10" t="s">
        <v>57</v>
      </c>
      <c r="AR158" s="11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>7</v>
      </c>
      <c r="AS158" s="10" t="s">
        <v>45</v>
      </c>
      <c r="AT158" s="11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>5</v>
      </c>
      <c r="AU158" s="10" t="s">
        <v>48</v>
      </c>
      <c r="AV158" s="11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>5</v>
      </c>
      <c r="AW158" s="11">
        <f>IF($C158="","",IFERROR(--LEFT($C158,FIND("-",$C158)-1),""))</f>
        <v>1</v>
      </c>
      <c r="AX158" s="11">
        <f>IF($C158="","",IFERROR(--MID($C158,FIND("-",$C158)+1,99),""))</f>
        <v>4</v>
      </c>
    </row>
    <row r="159" spans="1:50" ht="18" customHeight="1" x14ac:dyDescent="0.25">
      <c r="A159" s="9">
        <v>1.75</v>
      </c>
      <c r="B159" s="17" t="s">
        <v>95</v>
      </c>
      <c r="C159" s="10" t="s">
        <v>61</v>
      </c>
      <c r="D159" s="1" t="s">
        <v>83</v>
      </c>
      <c r="E159" s="10" t="s">
        <v>36</v>
      </c>
      <c r="F159" s="11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>5</v>
      </c>
      <c r="G159" s="10" t="s">
        <v>36</v>
      </c>
      <c r="H159" s="11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>5</v>
      </c>
      <c r="I159" s="10" t="s">
        <v>39</v>
      </c>
      <c r="J159" s="11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>7</v>
      </c>
      <c r="K159" s="10" t="s">
        <v>38</v>
      </c>
      <c r="L159" s="11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>7</v>
      </c>
      <c r="M159" s="10" t="s">
        <v>37</v>
      </c>
      <c r="N159" s="11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>2</v>
      </c>
      <c r="O159" s="10" t="s">
        <v>34</v>
      </c>
      <c r="P159" s="11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>7</v>
      </c>
      <c r="Q159" s="10" t="s">
        <v>37</v>
      </c>
      <c r="R159" s="11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>2</v>
      </c>
      <c r="S159" s="10" t="s">
        <v>33</v>
      </c>
      <c r="T159" s="11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>7</v>
      </c>
      <c r="U159" s="10" t="s">
        <v>36</v>
      </c>
      <c r="V159" s="11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>5</v>
      </c>
      <c r="W159" s="10" t="s">
        <v>33</v>
      </c>
      <c r="X159" s="11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>7</v>
      </c>
      <c r="Y159" s="10" t="s">
        <v>50</v>
      </c>
      <c r="Z159" s="11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>0</v>
      </c>
      <c r="AA159" s="10" t="s">
        <v>38</v>
      </c>
      <c r="AB159" s="11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>7</v>
      </c>
      <c r="AC159" s="10" t="s">
        <v>50</v>
      </c>
      <c r="AD159" s="11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>0</v>
      </c>
      <c r="AE159" s="10" t="s">
        <v>36</v>
      </c>
      <c r="AF159" s="11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>5</v>
      </c>
      <c r="AG159" s="10" t="s">
        <v>36</v>
      </c>
      <c r="AH159" s="11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>5</v>
      </c>
      <c r="AI159" s="10" t="s">
        <v>36</v>
      </c>
      <c r="AJ159" s="11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>5</v>
      </c>
      <c r="AK159" s="10" t="s">
        <v>39</v>
      </c>
      <c r="AL159" s="11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>7</v>
      </c>
      <c r="AM159" s="10" t="s">
        <v>36</v>
      </c>
      <c r="AN159" s="11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>5</v>
      </c>
      <c r="AO159" s="10" t="s">
        <v>36</v>
      </c>
      <c r="AP159" s="11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>5</v>
      </c>
      <c r="AQ159" s="10" t="s">
        <v>33</v>
      </c>
      <c r="AR159" s="11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>7</v>
      </c>
      <c r="AS159" s="10" t="s">
        <v>35</v>
      </c>
      <c r="AT159" s="11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>0</v>
      </c>
      <c r="AU159" s="10" t="s">
        <v>33</v>
      </c>
      <c r="AV159" s="11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>7</v>
      </c>
      <c r="AW159" s="11">
        <f>IF($C159="","",IFERROR(--LEFT($C159,FIND("-",$C159)-1),""))</f>
        <v>3</v>
      </c>
      <c r="AX159" s="11">
        <f>IF($C159="","",IFERROR(--MID($C159,FIND("-",$C159)+1,99),""))</f>
        <v>2</v>
      </c>
    </row>
    <row r="160" spans="1:50" ht="18" customHeight="1" x14ac:dyDescent="0.25">
      <c r="A160" s="9">
        <v>1.916666666666667</v>
      </c>
      <c r="B160" s="17" t="s">
        <v>267</v>
      </c>
      <c r="C160" s="10" t="s">
        <v>50</v>
      </c>
      <c r="D160" s="1" t="s">
        <v>108</v>
      </c>
      <c r="E160" s="10" t="s">
        <v>37</v>
      </c>
      <c r="F160" s="11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>0</v>
      </c>
      <c r="G160" s="10" t="s">
        <v>36</v>
      </c>
      <c r="H160" s="11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>2</v>
      </c>
      <c r="I160" s="10" t="s">
        <v>35</v>
      </c>
      <c r="J160" s="11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>7</v>
      </c>
      <c r="K160" s="10" t="s">
        <v>57</v>
      </c>
      <c r="L160" s="11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>0</v>
      </c>
      <c r="M160" s="10" t="s">
        <v>33</v>
      </c>
      <c r="N160" s="11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>0</v>
      </c>
      <c r="O160" s="10" t="s">
        <v>35</v>
      </c>
      <c r="P160" s="11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>7</v>
      </c>
      <c r="Q160" s="10" t="s">
        <v>49</v>
      </c>
      <c r="R160" s="11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>7</v>
      </c>
      <c r="S160" s="10" t="s">
        <v>45</v>
      </c>
      <c r="T160" s="11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>2</v>
      </c>
      <c r="U160" s="10" t="s">
        <v>37</v>
      </c>
      <c r="V160" s="11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>0</v>
      </c>
      <c r="W160" s="10" t="s">
        <v>35</v>
      </c>
      <c r="X160" s="11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>7</v>
      </c>
      <c r="Y160" s="10" t="s">
        <v>50</v>
      </c>
      <c r="Z160" s="11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>10</v>
      </c>
      <c r="AA160" s="10" t="s">
        <v>35</v>
      </c>
      <c r="AB160" s="11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>7</v>
      </c>
      <c r="AC160" s="10" t="s">
        <v>50</v>
      </c>
      <c r="AD160" s="11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>10</v>
      </c>
      <c r="AE160" s="10" t="s">
        <v>35</v>
      </c>
      <c r="AF160" s="11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>7</v>
      </c>
      <c r="AG160" s="10" t="s">
        <v>37</v>
      </c>
      <c r="AH160" s="11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>0</v>
      </c>
      <c r="AI160" s="10" t="s">
        <v>50</v>
      </c>
      <c r="AJ160" s="11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>10</v>
      </c>
      <c r="AK160" s="10" t="s">
        <v>35</v>
      </c>
      <c r="AL160" s="11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>7</v>
      </c>
      <c r="AM160" s="10" t="s">
        <v>35</v>
      </c>
      <c r="AN160" s="11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>7</v>
      </c>
      <c r="AO160" s="10" t="s">
        <v>35</v>
      </c>
      <c r="AP160" s="11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>7</v>
      </c>
      <c r="AQ160" s="10" t="s">
        <v>39</v>
      </c>
      <c r="AR160" s="11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>2</v>
      </c>
      <c r="AS160" s="10" t="s">
        <v>39</v>
      </c>
      <c r="AT160" s="11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>2</v>
      </c>
      <c r="AU160" s="10" t="s">
        <v>37</v>
      </c>
      <c r="AV160" s="11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>0</v>
      </c>
      <c r="AW160" s="11">
        <f>IF($C160="","",IFERROR(--LEFT($C160,FIND("-",$C160)-1),""))</f>
        <v>0</v>
      </c>
      <c r="AX160" s="11">
        <f>IF($C160="","",IFERROR(--MID($C160,FIND("-",$C160)+1,99),""))</f>
        <v>0</v>
      </c>
    </row>
    <row r="161" spans="1:50" ht="18" customHeight="1" x14ac:dyDescent="0.25">
      <c r="A161" s="12"/>
      <c r="B161" s="17"/>
      <c r="C161" s="13"/>
      <c r="D161" s="1"/>
      <c r="E161" s="20"/>
      <c r="F161" s="12"/>
      <c r="G161" s="20"/>
      <c r="H161" s="12"/>
      <c r="I161" s="20"/>
      <c r="J161" s="12"/>
      <c r="K161" s="20"/>
      <c r="L161" s="12"/>
      <c r="M161" s="20"/>
      <c r="N161" s="12"/>
      <c r="O161" s="20"/>
      <c r="P161" s="12"/>
      <c r="Q161" s="20"/>
      <c r="R161" s="12"/>
      <c r="S161" s="20"/>
      <c r="T161" s="12"/>
      <c r="U161" s="13"/>
      <c r="V161" s="12"/>
      <c r="W161" s="20"/>
      <c r="X161" s="12"/>
      <c r="Y161" s="20"/>
      <c r="Z161" s="12"/>
      <c r="AA161" s="20"/>
      <c r="AB161" s="12"/>
      <c r="AC161" s="20"/>
      <c r="AD161" s="12"/>
      <c r="AE161" s="20"/>
      <c r="AF161" s="12"/>
      <c r="AG161" s="20"/>
      <c r="AH161" s="12"/>
      <c r="AI161" s="20"/>
      <c r="AJ161" s="12"/>
      <c r="AK161" s="20"/>
      <c r="AL161" s="12"/>
      <c r="AM161" s="20"/>
      <c r="AN161" s="12"/>
      <c r="AO161" s="20"/>
      <c r="AP161" s="12"/>
      <c r="AQ161" s="20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0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0"/>
      <c r="AV161" s="12"/>
      <c r="AW161" s="12"/>
      <c r="AX161" s="12"/>
    </row>
    <row r="162" spans="1:50" ht="18" customHeight="1" x14ac:dyDescent="0.25">
      <c r="A162" s="12"/>
      <c r="B162" s="17"/>
      <c r="C162" s="13"/>
      <c r="D162" s="1"/>
      <c r="E162" s="20"/>
      <c r="F162" s="12"/>
      <c r="G162" s="20"/>
      <c r="H162" s="12"/>
      <c r="I162" s="20"/>
      <c r="J162" s="12"/>
      <c r="K162" s="20"/>
      <c r="L162" s="12"/>
      <c r="M162" s="20"/>
      <c r="N162" s="12"/>
      <c r="O162" s="20"/>
      <c r="P162" s="12"/>
      <c r="Q162" s="20"/>
      <c r="R162" s="12"/>
      <c r="S162" s="20"/>
      <c r="T162" s="12"/>
      <c r="U162" s="13"/>
      <c r="V162" s="12"/>
      <c r="W162" s="20"/>
      <c r="X162" s="12"/>
      <c r="Y162" s="20"/>
      <c r="Z162" s="12"/>
      <c r="AA162" s="20"/>
      <c r="AB162" s="12"/>
      <c r="AC162" s="20"/>
      <c r="AD162" s="12"/>
      <c r="AE162" s="20"/>
      <c r="AF162" s="12"/>
      <c r="AG162" s="20"/>
      <c r="AH162" s="12"/>
      <c r="AI162" s="20"/>
      <c r="AJ162" s="12"/>
      <c r="AK162" s="20"/>
      <c r="AL162" s="12"/>
      <c r="AM162" s="20"/>
      <c r="AN162" s="12"/>
      <c r="AO162" s="20"/>
      <c r="AP162" s="12"/>
      <c r="AQ162" s="20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0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0"/>
      <c r="AV162" s="12"/>
      <c r="AW162" s="12"/>
      <c r="AX162" s="12"/>
    </row>
    <row r="163" spans="1:50" ht="20.100000000000001" customHeight="1" x14ac:dyDescent="0.25">
      <c r="A163" s="48" t="s">
        <v>139</v>
      </c>
      <c r="B163" s="53"/>
      <c r="C163" s="54"/>
      <c r="D163" s="53"/>
      <c r="E163" s="54"/>
      <c r="F163" s="53"/>
      <c r="G163" s="54"/>
      <c r="H163" s="53"/>
      <c r="I163" s="54"/>
      <c r="J163" s="53"/>
      <c r="K163" s="54"/>
      <c r="L163" s="53"/>
      <c r="M163" s="54"/>
      <c r="N163" s="53"/>
      <c r="O163" s="54"/>
      <c r="P163" s="53"/>
      <c r="Q163" s="54"/>
      <c r="R163" s="53"/>
      <c r="S163" s="54"/>
      <c r="T163" s="53"/>
      <c r="U163" s="54"/>
      <c r="V163" s="53"/>
      <c r="W163" s="54"/>
      <c r="X163" s="53"/>
      <c r="Y163" s="54"/>
      <c r="Z163" s="53"/>
      <c r="AA163" s="54"/>
      <c r="AB163" s="53"/>
      <c r="AC163" s="54"/>
      <c r="AD163" s="53"/>
      <c r="AE163" s="54"/>
      <c r="AF163" s="53"/>
      <c r="AG163" s="54"/>
      <c r="AH163" s="53"/>
      <c r="AI163" s="54"/>
      <c r="AJ163" s="53"/>
      <c r="AK163" s="54"/>
      <c r="AL163" s="53"/>
      <c r="AM163" s="54"/>
      <c r="AN163" s="53"/>
      <c r="AO163" s="54"/>
      <c r="AP163" s="53"/>
      <c r="AQ163" s="53"/>
      <c r="AR163" s="53"/>
      <c r="AS163" s="53"/>
      <c r="AT163" s="53"/>
      <c r="AU163" s="54"/>
      <c r="AV163" s="47"/>
      <c r="AW163" s="7"/>
      <c r="AX163" s="7"/>
    </row>
    <row r="164" spans="1:50" ht="20.100000000000001" customHeight="1" x14ac:dyDescent="0.25">
      <c r="A164" s="39" t="s">
        <v>140</v>
      </c>
      <c r="B164" s="40"/>
      <c r="C164" s="41"/>
      <c r="D164" s="40"/>
      <c r="E164" s="41"/>
      <c r="F164" s="40"/>
      <c r="G164" s="41"/>
      <c r="H164" s="40"/>
      <c r="I164" s="41"/>
      <c r="J164" s="40"/>
      <c r="K164" s="41"/>
      <c r="L164" s="40"/>
      <c r="M164" s="41"/>
      <c r="N164" s="40"/>
      <c r="O164" s="41"/>
      <c r="P164" s="40"/>
      <c r="Q164" s="41"/>
      <c r="R164" s="40"/>
      <c r="S164" s="41"/>
      <c r="T164" s="40"/>
      <c r="U164" s="41"/>
      <c r="V164" s="40"/>
      <c r="W164" s="41"/>
      <c r="X164" s="40"/>
      <c r="Y164" s="41"/>
      <c r="Z164" s="40"/>
      <c r="AA164" s="41"/>
      <c r="AB164" s="40"/>
      <c r="AC164" s="41"/>
      <c r="AD164" s="40"/>
      <c r="AE164" s="41"/>
      <c r="AF164" s="40"/>
      <c r="AG164" s="41"/>
      <c r="AH164" s="40"/>
      <c r="AI164" s="41"/>
      <c r="AJ164" s="40"/>
      <c r="AK164" s="41"/>
      <c r="AL164" s="40"/>
      <c r="AM164" s="41"/>
      <c r="AN164" s="40"/>
      <c r="AO164" s="41"/>
      <c r="AP164" s="40"/>
      <c r="AQ164" s="40"/>
      <c r="AR164" s="40"/>
      <c r="AS164" s="40"/>
      <c r="AT164" s="40"/>
      <c r="AU164" s="41"/>
      <c r="AV164" s="42"/>
      <c r="AW164" s="8"/>
      <c r="AX164" s="8"/>
    </row>
    <row r="165" spans="1:50" ht="18" customHeight="1" x14ac:dyDescent="0.25">
      <c r="A165" s="9">
        <v>1.916666666666667</v>
      </c>
      <c r="B165" s="17" t="s">
        <v>89</v>
      </c>
      <c r="C165" s="10" t="s">
        <v>36</v>
      </c>
      <c r="D165" s="1" t="s">
        <v>60</v>
      </c>
      <c r="E165" s="10" t="s">
        <v>33</v>
      </c>
      <c r="F165" s="11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>7</v>
      </c>
      <c r="G165" s="10" t="s">
        <v>61</v>
      </c>
      <c r="H165" s="11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>5</v>
      </c>
      <c r="I165" s="10" t="s">
        <v>34</v>
      </c>
      <c r="J165" s="11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>7</v>
      </c>
      <c r="K165" s="10" t="s">
        <v>43</v>
      </c>
      <c r="L165" s="11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>5</v>
      </c>
      <c r="M165" s="10" t="s">
        <v>44</v>
      </c>
      <c r="N165" s="11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>2</v>
      </c>
      <c r="O165" s="10" t="s">
        <v>33</v>
      </c>
      <c r="P165" s="11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>7</v>
      </c>
      <c r="Q165" s="10" t="s">
        <v>49</v>
      </c>
      <c r="R165" s="11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>2</v>
      </c>
      <c r="S165" s="10" t="s">
        <v>36</v>
      </c>
      <c r="T165" s="11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>10</v>
      </c>
      <c r="U165" s="10" t="s">
        <v>38</v>
      </c>
      <c r="V165" s="11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>7</v>
      </c>
      <c r="W165" s="10" t="s">
        <v>33</v>
      </c>
      <c r="X165" s="11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>7</v>
      </c>
      <c r="Y165" s="10" t="s">
        <v>33</v>
      </c>
      <c r="Z165" s="11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>7</v>
      </c>
      <c r="AA165" s="10" t="s">
        <v>34</v>
      </c>
      <c r="AB165" s="11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>7</v>
      </c>
      <c r="AC165" s="10" t="s">
        <v>36</v>
      </c>
      <c r="AD165" s="11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>10</v>
      </c>
      <c r="AE165" s="10" t="s">
        <v>33</v>
      </c>
      <c r="AF165" s="11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>7</v>
      </c>
      <c r="AG165" s="10" t="s">
        <v>33</v>
      </c>
      <c r="AH165" s="11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>7</v>
      </c>
      <c r="AI165" s="10" t="s">
        <v>33</v>
      </c>
      <c r="AJ165" s="11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>7</v>
      </c>
      <c r="AK165" s="10" t="s">
        <v>39</v>
      </c>
      <c r="AL165" s="11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>7</v>
      </c>
      <c r="AM165" s="10" t="s">
        <v>34</v>
      </c>
      <c r="AN165" s="11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>7</v>
      </c>
      <c r="AO165" s="10" t="s">
        <v>33</v>
      </c>
      <c r="AP165" s="11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>7</v>
      </c>
      <c r="AQ165" s="10" t="s">
        <v>33</v>
      </c>
      <c r="AR165" s="11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>7</v>
      </c>
      <c r="AS165" s="10" t="s">
        <v>49</v>
      </c>
      <c r="AT165" s="11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>2</v>
      </c>
      <c r="AU165" s="10" t="s">
        <v>39</v>
      </c>
      <c r="AV165" s="11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>7</v>
      </c>
      <c r="AW165" s="11">
        <f>IF($C165="","",IFERROR(--LEFT($C165,FIND("-",$C165)-1),""))</f>
        <v>2</v>
      </c>
      <c r="AX165" s="11">
        <f>IF($C165="","",IFERROR(--MID($C165,FIND("-",$C165)+1,99),""))</f>
        <v>0</v>
      </c>
    </row>
    <row r="166" spans="1:50" ht="18" customHeight="1" x14ac:dyDescent="0.25">
      <c r="A166" s="12"/>
      <c r="B166" s="17"/>
      <c r="C166" s="13"/>
      <c r="D166" s="1"/>
      <c r="E166" s="20"/>
      <c r="F166" s="12"/>
      <c r="G166" s="20"/>
      <c r="H166" s="12"/>
      <c r="I166" s="20"/>
      <c r="J166" s="12"/>
      <c r="K166" s="20"/>
      <c r="L166" s="12"/>
      <c r="M166" s="20"/>
      <c r="N166" s="12"/>
      <c r="O166" s="20"/>
      <c r="P166" s="12"/>
      <c r="Q166" s="20"/>
      <c r="R166" s="12"/>
      <c r="S166" s="20"/>
      <c r="T166" s="12"/>
      <c r="U166" s="13"/>
      <c r="V166" s="12"/>
      <c r="W166" s="20"/>
      <c r="X166" s="12"/>
      <c r="Y166" s="20"/>
      <c r="Z166" s="12"/>
      <c r="AA166" s="20"/>
      <c r="AB166" s="12"/>
      <c r="AC166" s="20"/>
      <c r="AD166" s="12"/>
      <c r="AE166" s="20"/>
      <c r="AF166" s="12"/>
      <c r="AG166" s="20"/>
      <c r="AH166" s="12"/>
      <c r="AI166" s="20"/>
      <c r="AJ166" s="12"/>
      <c r="AK166" s="20"/>
      <c r="AL166" s="12"/>
      <c r="AM166" s="20"/>
      <c r="AN166" s="12"/>
      <c r="AO166" s="20"/>
      <c r="AP166" s="12"/>
      <c r="AQ166" s="20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0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0"/>
      <c r="AV166" s="12"/>
      <c r="AW166" s="12"/>
      <c r="AX166" s="12"/>
    </row>
    <row r="167" spans="1:50" ht="20.100000000000001" customHeight="1" x14ac:dyDescent="0.25">
      <c r="A167" s="39" t="s">
        <v>141</v>
      </c>
      <c r="B167" s="40"/>
      <c r="C167" s="41"/>
      <c r="D167" s="40"/>
      <c r="E167" s="41"/>
      <c r="F167" s="40"/>
      <c r="G167" s="41"/>
      <c r="H167" s="40"/>
      <c r="I167" s="41"/>
      <c r="J167" s="40"/>
      <c r="K167" s="41"/>
      <c r="L167" s="40"/>
      <c r="M167" s="41"/>
      <c r="N167" s="40"/>
      <c r="O167" s="41"/>
      <c r="P167" s="40"/>
      <c r="Q167" s="41"/>
      <c r="R167" s="40"/>
      <c r="S167" s="41"/>
      <c r="T167" s="40"/>
      <c r="U167" s="41"/>
      <c r="V167" s="40"/>
      <c r="W167" s="41"/>
      <c r="X167" s="40"/>
      <c r="Y167" s="41"/>
      <c r="Z167" s="40"/>
      <c r="AA167" s="41"/>
      <c r="AB167" s="40"/>
      <c r="AC167" s="41"/>
      <c r="AD167" s="40"/>
      <c r="AE167" s="41"/>
      <c r="AF167" s="40"/>
      <c r="AG167" s="41"/>
      <c r="AH167" s="40"/>
      <c r="AI167" s="41"/>
      <c r="AJ167" s="40"/>
      <c r="AK167" s="41"/>
      <c r="AL167" s="40"/>
      <c r="AM167" s="41"/>
      <c r="AN167" s="40"/>
      <c r="AO167" s="41"/>
      <c r="AP167" s="40"/>
      <c r="AQ167" s="40"/>
      <c r="AR167" s="40"/>
      <c r="AS167" s="40"/>
      <c r="AT167" s="40"/>
      <c r="AU167" s="41"/>
      <c r="AV167" s="42"/>
      <c r="AW167" s="8"/>
      <c r="AX167" s="8"/>
    </row>
    <row r="168" spans="1:50" ht="18" customHeight="1" x14ac:dyDescent="0.25">
      <c r="A168" s="9">
        <v>1.875</v>
      </c>
      <c r="B168" s="17" t="s">
        <v>80</v>
      </c>
      <c r="C168" s="10" t="s">
        <v>33</v>
      </c>
      <c r="D168" s="1" t="s">
        <v>82</v>
      </c>
      <c r="E168" s="10" t="s">
        <v>36</v>
      </c>
      <c r="F168" s="11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>7</v>
      </c>
      <c r="G168" s="10" t="s">
        <v>33</v>
      </c>
      <c r="H168" s="11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>10</v>
      </c>
      <c r="I168" s="10" t="s">
        <v>36</v>
      </c>
      <c r="J168" s="11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>7</v>
      </c>
      <c r="K168" s="10" t="s">
        <v>71</v>
      </c>
      <c r="L168" s="11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>5</v>
      </c>
      <c r="M168" s="10" t="s">
        <v>49</v>
      </c>
      <c r="N168" s="11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>2</v>
      </c>
      <c r="O168" s="10" t="s">
        <v>34</v>
      </c>
      <c r="P168" s="11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>7</v>
      </c>
      <c r="Q168" s="10" t="s">
        <v>37</v>
      </c>
      <c r="R168" s="11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>0</v>
      </c>
      <c r="S168" s="10" t="s">
        <v>39</v>
      </c>
      <c r="T168" s="11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>7</v>
      </c>
      <c r="U168" s="10" t="s">
        <v>33</v>
      </c>
      <c r="V168" s="11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>10</v>
      </c>
      <c r="W168" s="10" t="s">
        <v>36</v>
      </c>
      <c r="X168" s="11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>7</v>
      </c>
      <c r="Y168" s="10" t="s">
        <v>35</v>
      </c>
      <c r="Z168" s="11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>2</v>
      </c>
      <c r="AA168" s="10" t="s">
        <v>35</v>
      </c>
      <c r="AB168" s="11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>2</v>
      </c>
      <c r="AC168" s="10" t="s">
        <v>49</v>
      </c>
      <c r="AD168" s="11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>2</v>
      </c>
      <c r="AE168" s="10" t="s">
        <v>34</v>
      </c>
      <c r="AF168" s="11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>7</v>
      </c>
      <c r="AG168" s="10" t="s">
        <v>36</v>
      </c>
      <c r="AH168" s="11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>7</v>
      </c>
      <c r="AI168" s="10" t="s">
        <v>33</v>
      </c>
      <c r="AJ168" s="11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>10</v>
      </c>
      <c r="AK168" s="10" t="s">
        <v>39</v>
      </c>
      <c r="AL168" s="11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>7</v>
      </c>
      <c r="AM168" s="10" t="s">
        <v>36</v>
      </c>
      <c r="AN168" s="11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>7</v>
      </c>
      <c r="AO168" s="10" t="s">
        <v>36</v>
      </c>
      <c r="AP168" s="11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>7</v>
      </c>
      <c r="AQ168" s="10" t="s">
        <v>49</v>
      </c>
      <c r="AR168" s="11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>2</v>
      </c>
      <c r="AS168" s="10" t="s">
        <v>33</v>
      </c>
      <c r="AT168" s="11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>10</v>
      </c>
      <c r="AU168" s="10" t="s">
        <v>39</v>
      </c>
      <c r="AV168" s="11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>7</v>
      </c>
      <c r="AW168" s="11">
        <f>IF($C168="","",IFERROR(--LEFT($C168,FIND("-",$C168)-1),""))</f>
        <v>2</v>
      </c>
      <c r="AX168" s="11">
        <f>IF($C168="","",IFERROR(--MID($C168,FIND("-",$C168)+1,99),""))</f>
        <v>1</v>
      </c>
    </row>
    <row r="169" spans="1:50" ht="18" customHeight="1" x14ac:dyDescent="0.25">
      <c r="A169" s="12"/>
      <c r="B169" s="17"/>
      <c r="C169" s="13"/>
      <c r="D169" s="1"/>
      <c r="E169" s="20"/>
      <c r="F169" s="12"/>
      <c r="G169" s="20"/>
      <c r="H169" s="12"/>
      <c r="I169" s="20"/>
      <c r="J169" s="12"/>
      <c r="K169" s="20"/>
      <c r="L169" s="12"/>
      <c r="M169" s="20"/>
      <c r="N169" s="12"/>
      <c r="O169" s="20"/>
      <c r="P169" s="12"/>
      <c r="Q169" s="20"/>
      <c r="R169" s="12"/>
      <c r="S169" s="20"/>
      <c r="T169" s="12"/>
      <c r="U169" s="13"/>
      <c r="V169" s="12"/>
      <c r="W169" s="20"/>
      <c r="X169" s="12"/>
      <c r="Y169" s="20"/>
      <c r="Z169" s="12"/>
      <c r="AA169" s="20"/>
      <c r="AB169" s="12"/>
      <c r="AC169" s="20"/>
      <c r="AD169" s="12"/>
      <c r="AE169" s="20"/>
      <c r="AF169" s="12"/>
      <c r="AG169" s="20"/>
      <c r="AH169" s="12"/>
      <c r="AI169" s="20"/>
      <c r="AJ169" s="12"/>
      <c r="AK169" s="20"/>
      <c r="AL169" s="12"/>
      <c r="AM169" s="20"/>
      <c r="AN169" s="12"/>
      <c r="AO169" s="20"/>
      <c r="AP169" s="12"/>
      <c r="AQ169" s="20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0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0"/>
      <c r="AV169" s="12"/>
      <c r="AW169" s="12"/>
      <c r="AX169" s="12"/>
    </row>
    <row r="170" spans="1:50" ht="20.100000000000001" customHeight="1" x14ac:dyDescent="0.25">
      <c r="A170" s="39" t="s">
        <v>142</v>
      </c>
      <c r="B170" s="40"/>
      <c r="C170" s="41"/>
      <c r="D170" s="40"/>
      <c r="E170" s="41"/>
      <c r="F170" s="40"/>
      <c r="G170" s="41"/>
      <c r="H170" s="40"/>
      <c r="I170" s="41"/>
      <c r="J170" s="40"/>
      <c r="K170" s="41"/>
      <c r="L170" s="40"/>
      <c r="M170" s="41"/>
      <c r="N170" s="40"/>
      <c r="O170" s="41"/>
      <c r="P170" s="40"/>
      <c r="Q170" s="41"/>
      <c r="R170" s="40"/>
      <c r="S170" s="41"/>
      <c r="T170" s="40"/>
      <c r="U170" s="41"/>
      <c r="V170" s="40"/>
      <c r="W170" s="41"/>
      <c r="X170" s="40"/>
      <c r="Y170" s="41"/>
      <c r="Z170" s="40"/>
      <c r="AA170" s="41"/>
      <c r="AB170" s="40"/>
      <c r="AC170" s="41"/>
      <c r="AD170" s="40"/>
      <c r="AE170" s="41"/>
      <c r="AF170" s="40"/>
      <c r="AG170" s="41"/>
      <c r="AH170" s="40"/>
      <c r="AI170" s="41"/>
      <c r="AJ170" s="40"/>
      <c r="AK170" s="41"/>
      <c r="AL170" s="40"/>
      <c r="AM170" s="41"/>
      <c r="AN170" s="40"/>
      <c r="AO170" s="41"/>
      <c r="AP170" s="40"/>
      <c r="AQ170" s="40"/>
      <c r="AR170" s="40"/>
      <c r="AS170" s="40"/>
      <c r="AT170" s="40"/>
      <c r="AU170" s="41"/>
      <c r="AV170" s="42"/>
      <c r="AW170" s="8"/>
      <c r="AX170" s="8"/>
    </row>
    <row r="171" spans="1:50" ht="18" customHeight="1" x14ac:dyDescent="0.25">
      <c r="A171" s="9">
        <v>1.958333333333333</v>
      </c>
      <c r="B171" s="17" t="s">
        <v>94</v>
      </c>
      <c r="C171" s="10" t="s">
        <v>35</v>
      </c>
      <c r="D171" s="1" t="s">
        <v>268</v>
      </c>
      <c r="E171" s="10" t="s">
        <v>37</v>
      </c>
      <c r="F171" s="11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>2</v>
      </c>
      <c r="G171" s="10" t="s">
        <v>33</v>
      </c>
      <c r="H171" s="11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>2</v>
      </c>
      <c r="I171" s="10" t="s">
        <v>37</v>
      </c>
      <c r="J171" s="11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>2</v>
      </c>
      <c r="K171" s="10" t="s">
        <v>121</v>
      </c>
      <c r="L171" s="11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>0</v>
      </c>
      <c r="M171" s="10" t="s">
        <v>121</v>
      </c>
      <c r="N171" s="11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>0</v>
      </c>
      <c r="O171" s="10" t="s">
        <v>37</v>
      </c>
      <c r="P171" s="11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>2</v>
      </c>
      <c r="Q171" s="10" t="s">
        <v>35</v>
      </c>
      <c r="R171" s="11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>10</v>
      </c>
      <c r="S171" s="10" t="s">
        <v>37</v>
      </c>
      <c r="T171" s="11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>2</v>
      </c>
      <c r="U171" s="10" t="s">
        <v>33</v>
      </c>
      <c r="V171" s="11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>2</v>
      </c>
      <c r="W171" s="10" t="s">
        <v>37</v>
      </c>
      <c r="X171" s="11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>2</v>
      </c>
      <c r="Y171" s="10" t="s">
        <v>37</v>
      </c>
      <c r="Z171" s="11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>2</v>
      </c>
      <c r="AA171" s="10" t="s">
        <v>33</v>
      </c>
      <c r="AB171" s="11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>2</v>
      </c>
      <c r="AC171" s="10" t="s">
        <v>33</v>
      </c>
      <c r="AD171" s="11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>2</v>
      </c>
      <c r="AE171" s="10" t="s">
        <v>35</v>
      </c>
      <c r="AF171" s="11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>10</v>
      </c>
      <c r="AG171" s="10" t="s">
        <v>45</v>
      </c>
      <c r="AH171" s="11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>2</v>
      </c>
      <c r="AI171" s="10" t="s">
        <v>35</v>
      </c>
      <c r="AJ171" s="11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>10</v>
      </c>
      <c r="AK171" s="10" t="s">
        <v>35</v>
      </c>
      <c r="AL171" s="11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>10</v>
      </c>
      <c r="AM171" s="10" t="s">
        <v>49</v>
      </c>
      <c r="AN171" s="11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>7</v>
      </c>
      <c r="AO171" s="10" t="s">
        <v>35</v>
      </c>
      <c r="AP171" s="11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>10</v>
      </c>
      <c r="AQ171" s="10" t="s">
        <v>37</v>
      </c>
      <c r="AR171" s="11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>2</v>
      </c>
      <c r="AS171" s="10" t="s">
        <v>37</v>
      </c>
      <c r="AT171" s="11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>2</v>
      </c>
      <c r="AU171" s="10" t="s">
        <v>39</v>
      </c>
      <c r="AV171" s="11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>2</v>
      </c>
      <c r="AW171" s="11">
        <f>IF($C171="","",IFERROR(--LEFT($C171,FIND("-",$C171)-1),""))</f>
        <v>1</v>
      </c>
      <c r="AX171" s="11">
        <f>IF($C171="","",IFERROR(--MID($C171,FIND("-",$C171)+1,99),""))</f>
        <v>1</v>
      </c>
    </row>
    <row r="172" spans="1:50" ht="18" customHeight="1" x14ac:dyDescent="0.25">
      <c r="A172" s="12"/>
      <c r="B172" s="17"/>
      <c r="C172" s="13"/>
      <c r="D172" s="1"/>
      <c r="E172" s="20"/>
      <c r="F172" s="12"/>
      <c r="G172" s="20"/>
      <c r="H172" s="12"/>
      <c r="I172" s="20"/>
      <c r="J172" s="12"/>
      <c r="K172" s="20"/>
      <c r="L172" s="12"/>
      <c r="M172" s="20"/>
      <c r="N172" s="12"/>
      <c r="O172" s="20"/>
      <c r="P172" s="12"/>
      <c r="Q172" s="20"/>
      <c r="R172" s="12"/>
      <c r="S172" s="20"/>
      <c r="T172" s="12"/>
      <c r="U172" s="13"/>
      <c r="V172" s="12"/>
      <c r="W172" s="20"/>
      <c r="X172" s="12"/>
      <c r="Y172" s="20"/>
      <c r="Z172" s="12"/>
      <c r="AA172" s="20"/>
      <c r="AB172" s="12"/>
      <c r="AC172" s="20"/>
      <c r="AD172" s="12"/>
      <c r="AE172" s="20"/>
      <c r="AF172" s="12"/>
      <c r="AG172" s="20"/>
      <c r="AH172" s="12"/>
      <c r="AI172" s="20"/>
      <c r="AJ172" s="12"/>
      <c r="AK172" s="20"/>
      <c r="AL172" s="12"/>
      <c r="AM172" s="20"/>
      <c r="AN172" s="12"/>
      <c r="AO172" s="20"/>
      <c r="AP172" s="12"/>
      <c r="AQ172" s="20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0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0"/>
      <c r="AV172" s="12"/>
      <c r="AW172" s="12"/>
      <c r="AX172" s="12"/>
    </row>
    <row r="173" spans="1:50" ht="20.100000000000001" customHeight="1" x14ac:dyDescent="0.25">
      <c r="A173" s="39" t="s">
        <v>143</v>
      </c>
      <c r="B173" s="40"/>
      <c r="C173" s="41"/>
      <c r="D173" s="40"/>
      <c r="E173" s="41"/>
      <c r="F173" s="40"/>
      <c r="G173" s="41"/>
      <c r="H173" s="40"/>
      <c r="I173" s="41"/>
      <c r="J173" s="40"/>
      <c r="K173" s="41"/>
      <c r="L173" s="40"/>
      <c r="M173" s="41"/>
      <c r="N173" s="40"/>
      <c r="O173" s="41"/>
      <c r="P173" s="40"/>
      <c r="Q173" s="41"/>
      <c r="R173" s="40"/>
      <c r="S173" s="41"/>
      <c r="T173" s="40"/>
      <c r="U173" s="41"/>
      <c r="V173" s="40"/>
      <c r="W173" s="41"/>
      <c r="X173" s="40"/>
      <c r="Y173" s="41"/>
      <c r="Z173" s="40"/>
      <c r="AA173" s="41"/>
      <c r="AB173" s="40"/>
      <c r="AC173" s="41"/>
      <c r="AD173" s="40"/>
      <c r="AE173" s="41"/>
      <c r="AF173" s="40"/>
      <c r="AG173" s="41"/>
      <c r="AH173" s="40"/>
      <c r="AI173" s="41"/>
      <c r="AJ173" s="40"/>
      <c r="AK173" s="41"/>
      <c r="AL173" s="40"/>
      <c r="AM173" s="41"/>
      <c r="AN173" s="40"/>
      <c r="AO173" s="41"/>
      <c r="AP173" s="40"/>
      <c r="AQ173" s="40"/>
      <c r="AR173" s="40"/>
      <c r="AS173" s="40"/>
      <c r="AT173" s="40"/>
      <c r="AU173" s="41"/>
      <c r="AV173" s="42"/>
      <c r="AW173" s="8"/>
      <c r="AX173" s="8"/>
    </row>
    <row r="174" spans="1:50" ht="18" customHeight="1" x14ac:dyDescent="0.25">
      <c r="A174" s="9">
        <v>1.125</v>
      </c>
      <c r="B174" s="17" t="s">
        <v>265</v>
      </c>
      <c r="C174" s="10" t="s">
        <v>35</v>
      </c>
      <c r="D174" s="1" t="s">
        <v>55</v>
      </c>
      <c r="E174" s="10" t="s">
        <v>35</v>
      </c>
      <c r="F174" s="11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>10</v>
      </c>
      <c r="G174" s="10" t="s">
        <v>33</v>
      </c>
      <c r="H174" s="11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>2</v>
      </c>
      <c r="I174" s="10" t="s">
        <v>39</v>
      </c>
      <c r="J174" s="11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>2</v>
      </c>
      <c r="K174" s="10" t="s">
        <v>38</v>
      </c>
      <c r="L174" s="11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>0</v>
      </c>
      <c r="M174" s="10" t="s">
        <v>49</v>
      </c>
      <c r="N174" s="11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>7</v>
      </c>
      <c r="O174" s="10" t="s">
        <v>36</v>
      </c>
      <c r="P174" s="11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>0</v>
      </c>
      <c r="Q174" s="10" t="s">
        <v>37</v>
      </c>
      <c r="R174" s="11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>2</v>
      </c>
      <c r="S174" s="10" t="s">
        <v>36</v>
      </c>
      <c r="T174" s="11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>0</v>
      </c>
      <c r="U174" s="10" t="s">
        <v>33</v>
      </c>
      <c r="V174" s="11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>2</v>
      </c>
      <c r="W174" s="10" t="s">
        <v>33</v>
      </c>
      <c r="X174" s="11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>2</v>
      </c>
      <c r="Y174" s="10" t="s">
        <v>33</v>
      </c>
      <c r="Z174" s="11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>2</v>
      </c>
      <c r="AA174" s="10" t="s">
        <v>36</v>
      </c>
      <c r="AB174" s="11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>0</v>
      </c>
      <c r="AC174" s="10" t="s">
        <v>34</v>
      </c>
      <c r="AD174" s="11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>2</v>
      </c>
      <c r="AE174" s="10" t="s">
        <v>33</v>
      </c>
      <c r="AF174" s="11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>2</v>
      </c>
      <c r="AG174" s="10" t="s">
        <v>39</v>
      </c>
      <c r="AH174" s="11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>2</v>
      </c>
      <c r="AI174" s="10" t="s">
        <v>36</v>
      </c>
      <c r="AJ174" s="11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>0</v>
      </c>
      <c r="AK174" s="10" t="s">
        <v>39</v>
      </c>
      <c r="AL174" s="11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>2</v>
      </c>
      <c r="AM174" s="10" t="s">
        <v>34</v>
      </c>
      <c r="AN174" s="11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>2</v>
      </c>
      <c r="AO174" s="10" t="s">
        <v>33</v>
      </c>
      <c r="AP174" s="11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>2</v>
      </c>
      <c r="AQ174" s="10" t="s">
        <v>33</v>
      </c>
      <c r="AR174" s="11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>2</v>
      </c>
      <c r="AS174" s="10" t="s">
        <v>45</v>
      </c>
      <c r="AT174" s="11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>2</v>
      </c>
      <c r="AU174" s="10" t="s">
        <v>39</v>
      </c>
      <c r="AV174" s="11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>2</v>
      </c>
      <c r="AW174" s="11">
        <f>IF($C174="","",IFERROR(--LEFT($C174,FIND("-",$C174)-1),""))</f>
        <v>1</v>
      </c>
      <c r="AX174" s="11">
        <f>IF($C174="","",IFERROR(--MID($C174,FIND("-",$C174)+1,99),""))</f>
        <v>1</v>
      </c>
    </row>
    <row r="175" spans="1:50" ht="18" customHeight="1" x14ac:dyDescent="0.25">
      <c r="A175" s="12"/>
      <c r="B175" s="17"/>
      <c r="C175" s="13"/>
      <c r="D175" s="1"/>
      <c r="E175" s="20"/>
      <c r="F175" s="12"/>
      <c r="G175" s="20"/>
      <c r="H175" s="12"/>
      <c r="I175" s="20"/>
      <c r="J175" s="12"/>
      <c r="K175" s="20"/>
      <c r="L175" s="12"/>
      <c r="M175" s="20"/>
      <c r="N175" s="12"/>
      <c r="O175" s="20"/>
      <c r="P175" s="12"/>
      <c r="Q175" s="20"/>
      <c r="R175" s="12"/>
      <c r="S175" s="20"/>
      <c r="T175" s="12"/>
      <c r="U175" s="13"/>
      <c r="V175" s="12"/>
      <c r="W175" s="20"/>
      <c r="X175" s="12"/>
      <c r="Y175" s="20"/>
      <c r="Z175" s="12"/>
      <c r="AA175" s="20"/>
      <c r="AB175" s="12"/>
      <c r="AC175" s="20"/>
      <c r="AD175" s="12"/>
      <c r="AE175" s="20"/>
      <c r="AF175" s="12"/>
      <c r="AG175" s="20"/>
      <c r="AH175" s="12"/>
      <c r="AI175" s="20"/>
      <c r="AJ175" s="12"/>
      <c r="AK175" s="20"/>
      <c r="AL175" s="12"/>
      <c r="AM175" s="20"/>
      <c r="AN175" s="12"/>
      <c r="AO175" s="20"/>
      <c r="AP175" s="12"/>
      <c r="AQ175" s="20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0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0"/>
      <c r="AV175" s="12"/>
      <c r="AW175" s="12"/>
      <c r="AX175" s="12"/>
    </row>
    <row r="176" spans="1:50" ht="18" customHeight="1" x14ac:dyDescent="0.25">
      <c r="A176" s="12"/>
      <c r="B176" s="17"/>
      <c r="C176" s="13"/>
      <c r="D176" s="1"/>
      <c r="E176" s="20"/>
      <c r="F176" s="12"/>
      <c r="G176" s="20"/>
      <c r="H176" s="12"/>
      <c r="I176" s="20"/>
      <c r="J176" s="12"/>
      <c r="K176" s="20"/>
      <c r="L176" s="12"/>
      <c r="M176" s="20"/>
      <c r="N176" s="12"/>
      <c r="O176" s="20"/>
      <c r="P176" s="12"/>
      <c r="Q176" s="20"/>
      <c r="R176" s="12"/>
      <c r="S176" s="20"/>
      <c r="T176" s="12"/>
      <c r="U176" s="13"/>
      <c r="V176" s="12"/>
      <c r="W176" s="20"/>
      <c r="X176" s="12"/>
      <c r="Y176" s="20"/>
      <c r="Z176" s="12"/>
      <c r="AA176" s="20"/>
      <c r="AB176" s="12"/>
      <c r="AC176" s="20"/>
      <c r="AD176" s="12"/>
      <c r="AE176" s="20"/>
      <c r="AF176" s="12"/>
      <c r="AG176" s="20"/>
      <c r="AH176" s="12"/>
      <c r="AI176" s="20"/>
      <c r="AJ176" s="12"/>
      <c r="AK176" s="20"/>
      <c r="AL176" s="12"/>
      <c r="AM176" s="20"/>
      <c r="AN176" s="12"/>
      <c r="AO176" s="20"/>
      <c r="AP176" s="12"/>
      <c r="AQ176" s="20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0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0"/>
      <c r="AV176" s="12"/>
      <c r="AW176" s="12"/>
      <c r="AX176" s="12"/>
    </row>
    <row r="177" spans="1:50" ht="20.100000000000001" customHeight="1" x14ac:dyDescent="0.25">
      <c r="A177" s="48" t="s">
        <v>144</v>
      </c>
      <c r="B177" s="53"/>
      <c r="C177" s="54"/>
      <c r="D177" s="53"/>
      <c r="E177" s="54"/>
      <c r="F177" s="53"/>
      <c r="G177" s="54"/>
      <c r="H177" s="53"/>
      <c r="I177" s="54"/>
      <c r="J177" s="53"/>
      <c r="K177" s="54"/>
      <c r="L177" s="53"/>
      <c r="M177" s="54"/>
      <c r="N177" s="53"/>
      <c r="O177" s="54"/>
      <c r="P177" s="53"/>
      <c r="Q177" s="54"/>
      <c r="R177" s="53"/>
      <c r="S177" s="54"/>
      <c r="T177" s="53"/>
      <c r="U177" s="54"/>
      <c r="V177" s="53"/>
      <c r="W177" s="54"/>
      <c r="X177" s="53"/>
      <c r="Y177" s="54"/>
      <c r="Z177" s="53"/>
      <c r="AA177" s="54"/>
      <c r="AB177" s="53"/>
      <c r="AC177" s="54"/>
      <c r="AD177" s="53"/>
      <c r="AE177" s="54"/>
      <c r="AF177" s="53"/>
      <c r="AG177" s="54"/>
      <c r="AH177" s="53"/>
      <c r="AI177" s="54"/>
      <c r="AJ177" s="53"/>
      <c r="AK177" s="54"/>
      <c r="AL177" s="53"/>
      <c r="AM177" s="54"/>
      <c r="AN177" s="53"/>
      <c r="AO177" s="54"/>
      <c r="AP177" s="53"/>
      <c r="AQ177" s="53"/>
      <c r="AR177" s="53"/>
      <c r="AS177" s="53"/>
      <c r="AT177" s="53"/>
      <c r="AU177" s="54"/>
      <c r="AV177" s="47"/>
      <c r="AW177" s="7"/>
      <c r="AX177" s="7"/>
    </row>
    <row r="178" spans="1:50" ht="20.100000000000001" customHeight="1" x14ac:dyDescent="0.25">
      <c r="A178" s="39" t="s">
        <v>145</v>
      </c>
      <c r="B178" s="40"/>
      <c r="C178" s="41"/>
      <c r="D178" s="40"/>
      <c r="E178" s="41"/>
      <c r="F178" s="40"/>
      <c r="G178" s="41"/>
      <c r="H178" s="40"/>
      <c r="I178" s="41"/>
      <c r="J178" s="40"/>
      <c r="K178" s="41"/>
      <c r="L178" s="40"/>
      <c r="M178" s="41"/>
      <c r="N178" s="40"/>
      <c r="O178" s="41"/>
      <c r="P178" s="40"/>
      <c r="Q178" s="41"/>
      <c r="R178" s="40"/>
      <c r="S178" s="41"/>
      <c r="T178" s="40"/>
      <c r="U178" s="41"/>
      <c r="V178" s="40"/>
      <c r="W178" s="41"/>
      <c r="X178" s="40"/>
      <c r="Y178" s="41"/>
      <c r="Z178" s="40"/>
      <c r="AA178" s="41"/>
      <c r="AB178" s="40"/>
      <c r="AC178" s="41"/>
      <c r="AD178" s="40"/>
      <c r="AE178" s="41"/>
      <c r="AF178" s="40"/>
      <c r="AG178" s="41"/>
      <c r="AH178" s="40"/>
      <c r="AI178" s="41"/>
      <c r="AJ178" s="40"/>
      <c r="AK178" s="41"/>
      <c r="AL178" s="40"/>
      <c r="AM178" s="41"/>
      <c r="AN178" s="40"/>
      <c r="AO178" s="41"/>
      <c r="AP178" s="40"/>
      <c r="AQ178" s="40"/>
      <c r="AR178" s="40"/>
      <c r="AS178" s="40"/>
      <c r="AT178" s="40"/>
      <c r="AU178" s="41"/>
      <c r="AV178" s="42"/>
      <c r="AW178" s="8"/>
      <c r="AX178" s="8"/>
    </row>
    <row r="179" spans="1:50" ht="18" customHeight="1" x14ac:dyDescent="0.25">
      <c r="A179" s="9">
        <v>1.875</v>
      </c>
      <c r="B179" s="17" t="s">
        <v>89</v>
      </c>
      <c r="C179" s="10" t="s">
        <v>48</v>
      </c>
      <c r="D179" s="1" t="s">
        <v>80</v>
      </c>
      <c r="E179" s="10" t="s">
        <v>37</v>
      </c>
      <c r="F179" s="11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>7</v>
      </c>
      <c r="G179" s="10" t="s">
        <v>57</v>
      </c>
      <c r="H179" s="11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>7</v>
      </c>
      <c r="I179" s="10" t="s">
        <v>39</v>
      </c>
      <c r="J179" s="11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>0</v>
      </c>
      <c r="K179" s="10" t="s">
        <v>34</v>
      </c>
      <c r="L179" s="11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>0</v>
      </c>
      <c r="M179" s="10" t="s">
        <v>49</v>
      </c>
      <c r="N179" s="11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>2</v>
      </c>
      <c r="O179" s="10" t="s">
        <v>33</v>
      </c>
      <c r="P179" s="11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>0</v>
      </c>
      <c r="Q179" s="10" t="s">
        <v>61</v>
      </c>
      <c r="R179" s="11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>2</v>
      </c>
      <c r="S179" s="10" t="s">
        <v>39</v>
      </c>
      <c r="T179" s="11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>0</v>
      </c>
      <c r="U179" s="10" t="s">
        <v>37</v>
      </c>
      <c r="V179" s="11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>7</v>
      </c>
      <c r="W179" s="10" t="s">
        <v>35</v>
      </c>
      <c r="X179" s="11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>0</v>
      </c>
      <c r="Y179" s="10" t="s">
        <v>33</v>
      </c>
      <c r="Z179" s="11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>0</v>
      </c>
      <c r="AA179" s="10" t="s">
        <v>61</v>
      </c>
      <c r="AB179" s="11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>2</v>
      </c>
      <c r="AC179" s="10" t="s">
        <v>33</v>
      </c>
      <c r="AD179" s="11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>0</v>
      </c>
      <c r="AE179" s="10" t="s">
        <v>34</v>
      </c>
      <c r="AF179" s="11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>0</v>
      </c>
      <c r="AG179" s="10" t="s">
        <v>37</v>
      </c>
      <c r="AH179" s="11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>7</v>
      </c>
      <c r="AI179" s="10" t="s">
        <v>49</v>
      </c>
      <c r="AJ179" s="11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>2</v>
      </c>
      <c r="AK179" s="10" t="s">
        <v>35</v>
      </c>
      <c r="AL179" s="11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>0</v>
      </c>
      <c r="AM179" s="10" t="s">
        <v>35</v>
      </c>
      <c r="AN179" s="11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>0</v>
      </c>
      <c r="AO179" s="10" t="s">
        <v>33</v>
      </c>
      <c r="AP179" s="11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>0</v>
      </c>
      <c r="AQ179" s="10" t="s">
        <v>36</v>
      </c>
      <c r="AR179" s="11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>0</v>
      </c>
      <c r="AS179" s="10" t="s">
        <v>33</v>
      </c>
      <c r="AT179" s="11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>0</v>
      </c>
      <c r="AU179" s="10" t="s">
        <v>39</v>
      </c>
      <c r="AV179" s="11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>0</v>
      </c>
      <c r="AW179" s="11">
        <f>IF($C179="","",IFERROR(--LEFT($C179,FIND("-",$C179)-1),""))</f>
        <v>0</v>
      </c>
      <c r="AX179" s="11">
        <f>IF($C179="","",IFERROR(--MID($C179,FIND("-",$C179)+1,99),""))</f>
        <v>2</v>
      </c>
    </row>
    <row r="180" spans="1:50" ht="18" customHeight="1" x14ac:dyDescent="0.25">
      <c r="A180" s="12"/>
      <c r="B180" s="17"/>
      <c r="C180" s="13"/>
      <c r="D180" s="1"/>
      <c r="E180" s="20"/>
      <c r="F180" s="12"/>
      <c r="G180" s="20"/>
      <c r="H180" s="12"/>
      <c r="I180" s="20"/>
      <c r="J180" s="12"/>
      <c r="K180" s="20"/>
      <c r="L180" s="12"/>
      <c r="M180" s="20"/>
      <c r="N180" s="12"/>
      <c r="O180" s="20"/>
      <c r="P180" s="12"/>
      <c r="Q180" s="20"/>
      <c r="R180" s="12"/>
      <c r="S180" s="20"/>
      <c r="T180" s="12"/>
      <c r="U180" s="13"/>
      <c r="V180" s="12"/>
      <c r="W180" s="20"/>
      <c r="X180" s="12"/>
      <c r="Y180" s="20"/>
      <c r="Z180" s="12"/>
      <c r="AA180" s="20"/>
      <c r="AB180" s="12"/>
      <c r="AC180" s="20"/>
      <c r="AD180" s="12"/>
      <c r="AE180" s="20"/>
      <c r="AF180" s="12"/>
      <c r="AG180" s="20"/>
      <c r="AH180" s="12"/>
      <c r="AI180" s="20"/>
      <c r="AJ180" s="12"/>
      <c r="AK180" s="20"/>
      <c r="AL180" s="12"/>
      <c r="AM180" s="20"/>
      <c r="AN180" s="12"/>
      <c r="AO180" s="20"/>
      <c r="AP180" s="12"/>
      <c r="AQ180" s="20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0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0"/>
      <c r="AV180" s="12"/>
      <c r="AW180" s="12"/>
      <c r="AX180" s="12"/>
    </row>
    <row r="181" spans="1:50" ht="20.100000000000001" customHeight="1" x14ac:dyDescent="0.25">
      <c r="A181" s="39" t="s">
        <v>146</v>
      </c>
      <c r="B181" s="40"/>
      <c r="C181" s="41"/>
      <c r="D181" s="40"/>
      <c r="E181" s="41"/>
      <c r="F181" s="40"/>
      <c r="G181" s="41"/>
      <c r="H181" s="40"/>
      <c r="I181" s="41"/>
      <c r="J181" s="40"/>
      <c r="K181" s="41"/>
      <c r="L181" s="40"/>
      <c r="M181" s="41"/>
      <c r="N181" s="40"/>
      <c r="O181" s="41"/>
      <c r="P181" s="40"/>
      <c r="Q181" s="41"/>
      <c r="R181" s="40"/>
      <c r="S181" s="41"/>
      <c r="T181" s="40"/>
      <c r="U181" s="41"/>
      <c r="V181" s="40"/>
      <c r="W181" s="41"/>
      <c r="X181" s="40"/>
      <c r="Y181" s="41"/>
      <c r="Z181" s="40"/>
      <c r="AA181" s="41"/>
      <c r="AB181" s="40"/>
      <c r="AC181" s="41"/>
      <c r="AD181" s="40"/>
      <c r="AE181" s="41"/>
      <c r="AF181" s="40"/>
      <c r="AG181" s="41"/>
      <c r="AH181" s="40"/>
      <c r="AI181" s="41"/>
      <c r="AJ181" s="40"/>
      <c r="AK181" s="41"/>
      <c r="AL181" s="40"/>
      <c r="AM181" s="41"/>
      <c r="AN181" s="40"/>
      <c r="AO181" s="41"/>
      <c r="AP181" s="40"/>
      <c r="AQ181" s="40"/>
      <c r="AR181" s="40"/>
      <c r="AS181" s="40"/>
      <c r="AT181" s="40"/>
      <c r="AU181" s="41"/>
      <c r="AV181" s="42"/>
      <c r="AW181" s="8"/>
      <c r="AX181" s="8"/>
    </row>
    <row r="182" spans="1:50" ht="18" customHeight="1" x14ac:dyDescent="0.25">
      <c r="A182" s="9">
        <v>1.875</v>
      </c>
      <c r="B182" s="17" t="s">
        <v>101</v>
      </c>
      <c r="C182" s="10" t="s">
        <v>37</v>
      </c>
      <c r="D182" s="1" t="s">
        <v>95</v>
      </c>
      <c r="E182" s="10" t="s">
        <v>33</v>
      </c>
      <c r="F182" s="11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>0</v>
      </c>
      <c r="G182" s="10" t="s">
        <v>57</v>
      </c>
      <c r="H182" s="11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>7</v>
      </c>
      <c r="I182" s="10" t="s">
        <v>35</v>
      </c>
      <c r="J182" s="11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>2</v>
      </c>
      <c r="K182" s="10" t="s">
        <v>37</v>
      </c>
      <c r="L182" s="11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>10</v>
      </c>
      <c r="M182" s="10" t="s">
        <v>34</v>
      </c>
      <c r="N182" s="11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>0</v>
      </c>
      <c r="O182" s="10" t="s">
        <v>35</v>
      </c>
      <c r="P182" s="11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>2</v>
      </c>
      <c r="Q182" s="10" t="s">
        <v>35</v>
      </c>
      <c r="R182" s="11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>2</v>
      </c>
      <c r="S182" s="10" t="s">
        <v>35</v>
      </c>
      <c r="T182" s="11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>2</v>
      </c>
      <c r="U182" s="10" t="s">
        <v>39</v>
      </c>
      <c r="V182" s="11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>2</v>
      </c>
      <c r="W182" s="10" t="s">
        <v>37</v>
      </c>
      <c r="X182" s="11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>10</v>
      </c>
      <c r="Y182" s="10" t="s">
        <v>38</v>
      </c>
      <c r="Z182" s="11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>0</v>
      </c>
      <c r="AA182" s="10" t="s">
        <v>33</v>
      </c>
      <c r="AB182" s="11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>0</v>
      </c>
      <c r="AC182" s="10" t="s">
        <v>37</v>
      </c>
      <c r="AD182" s="11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>10</v>
      </c>
      <c r="AE182" s="10" t="s">
        <v>49</v>
      </c>
      <c r="AF182" s="11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>2</v>
      </c>
      <c r="AG182" s="10" t="s">
        <v>45</v>
      </c>
      <c r="AH182" s="11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>7</v>
      </c>
      <c r="AI182" s="10" t="s">
        <v>37</v>
      </c>
      <c r="AJ182" s="11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>10</v>
      </c>
      <c r="AK182" s="10" t="s">
        <v>35</v>
      </c>
      <c r="AL182" s="11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>2</v>
      </c>
      <c r="AM182" s="10" t="s">
        <v>49</v>
      </c>
      <c r="AN182" s="11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>2</v>
      </c>
      <c r="AO182" s="10" t="s">
        <v>35</v>
      </c>
      <c r="AP182" s="11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>2</v>
      </c>
      <c r="AQ182" s="10" t="s">
        <v>37</v>
      </c>
      <c r="AR182" s="11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>10</v>
      </c>
      <c r="AS182" s="10" t="s">
        <v>39</v>
      </c>
      <c r="AT182" s="11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>2</v>
      </c>
      <c r="AU182" s="10" t="s">
        <v>39</v>
      </c>
      <c r="AV182" s="11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>2</v>
      </c>
      <c r="AW182" s="11">
        <f>IF($C182="","",IFERROR(--LEFT($C182,FIND("-",$C182)-1),""))</f>
        <v>1</v>
      </c>
      <c r="AX182" s="11">
        <f>IF($C182="","",IFERROR(--MID($C182,FIND("-",$C182)+1,99),""))</f>
        <v>2</v>
      </c>
    </row>
    <row r="183" spans="1:50" ht="18" customHeight="1" x14ac:dyDescent="0.25">
      <c r="A183" s="12"/>
      <c r="B183" s="17"/>
      <c r="C183" s="13"/>
      <c r="D183" s="1"/>
      <c r="E183" s="20"/>
      <c r="F183" s="12"/>
      <c r="G183" s="20"/>
      <c r="H183" s="12"/>
      <c r="I183" s="20"/>
      <c r="J183" s="12"/>
      <c r="K183" s="20"/>
      <c r="L183" s="12"/>
      <c r="M183" s="20"/>
      <c r="N183" s="12"/>
      <c r="O183" s="20"/>
      <c r="P183" s="12"/>
      <c r="Q183" s="20"/>
      <c r="R183" s="12"/>
      <c r="S183" s="20"/>
      <c r="T183" s="12"/>
      <c r="U183" s="13"/>
      <c r="V183" s="12"/>
      <c r="W183" s="20"/>
      <c r="X183" s="12"/>
      <c r="Y183" s="20"/>
      <c r="Z183" s="12"/>
      <c r="AA183" s="20"/>
      <c r="AB183" s="12"/>
      <c r="AC183" s="20"/>
      <c r="AD183" s="12"/>
      <c r="AE183" s="20"/>
      <c r="AF183" s="12"/>
      <c r="AG183" s="20"/>
      <c r="AH183" s="12"/>
      <c r="AI183" s="20"/>
      <c r="AJ183" s="12"/>
      <c r="AK183" s="20"/>
      <c r="AL183" s="12"/>
      <c r="AM183" s="20"/>
      <c r="AN183" s="12"/>
      <c r="AO183" s="20"/>
      <c r="AP183" s="12"/>
      <c r="AQ183" s="20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0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0"/>
      <c r="AV183" s="12"/>
      <c r="AW183" s="12"/>
      <c r="AX183" s="12"/>
    </row>
    <row r="184" spans="1:50" ht="18" customHeight="1" x14ac:dyDescent="0.25">
      <c r="A184" s="12"/>
      <c r="B184" s="17"/>
      <c r="C184" s="13"/>
      <c r="D184" s="1"/>
      <c r="E184" s="20"/>
      <c r="F184" s="12"/>
      <c r="G184" s="20"/>
      <c r="H184" s="12"/>
      <c r="I184" s="20"/>
      <c r="J184" s="12"/>
      <c r="K184" s="20"/>
      <c r="L184" s="12"/>
      <c r="M184" s="20"/>
      <c r="N184" s="12"/>
      <c r="O184" s="20"/>
      <c r="P184" s="12"/>
      <c r="Q184" s="20"/>
      <c r="R184" s="12"/>
      <c r="S184" s="20"/>
      <c r="T184" s="12"/>
      <c r="U184" s="13"/>
      <c r="V184" s="12"/>
      <c r="W184" s="20"/>
      <c r="X184" s="12"/>
      <c r="Y184" s="20"/>
      <c r="Z184" s="12"/>
      <c r="AA184" s="20"/>
      <c r="AB184" s="12"/>
      <c r="AC184" s="20"/>
      <c r="AD184" s="12"/>
      <c r="AE184" s="20"/>
      <c r="AF184" s="12"/>
      <c r="AG184" s="20"/>
      <c r="AH184" s="12"/>
      <c r="AI184" s="20"/>
      <c r="AJ184" s="12"/>
      <c r="AK184" s="20"/>
      <c r="AL184" s="12"/>
      <c r="AM184" s="20"/>
      <c r="AN184" s="12"/>
      <c r="AO184" s="20"/>
      <c r="AP184" s="12"/>
      <c r="AQ184" s="20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0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0"/>
      <c r="AV184" s="12"/>
      <c r="AW184" s="12"/>
      <c r="AX184" s="12"/>
    </row>
    <row r="185" spans="1:50" ht="20.100000000000001" customHeight="1" x14ac:dyDescent="0.25">
      <c r="A185" s="48" t="s">
        <v>147</v>
      </c>
      <c r="B185" s="53"/>
      <c r="C185" s="54"/>
      <c r="D185" s="53"/>
      <c r="E185" s="54"/>
      <c r="F185" s="53"/>
      <c r="G185" s="54"/>
      <c r="H185" s="53"/>
      <c r="I185" s="54"/>
      <c r="J185" s="53"/>
      <c r="K185" s="54"/>
      <c r="L185" s="53"/>
      <c r="M185" s="54"/>
      <c r="N185" s="53"/>
      <c r="O185" s="54"/>
      <c r="P185" s="53"/>
      <c r="Q185" s="54"/>
      <c r="R185" s="53"/>
      <c r="S185" s="54"/>
      <c r="T185" s="53"/>
      <c r="U185" s="54"/>
      <c r="V185" s="53"/>
      <c r="W185" s="54"/>
      <c r="X185" s="53"/>
      <c r="Y185" s="54"/>
      <c r="Z185" s="53"/>
      <c r="AA185" s="54"/>
      <c r="AB185" s="53"/>
      <c r="AC185" s="54"/>
      <c r="AD185" s="53"/>
      <c r="AE185" s="54"/>
      <c r="AF185" s="53"/>
      <c r="AG185" s="54"/>
      <c r="AH185" s="53"/>
      <c r="AI185" s="54"/>
      <c r="AJ185" s="53"/>
      <c r="AK185" s="54"/>
      <c r="AL185" s="53"/>
      <c r="AM185" s="54"/>
      <c r="AN185" s="53"/>
      <c r="AO185" s="54"/>
      <c r="AP185" s="53"/>
      <c r="AQ185" s="53"/>
      <c r="AR185" s="53"/>
      <c r="AS185" s="53"/>
      <c r="AT185" s="53"/>
      <c r="AU185" s="54"/>
      <c r="AV185" s="47"/>
      <c r="AW185" s="7"/>
      <c r="AX185" s="7"/>
    </row>
    <row r="186" spans="1:50" ht="20.100000000000001" customHeight="1" x14ac:dyDescent="0.25">
      <c r="A186" s="39" t="s">
        <v>148</v>
      </c>
      <c r="B186" s="40"/>
      <c r="C186" s="41"/>
      <c r="D186" s="40"/>
      <c r="E186" s="41"/>
      <c r="F186" s="40"/>
      <c r="G186" s="41"/>
      <c r="H186" s="40"/>
      <c r="I186" s="41"/>
      <c r="J186" s="40"/>
      <c r="K186" s="41"/>
      <c r="L186" s="40"/>
      <c r="M186" s="41"/>
      <c r="N186" s="40"/>
      <c r="O186" s="41"/>
      <c r="P186" s="40"/>
      <c r="Q186" s="41"/>
      <c r="R186" s="40"/>
      <c r="S186" s="41"/>
      <c r="T186" s="40"/>
      <c r="U186" s="41"/>
      <c r="V186" s="40"/>
      <c r="W186" s="41"/>
      <c r="X186" s="40"/>
      <c r="Y186" s="41"/>
      <c r="Z186" s="40"/>
      <c r="AA186" s="41"/>
      <c r="AB186" s="40"/>
      <c r="AC186" s="41"/>
      <c r="AD186" s="40"/>
      <c r="AE186" s="41"/>
      <c r="AF186" s="40"/>
      <c r="AG186" s="41"/>
      <c r="AH186" s="40"/>
      <c r="AI186" s="41"/>
      <c r="AJ186" s="40"/>
      <c r="AK186" s="41"/>
      <c r="AL186" s="40"/>
      <c r="AM186" s="41"/>
      <c r="AN186" s="40"/>
      <c r="AO186" s="41"/>
      <c r="AP186" s="40"/>
      <c r="AQ186" s="40"/>
      <c r="AR186" s="40"/>
      <c r="AS186" s="40"/>
      <c r="AT186" s="40"/>
      <c r="AU186" s="41"/>
      <c r="AV186" s="42"/>
      <c r="AW186" s="8"/>
      <c r="AX186" s="8"/>
    </row>
    <row r="187" spans="1:50" ht="18" customHeight="1" x14ac:dyDescent="0.25">
      <c r="A187" s="9">
        <v>1.958333333333333</v>
      </c>
      <c r="B187" s="17" t="s">
        <v>89</v>
      </c>
      <c r="C187" s="10"/>
      <c r="D187" s="1" t="s">
        <v>101</v>
      </c>
      <c r="E187" s="10" t="s">
        <v>39</v>
      </c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 t="s">
        <v>39</v>
      </c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25">
      <c r="A188" s="12"/>
      <c r="B188" s="17"/>
      <c r="C188" s="13"/>
      <c r="D188" s="1"/>
      <c r="E188" s="20"/>
      <c r="F188" s="12"/>
      <c r="G188" s="20"/>
      <c r="H188" s="12"/>
      <c r="I188" s="20"/>
      <c r="J188" s="12"/>
      <c r="K188" s="20"/>
      <c r="L188" s="12"/>
      <c r="M188" s="20"/>
      <c r="N188" s="12"/>
      <c r="O188" s="20"/>
      <c r="P188" s="12"/>
      <c r="Q188" s="20"/>
      <c r="R188" s="12"/>
      <c r="S188" s="20"/>
      <c r="T188" s="12"/>
      <c r="U188" s="13"/>
      <c r="V188" s="12"/>
      <c r="W188" s="20"/>
      <c r="X188" s="12"/>
      <c r="Y188" s="20"/>
      <c r="Z188" s="12"/>
      <c r="AA188" s="20"/>
      <c r="AB188" s="12"/>
      <c r="AC188" s="20"/>
      <c r="AD188" s="12"/>
      <c r="AE188" s="20"/>
      <c r="AF188" s="12"/>
      <c r="AG188" s="20"/>
      <c r="AH188" s="12"/>
      <c r="AI188" s="20"/>
      <c r="AJ188" s="12"/>
      <c r="AK188" s="20"/>
      <c r="AL188" s="12"/>
      <c r="AM188" s="20"/>
      <c r="AN188" s="12"/>
      <c r="AO188" s="20"/>
      <c r="AP188" s="12"/>
      <c r="AQ188" s="20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0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0"/>
      <c r="AV188" s="12"/>
      <c r="AW188" s="12"/>
      <c r="AX188" s="12"/>
    </row>
    <row r="189" spans="1:50" ht="18" customHeight="1" x14ac:dyDescent="0.25">
      <c r="A189" s="12"/>
      <c r="B189" s="17"/>
      <c r="C189" s="13"/>
      <c r="D189" s="1"/>
      <c r="E189" s="20"/>
      <c r="F189" s="12"/>
      <c r="G189" s="20"/>
      <c r="H189" s="12"/>
      <c r="I189" s="20"/>
      <c r="J189" s="12"/>
      <c r="K189" s="20"/>
      <c r="L189" s="12"/>
      <c r="M189" s="20"/>
      <c r="N189" s="12"/>
      <c r="O189" s="20"/>
      <c r="P189" s="12"/>
      <c r="Q189" s="20"/>
      <c r="R189" s="12"/>
      <c r="S189" s="20"/>
      <c r="T189" s="12"/>
      <c r="U189" s="13"/>
      <c r="V189" s="12"/>
      <c r="W189" s="20"/>
      <c r="X189" s="12"/>
      <c r="Y189" s="20"/>
      <c r="Z189" s="12"/>
      <c r="AA189" s="20"/>
      <c r="AB189" s="12"/>
      <c r="AC189" s="20"/>
      <c r="AD189" s="12"/>
      <c r="AE189" s="20"/>
      <c r="AF189" s="12"/>
      <c r="AG189" s="20"/>
      <c r="AH189" s="12"/>
      <c r="AI189" s="20"/>
      <c r="AJ189" s="12"/>
      <c r="AK189" s="20"/>
      <c r="AL189" s="12"/>
      <c r="AM189" s="20"/>
      <c r="AN189" s="12"/>
      <c r="AO189" s="20"/>
      <c r="AP189" s="12"/>
      <c r="AQ189" s="20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0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0"/>
      <c r="AV189" s="12"/>
      <c r="AW189" s="12"/>
      <c r="AX189" s="12"/>
    </row>
    <row r="190" spans="1:50" ht="20.100000000000001" customHeight="1" x14ac:dyDescent="0.25">
      <c r="A190" s="48" t="s">
        <v>149</v>
      </c>
      <c r="B190" s="53"/>
      <c r="C190" s="54"/>
      <c r="D190" s="53"/>
      <c r="E190" s="54"/>
      <c r="F190" s="53"/>
      <c r="G190" s="54"/>
      <c r="H190" s="53"/>
      <c r="I190" s="54"/>
      <c r="J190" s="53"/>
      <c r="K190" s="54"/>
      <c r="L190" s="53"/>
      <c r="M190" s="54"/>
      <c r="N190" s="53"/>
      <c r="O190" s="54"/>
      <c r="P190" s="53"/>
      <c r="Q190" s="54"/>
      <c r="R190" s="53"/>
      <c r="S190" s="54"/>
      <c r="T190" s="53"/>
      <c r="U190" s="54"/>
      <c r="V190" s="53"/>
      <c r="W190" s="54"/>
      <c r="X190" s="53"/>
      <c r="Y190" s="54"/>
      <c r="Z190" s="53"/>
      <c r="AA190" s="54"/>
      <c r="AB190" s="53"/>
      <c r="AC190" s="54"/>
      <c r="AD190" s="53"/>
      <c r="AE190" s="54"/>
      <c r="AF190" s="53"/>
      <c r="AG190" s="54"/>
      <c r="AH190" s="53"/>
      <c r="AI190" s="54"/>
      <c r="AJ190" s="53"/>
      <c r="AK190" s="54"/>
      <c r="AL190" s="53"/>
      <c r="AM190" s="54"/>
      <c r="AN190" s="53"/>
      <c r="AO190" s="54"/>
      <c r="AP190" s="53"/>
      <c r="AQ190" s="53"/>
      <c r="AR190" s="53"/>
      <c r="AS190" s="53"/>
      <c r="AT190" s="53"/>
      <c r="AU190" s="54"/>
      <c r="AV190" s="47"/>
      <c r="AW190" s="7"/>
      <c r="AX190" s="7"/>
    </row>
    <row r="191" spans="1:50" ht="20.100000000000001" customHeight="1" x14ac:dyDescent="0.25">
      <c r="A191" s="39" t="s">
        <v>150</v>
      </c>
      <c r="B191" s="40"/>
      <c r="C191" s="41"/>
      <c r="D191" s="40"/>
      <c r="E191" s="41"/>
      <c r="F191" s="40"/>
      <c r="G191" s="41"/>
      <c r="H191" s="40"/>
      <c r="I191" s="41"/>
      <c r="J191" s="40"/>
      <c r="K191" s="41"/>
      <c r="L191" s="40"/>
      <c r="M191" s="41"/>
      <c r="N191" s="40"/>
      <c r="O191" s="41"/>
      <c r="P191" s="40"/>
      <c r="Q191" s="41"/>
      <c r="R191" s="40"/>
      <c r="S191" s="41"/>
      <c r="T191" s="40"/>
      <c r="U191" s="41"/>
      <c r="V191" s="40"/>
      <c r="W191" s="41"/>
      <c r="X191" s="40"/>
      <c r="Y191" s="41"/>
      <c r="Z191" s="40"/>
      <c r="AA191" s="41"/>
      <c r="AB191" s="40"/>
      <c r="AC191" s="41"/>
      <c r="AD191" s="40"/>
      <c r="AE191" s="41"/>
      <c r="AF191" s="40"/>
      <c r="AG191" s="41"/>
      <c r="AH191" s="40"/>
      <c r="AI191" s="41"/>
      <c r="AJ191" s="40"/>
      <c r="AK191" s="41"/>
      <c r="AL191" s="40"/>
      <c r="AM191" s="41"/>
      <c r="AN191" s="40"/>
      <c r="AO191" s="41"/>
      <c r="AP191" s="40"/>
      <c r="AQ191" s="40"/>
      <c r="AR191" s="40"/>
      <c r="AS191" s="40"/>
      <c r="AT191" s="40"/>
      <c r="AU191" s="41"/>
      <c r="AV191" s="42"/>
      <c r="AW191" s="8"/>
      <c r="AX191" s="8"/>
    </row>
    <row r="192" spans="1:50" ht="18" customHeight="1" x14ac:dyDescent="0.25">
      <c r="A192" s="9">
        <v>1.875</v>
      </c>
      <c r="B192" s="17" t="s">
        <v>80</v>
      </c>
      <c r="C192" s="10"/>
      <c r="D192" s="1" t="s">
        <v>95</v>
      </c>
      <c r="E192" s="10" t="s">
        <v>33</v>
      </c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 t="s">
        <v>35</v>
      </c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25">
      <c r="A193" s="12"/>
      <c r="B193" s="17"/>
      <c r="C193" s="13"/>
      <c r="D193" s="1"/>
      <c r="E193" s="20"/>
      <c r="F193" s="12"/>
      <c r="G193" s="20"/>
      <c r="H193" s="12"/>
      <c r="I193" s="20"/>
      <c r="J193" s="12"/>
      <c r="K193" s="20"/>
      <c r="L193" s="12"/>
      <c r="M193" s="20"/>
      <c r="N193" s="12"/>
      <c r="O193" s="20"/>
      <c r="P193" s="12"/>
      <c r="Q193" s="20"/>
      <c r="R193" s="12"/>
      <c r="S193" s="20"/>
      <c r="T193" s="12"/>
      <c r="U193" s="13"/>
      <c r="V193" s="12"/>
      <c r="W193" s="20"/>
      <c r="X193" s="12"/>
      <c r="Y193" s="20"/>
      <c r="Z193" s="12"/>
      <c r="AA193" s="20"/>
      <c r="AB193" s="12"/>
      <c r="AC193" s="20"/>
      <c r="AD193" s="12"/>
      <c r="AE193" s="20"/>
      <c r="AF193" s="12"/>
      <c r="AG193" s="20"/>
      <c r="AH193" s="12"/>
      <c r="AI193" s="20"/>
      <c r="AJ193" s="12"/>
      <c r="AK193" s="20"/>
      <c r="AL193" s="12"/>
      <c r="AM193" s="20"/>
      <c r="AN193" s="12"/>
      <c r="AO193" s="20"/>
      <c r="AP193" s="12"/>
      <c r="AQ193" s="20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0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0"/>
      <c r="AV193" s="12"/>
      <c r="AW193" s="12"/>
      <c r="AX193" s="12"/>
    </row>
    <row r="194" spans="1:50" ht="18" customHeight="1" x14ac:dyDescent="0.25">
      <c r="A194" s="12"/>
      <c r="B194" s="17"/>
      <c r="C194" s="13"/>
      <c r="D194" s="1"/>
      <c r="E194" s="20"/>
      <c r="F194" s="12"/>
      <c r="G194" s="20"/>
      <c r="H194" s="12"/>
      <c r="I194" s="20"/>
      <c r="J194" s="12"/>
      <c r="K194" s="20"/>
      <c r="L194" s="12"/>
      <c r="M194" s="20"/>
      <c r="N194" s="12"/>
      <c r="O194" s="20"/>
      <c r="P194" s="12"/>
      <c r="Q194" s="20"/>
      <c r="R194" s="12"/>
      <c r="S194" s="20"/>
      <c r="T194" s="12"/>
      <c r="U194" s="13"/>
      <c r="V194" s="12"/>
      <c r="W194" s="20"/>
      <c r="X194" s="12"/>
      <c r="Y194" s="20"/>
      <c r="Z194" s="12"/>
      <c r="AA194" s="20"/>
      <c r="AB194" s="12"/>
      <c r="AC194" s="20"/>
      <c r="AD194" s="12"/>
      <c r="AE194" s="20"/>
      <c r="AF194" s="12"/>
      <c r="AG194" s="20"/>
      <c r="AH194" s="12"/>
      <c r="AI194" s="20"/>
      <c r="AJ194" s="12"/>
      <c r="AK194" s="20"/>
      <c r="AL194" s="12"/>
      <c r="AM194" s="20"/>
      <c r="AN194" s="12"/>
      <c r="AO194" s="20"/>
      <c r="AP194" s="12"/>
      <c r="AQ194" s="20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0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0"/>
      <c r="AV194" s="12"/>
      <c r="AW194" s="12"/>
      <c r="AX194" s="12"/>
    </row>
  </sheetData>
  <autoFilter ref="A1:AV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  <mergeCell ref="A11:AV11"/>
    <mergeCell ref="AU1:AV1"/>
    <mergeCell ref="AC1:AD1"/>
    <mergeCell ref="Q1:R1"/>
    <mergeCell ref="G1:H1"/>
    <mergeCell ref="A1:A2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</mergeCells>
  <phoneticPr fontId="12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32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9" sqref="C9"/>
    </sheetView>
  </sheetViews>
  <sheetFormatPr defaultRowHeight="15" x14ac:dyDescent="0.25"/>
  <cols>
    <col min="1" max="1" width="4" customWidth="1"/>
    <col min="2" max="2" width="75.28515625" customWidth="1"/>
    <col min="3" max="3" width="28" customWidth="1"/>
    <col min="4" max="4" width="10.42578125" style="21" bestFit="1" customWidth="1"/>
    <col min="5" max="5" width="10.5703125" customWidth="1"/>
    <col min="6" max="6" width="9.85546875" bestFit="1" customWidth="1"/>
    <col min="7" max="7" width="10.5703125" customWidth="1"/>
    <col min="8" max="8" width="9.42578125" bestFit="1" customWidth="1"/>
    <col min="9" max="9" width="10.5703125" customWidth="1"/>
    <col min="10" max="10" width="11.7109375" customWidth="1"/>
    <col min="11" max="11" width="10.5703125" customWidth="1"/>
    <col min="12" max="12" width="10.28515625" bestFit="1" customWidth="1"/>
    <col min="13" max="13" width="10.5703125" customWidth="1"/>
    <col min="14" max="14" width="10.42578125" style="21" bestFit="1" customWidth="1"/>
    <col min="15" max="15" width="10.5703125" customWidth="1"/>
    <col min="16" max="16" width="10.42578125" style="21" bestFit="1" customWidth="1"/>
    <col min="17" max="17" width="10.5703125" customWidth="1"/>
    <col min="18" max="18" width="13.28515625" style="21" bestFit="1" customWidth="1"/>
    <col min="19" max="19" width="10.5703125" customWidth="1"/>
    <col min="20" max="20" width="14.7109375" bestFit="1" customWidth="1"/>
    <col min="21" max="21" width="10.5703125" customWidth="1"/>
    <col min="22" max="22" width="14.7109375" style="21" bestFit="1" customWidth="1"/>
    <col min="23" max="23" width="10.5703125" customWidth="1"/>
    <col min="24" max="24" width="10.42578125" style="21" bestFit="1" customWidth="1"/>
    <col min="25" max="25" width="10.5703125" customWidth="1"/>
    <col min="26" max="26" width="14.7109375" style="21" bestFit="1" customWidth="1"/>
    <col min="27" max="27" width="10.5703125" customWidth="1"/>
    <col min="28" max="28" width="10.42578125" style="21" bestFit="1" customWidth="1"/>
    <col min="29" max="29" width="10.5703125" customWidth="1"/>
    <col min="30" max="30" width="16.5703125" style="21" bestFit="1" customWidth="1"/>
    <col min="31" max="31" width="10.5703125" customWidth="1"/>
    <col min="32" max="32" width="13.28515625" style="21" bestFit="1" customWidth="1"/>
    <col min="33" max="33" width="10.5703125" customWidth="1"/>
    <col min="34" max="34" width="10.42578125" style="21" bestFit="1" customWidth="1"/>
    <col min="35" max="35" width="10.5703125" customWidth="1"/>
    <col min="36" max="36" width="10.42578125" style="21" bestFit="1" customWidth="1"/>
    <col min="37" max="37" width="10.5703125" customWidth="1"/>
    <col min="38" max="38" width="10.42578125" style="21" bestFit="1" customWidth="1"/>
    <col min="39" max="39" width="10.5703125" customWidth="1"/>
    <col min="40" max="40" width="10.42578125" style="21" bestFit="1" customWidth="1"/>
    <col min="41" max="41" width="10.5703125" customWidth="1"/>
    <col min="42" max="42" width="10.85546875" bestFit="1" customWidth="1"/>
    <col min="43" max="43" width="10.5703125" customWidth="1"/>
    <col min="44" max="44" width="13.5703125" style="21" bestFit="1" customWidth="1"/>
    <col min="45" max="45" width="10.5703125" customWidth="1"/>
    <col min="46" max="46" width="10.42578125" style="21" bestFit="1" customWidth="1"/>
    <col min="47" max="47" width="10.5703125" customWidth="1"/>
  </cols>
  <sheetData>
    <row r="1" spans="1:47" x14ac:dyDescent="0.25">
      <c r="A1" s="2"/>
      <c r="B1" s="2"/>
      <c r="C1" s="2"/>
      <c r="D1" s="61" t="str">
        <f>Wedstrijden_beheer!E1</f>
        <v>Roland</v>
      </c>
      <c r="E1" s="62"/>
      <c r="F1" s="60" t="str">
        <f>Wedstrijden_beheer!G1</f>
        <v>Nikki</v>
      </c>
      <c r="G1" s="47"/>
      <c r="H1" s="60" t="str">
        <f>Wedstrijden_beheer!I1</f>
        <v>Abdussamed</v>
      </c>
      <c r="I1" s="47"/>
      <c r="J1" s="60" t="str">
        <f>Wedstrijden_beheer!K1</f>
        <v>Karsten</v>
      </c>
      <c r="K1" s="47"/>
      <c r="L1" s="60" t="str">
        <f>Wedstrijden_beheer!M1</f>
        <v>Bas</v>
      </c>
      <c r="M1" s="47"/>
      <c r="N1" s="60" t="str">
        <f>Wedstrijden_beheer!O1</f>
        <v>Maik</v>
      </c>
      <c r="O1" s="47"/>
      <c r="P1" s="60" t="str">
        <f>Wedstrijden_beheer!Q1</f>
        <v>Simone</v>
      </c>
      <c r="Q1" s="47"/>
      <c r="R1" s="60" t="str">
        <f>Wedstrijden_beheer!S1</f>
        <v>Marc</v>
      </c>
      <c r="S1" s="47"/>
      <c r="T1" s="60" t="str">
        <f>Wedstrijden_beheer!U1</f>
        <v>Tom</v>
      </c>
      <c r="U1" s="47"/>
      <c r="V1" s="60" t="str">
        <f>Wedstrijden_beheer!W1</f>
        <v>Jos</v>
      </c>
      <c r="W1" s="47"/>
      <c r="X1" s="60" t="str">
        <f>Wedstrijden_beheer!Y1</f>
        <v>Lesley</v>
      </c>
      <c r="Y1" s="47"/>
      <c r="Z1" s="60" t="str">
        <f>Wedstrijden_beheer!AA1</f>
        <v>Ivo</v>
      </c>
      <c r="AA1" s="47"/>
      <c r="AB1" s="60" t="str">
        <f>Wedstrijden_beheer!AC1</f>
        <v>Ron</v>
      </c>
      <c r="AC1" s="47"/>
      <c r="AD1" s="60" t="str">
        <f>Wedstrijden_beheer!AE1</f>
        <v>Jeroen</v>
      </c>
      <c r="AE1" s="47"/>
      <c r="AF1" s="60" t="str">
        <f>Wedstrijden_beheer!AG1</f>
        <v>Erwin</v>
      </c>
      <c r="AG1" s="47"/>
      <c r="AH1" s="60" t="str">
        <f>Wedstrijden_beheer!AI1</f>
        <v>Tim</v>
      </c>
      <c r="AI1" s="47"/>
      <c r="AJ1" s="60" t="s">
        <v>20</v>
      </c>
      <c r="AK1" s="47"/>
      <c r="AL1" s="60" t="s">
        <v>21</v>
      </c>
      <c r="AM1" s="47"/>
      <c r="AN1" s="60" t="str">
        <f>Wedstrijden_beheer!AO1</f>
        <v>Patrick</v>
      </c>
      <c r="AO1" s="47"/>
      <c r="AP1" s="60" t="str">
        <f>Wedstrijden_beheer!AQ1</f>
        <v>Jeno</v>
      </c>
      <c r="AQ1" s="47"/>
      <c r="AR1" s="46" t="str">
        <f>Wedstrijden_beheer!AS1</f>
        <v>Andre</v>
      </c>
      <c r="AS1" s="59"/>
      <c r="AT1" s="46" t="str">
        <f>Wedstrijden_beheer!AU1</f>
        <v>Raymond</v>
      </c>
      <c r="AU1" s="59"/>
    </row>
    <row r="2" spans="1:47" s="27" customFormat="1" ht="14.45" customHeight="1" x14ac:dyDescent="0.25">
      <c r="A2" s="33"/>
      <c r="B2" s="34" t="s">
        <v>151</v>
      </c>
      <c r="C2" s="33" t="s">
        <v>152</v>
      </c>
      <c r="D2" s="35" t="s">
        <v>153</v>
      </c>
      <c r="E2" s="33" t="s">
        <v>28</v>
      </c>
      <c r="F2" s="33" t="s">
        <v>153</v>
      </c>
      <c r="G2" s="33" t="s">
        <v>28</v>
      </c>
      <c r="H2" s="33" t="s">
        <v>153</v>
      </c>
      <c r="I2" s="33" t="s">
        <v>28</v>
      </c>
      <c r="J2" s="33" t="s">
        <v>153</v>
      </c>
      <c r="K2" s="33" t="s">
        <v>28</v>
      </c>
      <c r="L2" s="33" t="s">
        <v>153</v>
      </c>
      <c r="M2" s="33" t="s">
        <v>28</v>
      </c>
      <c r="N2" s="35" t="s">
        <v>153</v>
      </c>
      <c r="O2" s="33" t="s">
        <v>28</v>
      </c>
      <c r="P2" s="35" t="s">
        <v>153</v>
      </c>
      <c r="Q2" s="33" t="s">
        <v>28</v>
      </c>
      <c r="R2" s="35" t="s">
        <v>153</v>
      </c>
      <c r="S2" s="33" t="s">
        <v>28</v>
      </c>
      <c r="T2" s="33" t="s">
        <v>153</v>
      </c>
      <c r="U2" s="33" t="s">
        <v>28</v>
      </c>
      <c r="V2" s="35" t="s">
        <v>153</v>
      </c>
      <c r="W2" s="33" t="s">
        <v>28</v>
      </c>
      <c r="X2" s="35" t="s">
        <v>153</v>
      </c>
      <c r="Y2" s="33" t="s">
        <v>28</v>
      </c>
      <c r="Z2" s="35" t="s">
        <v>153</v>
      </c>
      <c r="AA2" s="33" t="s">
        <v>28</v>
      </c>
      <c r="AB2" s="35" t="s">
        <v>153</v>
      </c>
      <c r="AC2" s="33" t="s">
        <v>28</v>
      </c>
      <c r="AD2" s="35" t="s">
        <v>153</v>
      </c>
      <c r="AE2" s="33" t="s">
        <v>28</v>
      </c>
      <c r="AF2" s="35" t="s">
        <v>153</v>
      </c>
      <c r="AG2" s="33" t="s">
        <v>28</v>
      </c>
      <c r="AH2" s="35" t="s">
        <v>153</v>
      </c>
      <c r="AI2" s="33" t="s">
        <v>28</v>
      </c>
      <c r="AJ2" s="35" t="s">
        <v>153</v>
      </c>
      <c r="AK2" s="33" t="s">
        <v>28</v>
      </c>
      <c r="AL2" s="36" t="s">
        <v>153</v>
      </c>
      <c r="AM2" s="33" t="s">
        <v>28</v>
      </c>
      <c r="AN2" s="35" t="s">
        <v>153</v>
      </c>
      <c r="AO2" s="33" t="s">
        <v>28</v>
      </c>
      <c r="AP2" s="33" t="s">
        <v>153</v>
      </c>
      <c r="AQ2" s="33" t="s">
        <v>28</v>
      </c>
      <c r="AR2" s="35" t="s">
        <v>153</v>
      </c>
      <c r="AS2" s="33" t="s">
        <v>28</v>
      </c>
      <c r="AT2" s="35" t="s">
        <v>153</v>
      </c>
      <c r="AU2" s="33" t="s">
        <v>28</v>
      </c>
    </row>
    <row r="3" spans="1:47" ht="14.45" customHeight="1" x14ac:dyDescent="0.25">
      <c r="A3" s="11">
        <v>1</v>
      </c>
      <c r="B3" s="1" t="s">
        <v>154</v>
      </c>
      <c r="C3" s="38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32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32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32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32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32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5" customHeight="1" x14ac:dyDescent="0.25">
      <c r="A4" s="11">
        <v>2</v>
      </c>
      <c r="B4" s="1" t="s">
        <v>155</v>
      </c>
      <c r="C4" s="28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95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5" customHeight="1" x14ac:dyDescent="0.25">
      <c r="A5" s="11">
        <v>3</v>
      </c>
      <c r="B5" s="1" t="s">
        <v>156</v>
      </c>
      <c r="C5" s="38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32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32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157</v>
      </c>
      <c r="AO5" s="11" t="str">
        <f t="shared" si="18"/>
        <v/>
      </c>
      <c r="AP5" s="32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5" customHeight="1" x14ac:dyDescent="0.25">
      <c r="A6" s="11">
        <v>4</v>
      </c>
      <c r="B6" s="1" t="s">
        <v>158</v>
      </c>
      <c r="C6" s="28" t="s">
        <v>161</v>
      </c>
      <c r="D6" s="24" t="s">
        <v>159</v>
      </c>
      <c r="E6" s="11">
        <f t="shared" si="0"/>
        <v>0</v>
      </c>
      <c r="F6" s="10" t="s">
        <v>160</v>
      </c>
      <c r="G6" s="11">
        <f t="shared" si="1"/>
        <v>0</v>
      </c>
      <c r="H6" s="10" t="s">
        <v>161</v>
      </c>
      <c r="I6" s="11">
        <f t="shared" si="2"/>
        <v>10</v>
      </c>
      <c r="J6" s="10" t="s">
        <v>160</v>
      </c>
      <c r="K6" s="11">
        <f t="shared" si="3"/>
        <v>0</v>
      </c>
      <c r="L6" s="10" t="s">
        <v>159</v>
      </c>
      <c r="M6" s="11">
        <f t="shared" si="4"/>
        <v>0</v>
      </c>
      <c r="N6" s="10" t="s">
        <v>159</v>
      </c>
      <c r="O6" s="11">
        <f t="shared" si="5"/>
        <v>0</v>
      </c>
      <c r="P6" s="10" t="s">
        <v>161</v>
      </c>
      <c r="Q6" s="11">
        <f t="shared" si="6"/>
        <v>10</v>
      </c>
      <c r="R6" s="10" t="s">
        <v>160</v>
      </c>
      <c r="S6" s="11">
        <f t="shared" si="7"/>
        <v>0</v>
      </c>
      <c r="T6" s="10" t="s">
        <v>161</v>
      </c>
      <c r="U6" s="11">
        <f t="shared" si="8"/>
        <v>10</v>
      </c>
      <c r="V6" s="10" t="s">
        <v>159</v>
      </c>
      <c r="W6" s="11">
        <f t="shared" si="9"/>
        <v>0</v>
      </c>
      <c r="X6" s="10" t="s">
        <v>161</v>
      </c>
      <c r="Y6" s="11">
        <f t="shared" si="10"/>
        <v>10</v>
      </c>
      <c r="Z6" s="10" t="s">
        <v>159</v>
      </c>
      <c r="AA6" s="11">
        <f t="shared" si="11"/>
        <v>0</v>
      </c>
      <c r="AB6" s="21" t="s">
        <v>160</v>
      </c>
      <c r="AC6" s="11">
        <f t="shared" si="12"/>
        <v>0</v>
      </c>
      <c r="AD6" s="10" t="s">
        <v>159</v>
      </c>
      <c r="AE6" s="11">
        <f t="shared" si="13"/>
        <v>0</v>
      </c>
      <c r="AF6" s="10" t="s">
        <v>161</v>
      </c>
      <c r="AG6" s="11">
        <f t="shared" si="14"/>
        <v>10</v>
      </c>
      <c r="AH6" s="10" t="s">
        <v>159</v>
      </c>
      <c r="AI6" s="11">
        <f t="shared" si="15"/>
        <v>0</v>
      </c>
      <c r="AJ6" s="10" t="s">
        <v>161</v>
      </c>
      <c r="AK6" s="11">
        <f t="shared" si="16"/>
        <v>10</v>
      </c>
      <c r="AL6" s="10" t="s">
        <v>161</v>
      </c>
      <c r="AM6" s="11">
        <f t="shared" si="17"/>
        <v>10</v>
      </c>
      <c r="AN6" s="10" t="s">
        <v>161</v>
      </c>
      <c r="AO6" s="11">
        <f t="shared" si="18"/>
        <v>10</v>
      </c>
      <c r="AP6" s="10" t="s">
        <v>161</v>
      </c>
      <c r="AQ6" s="11">
        <f t="shared" si="19"/>
        <v>10</v>
      </c>
      <c r="AR6" s="10" t="s">
        <v>259</v>
      </c>
      <c r="AS6" s="11">
        <f t="shared" si="20"/>
        <v>0</v>
      </c>
      <c r="AT6" s="10" t="s">
        <v>159</v>
      </c>
      <c r="AU6" s="11">
        <f t="shared" si="21"/>
        <v>0</v>
      </c>
    </row>
    <row r="7" spans="1:47" ht="14.45" customHeight="1" x14ac:dyDescent="0.25">
      <c r="A7" s="11">
        <v>5</v>
      </c>
      <c r="B7" s="1" t="s">
        <v>162</v>
      </c>
      <c r="C7" s="28">
        <v>22</v>
      </c>
      <c r="D7" s="11">
        <v>21</v>
      </c>
      <c r="E7" s="11">
        <f t="shared" si="0"/>
        <v>0</v>
      </c>
      <c r="F7" s="11">
        <v>20</v>
      </c>
      <c r="G7" s="11">
        <f t="shared" si="1"/>
        <v>0</v>
      </c>
      <c r="H7" s="11">
        <v>16</v>
      </c>
      <c r="I7" s="11">
        <f t="shared" si="2"/>
        <v>0</v>
      </c>
      <c r="J7" s="11">
        <v>20</v>
      </c>
      <c r="K7" s="11">
        <f t="shared" si="3"/>
        <v>0</v>
      </c>
      <c r="L7" s="11">
        <v>22</v>
      </c>
      <c r="M7" s="11">
        <f t="shared" si="4"/>
        <v>10</v>
      </c>
      <c r="N7" s="11">
        <v>22</v>
      </c>
      <c r="O7" s="11">
        <f t="shared" si="5"/>
        <v>10</v>
      </c>
      <c r="P7" s="11">
        <v>21</v>
      </c>
      <c r="Q7" s="11">
        <f t="shared" si="6"/>
        <v>0</v>
      </c>
      <c r="R7" s="11">
        <v>16</v>
      </c>
      <c r="S7" s="11">
        <f t="shared" si="7"/>
        <v>0</v>
      </c>
      <c r="T7" s="11">
        <v>20</v>
      </c>
      <c r="U7" s="11">
        <f t="shared" si="8"/>
        <v>0</v>
      </c>
      <c r="V7" s="11">
        <v>22</v>
      </c>
      <c r="W7" s="11">
        <f t="shared" si="9"/>
        <v>10</v>
      </c>
      <c r="X7" s="11">
        <v>19</v>
      </c>
      <c r="Y7" s="11">
        <f t="shared" si="10"/>
        <v>0</v>
      </c>
      <c r="Z7" s="11">
        <v>18</v>
      </c>
      <c r="AA7" s="11">
        <f t="shared" si="11"/>
        <v>0</v>
      </c>
      <c r="AB7" s="11">
        <v>19</v>
      </c>
      <c r="AC7" s="11">
        <f t="shared" si="12"/>
        <v>0</v>
      </c>
      <c r="AD7" s="11">
        <v>21</v>
      </c>
      <c r="AE7" s="11">
        <f t="shared" si="13"/>
        <v>0</v>
      </c>
      <c r="AF7" s="11">
        <v>19</v>
      </c>
      <c r="AG7" s="11">
        <f t="shared" si="14"/>
        <v>0</v>
      </c>
      <c r="AH7" s="11">
        <v>22</v>
      </c>
      <c r="AI7" s="11">
        <f t="shared" si="15"/>
        <v>10</v>
      </c>
      <c r="AJ7" s="11">
        <v>19</v>
      </c>
      <c r="AK7" s="11">
        <f t="shared" si="16"/>
        <v>0</v>
      </c>
      <c r="AL7" s="11">
        <v>20</v>
      </c>
      <c r="AM7" s="11">
        <f t="shared" si="17"/>
        <v>0</v>
      </c>
      <c r="AN7" s="11">
        <v>19</v>
      </c>
      <c r="AO7" s="11">
        <f t="shared" si="18"/>
        <v>0</v>
      </c>
      <c r="AP7" s="10" t="s">
        <v>163</v>
      </c>
      <c r="AQ7" s="11">
        <f t="shared" si="19"/>
        <v>0</v>
      </c>
      <c r="AR7" s="11">
        <v>19</v>
      </c>
      <c r="AS7" s="11">
        <f t="shared" si="20"/>
        <v>0</v>
      </c>
      <c r="AT7" s="11">
        <v>20</v>
      </c>
      <c r="AU7" s="11">
        <f t="shared" si="21"/>
        <v>0</v>
      </c>
    </row>
    <row r="8" spans="1:47" ht="14.45" customHeight="1" x14ac:dyDescent="0.25">
      <c r="A8" s="11">
        <v>6</v>
      </c>
      <c r="B8" s="1" t="s">
        <v>164</v>
      </c>
      <c r="C8" s="28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95</v>
      </c>
      <c r="Y8" s="11" t="str">
        <f t="shared" si="10"/>
        <v/>
      </c>
      <c r="Z8" s="10" t="s">
        <v>99</v>
      </c>
      <c r="AA8" s="11" t="str">
        <f t="shared" si="11"/>
        <v/>
      </c>
      <c r="AB8" s="21" t="s">
        <v>165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166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5" customHeight="1" x14ac:dyDescent="0.25">
      <c r="A9" s="11">
        <v>7</v>
      </c>
      <c r="B9" s="1" t="s">
        <v>167</v>
      </c>
      <c r="C9" s="28" t="s">
        <v>269</v>
      </c>
      <c r="D9" s="10" t="s">
        <v>168</v>
      </c>
      <c r="E9" s="11">
        <f>IF(ISNUMBER(FIND(" "&amp;D9&amp;" "," "&amp;C9&amp;" ")),10,0)</f>
        <v>0</v>
      </c>
      <c r="F9" s="10" t="s">
        <v>101</v>
      </c>
      <c r="G9" s="11">
        <f>IF(ISNUMBER(FIND(" "&amp;F9&amp;" "," "&amp;C9&amp;" ")),10,0)</f>
        <v>0</v>
      </c>
      <c r="H9" s="10" t="s">
        <v>168</v>
      </c>
      <c r="I9" s="11">
        <f>IF(ISNUMBER(FIND(" "&amp;H9&amp;" "," "&amp;C9&amp;" ")),10,0)</f>
        <v>0</v>
      </c>
      <c r="J9" s="10" t="s">
        <v>169</v>
      </c>
      <c r="K9" s="11">
        <f>IF(ISNUMBER(FIND(" "&amp;J9&amp;" "," "&amp;C9&amp;" ")),10,0)</f>
        <v>0</v>
      </c>
      <c r="L9" s="10" t="s">
        <v>169</v>
      </c>
      <c r="M9" s="11">
        <f>IF(ISNUMBER(FIND(" "&amp;L9&amp;" "," "&amp;C9&amp;" ")),10,0)</f>
        <v>0</v>
      </c>
      <c r="N9" s="10" t="s">
        <v>168</v>
      </c>
      <c r="O9" s="11">
        <f>IF(ISNUMBER(FIND(" "&amp;N9&amp;" "," "&amp;C9&amp;" ")),10,0)</f>
        <v>0</v>
      </c>
      <c r="P9" s="10" t="s">
        <v>169</v>
      </c>
      <c r="Q9" s="11">
        <f>IF(ISNUMBER(FIND(" "&amp;P9&amp;" "," "&amp;C9&amp;" ")),10,0)</f>
        <v>0</v>
      </c>
      <c r="R9" s="10" t="s">
        <v>88</v>
      </c>
      <c r="S9" s="11">
        <f>IF(ISNUMBER(FIND(" "&amp;R9&amp;" "," "&amp;C9&amp;" ")),10,0)</f>
        <v>0</v>
      </c>
      <c r="T9" s="10" t="s">
        <v>168</v>
      </c>
      <c r="U9" s="11">
        <f>IF(ISNUMBER(FIND(" "&amp;T9&amp;" "," "&amp;C9&amp;" ")),10,0)</f>
        <v>0</v>
      </c>
      <c r="V9" s="10" t="s">
        <v>168</v>
      </c>
      <c r="W9" s="11">
        <f>IF(ISNUMBER(FIND(" "&amp;V9&amp;" "," "&amp;C9&amp;" ")),10,0)</f>
        <v>0</v>
      </c>
      <c r="X9" s="10" t="s">
        <v>168</v>
      </c>
      <c r="Y9" s="11">
        <f>IF(ISNUMBER(FIND(" "&amp;X9&amp;" "," "&amp;C9&amp;" ")),10,0)</f>
        <v>0</v>
      </c>
      <c r="Z9" s="10" t="s">
        <v>70</v>
      </c>
      <c r="AA9" s="11">
        <f>IF(ISNUMBER(FIND(" "&amp;Z9&amp;" "," "&amp;C9&amp;" ")),10,0)</f>
        <v>0</v>
      </c>
      <c r="AB9" s="21" t="s">
        <v>54</v>
      </c>
      <c r="AC9" s="11">
        <f>IF(ISNUMBER(FIND(" "&amp;AB9&amp;" "," "&amp;C9&amp;" ")),10,0)</f>
        <v>0</v>
      </c>
      <c r="AD9" s="11" t="s">
        <v>70</v>
      </c>
      <c r="AE9" s="11">
        <f>IF(ISNUMBER(FIND(" "&amp;AD9&amp;" "," "&amp;C9&amp;" ")),10,0)</f>
        <v>0</v>
      </c>
      <c r="AF9" s="10" t="s">
        <v>88</v>
      </c>
      <c r="AG9" s="11">
        <f>IF(ISNUMBER(FIND(" "&amp;AF9&amp;" "," "&amp;C9&amp;" ")),10,0)</f>
        <v>0</v>
      </c>
      <c r="AH9" s="10" t="s">
        <v>81</v>
      </c>
      <c r="AI9" s="11">
        <f>IF(ISNUMBER(FIND(" "&amp;AH9&amp;" "," "&amp;C9&amp;" ")),10,0)</f>
        <v>0</v>
      </c>
      <c r="AJ9" s="10" t="s">
        <v>64</v>
      </c>
      <c r="AK9" s="11">
        <f>IF(ISNUMBER(FIND(" "&amp;AJ9&amp;" "," "&amp;C9&amp;" ")),10,0)</f>
        <v>0</v>
      </c>
      <c r="AL9" s="10" t="s">
        <v>64</v>
      </c>
      <c r="AM9" s="11">
        <f>IF(ISNUMBER(FIND(" "&amp;AL9&amp;" "," "&amp;C9&amp;" ")),10,0)</f>
        <v>0</v>
      </c>
      <c r="AN9" s="21" t="s">
        <v>64</v>
      </c>
      <c r="AO9" s="11">
        <f>IF(ISNUMBER(FIND(" "&amp;AN9&amp;" "," "&amp;C9&amp;" ")),10,0)</f>
        <v>0</v>
      </c>
      <c r="AP9" s="10" t="s">
        <v>107</v>
      </c>
      <c r="AQ9" s="11">
        <f>IF(ISNUMBER(FIND(" "&amp;AP9&amp;" "," "&amp;C9&amp;" ")),10,0)</f>
        <v>0</v>
      </c>
      <c r="AR9" s="10" t="s">
        <v>169</v>
      </c>
      <c r="AS9" s="11">
        <f>IF(ISNUMBER(FIND(" "&amp;AR9&amp;" "," "&amp;C9&amp;" ")),10,0)</f>
        <v>0</v>
      </c>
      <c r="AT9" s="10" t="s">
        <v>170</v>
      </c>
      <c r="AU9" s="11">
        <f>IF(ISNUMBER(FIND(" "&amp;AT9&amp;" "," "&amp;C9&amp;" ")),10,0)</f>
        <v>0</v>
      </c>
    </row>
    <row r="10" spans="1:47" ht="14.45" customHeight="1" x14ac:dyDescent="0.25">
      <c r="A10" s="11">
        <v>8</v>
      </c>
      <c r="B10" s="1" t="s">
        <v>171</v>
      </c>
      <c r="C10" s="38"/>
      <c r="D10" s="10" t="s">
        <v>165</v>
      </c>
      <c r="E10" s="11" t="str">
        <f t="shared" si="0"/>
        <v/>
      </c>
      <c r="F10" s="10" t="s">
        <v>165</v>
      </c>
      <c r="G10" s="11" t="str">
        <f t="shared" si="1"/>
        <v/>
      </c>
      <c r="H10" s="10" t="s">
        <v>165</v>
      </c>
      <c r="I10" s="11" t="str">
        <f t="shared" si="2"/>
        <v/>
      </c>
      <c r="J10" s="10" t="s">
        <v>160</v>
      </c>
      <c r="K10" s="11" t="str">
        <f t="shared" si="3"/>
        <v/>
      </c>
      <c r="L10" s="10" t="s">
        <v>172</v>
      </c>
      <c r="M10" s="11" t="str">
        <f t="shared" si="4"/>
        <v/>
      </c>
      <c r="N10" s="10" t="s">
        <v>173</v>
      </c>
      <c r="O10" s="11" t="str">
        <f t="shared" si="5"/>
        <v/>
      </c>
      <c r="P10" s="10" t="s">
        <v>165</v>
      </c>
      <c r="Q10" s="11" t="str">
        <f t="shared" si="6"/>
        <v/>
      </c>
      <c r="R10" s="10" t="s">
        <v>165</v>
      </c>
      <c r="S10" s="11" t="str">
        <f t="shared" si="7"/>
        <v/>
      </c>
      <c r="T10" s="10" t="s">
        <v>174</v>
      </c>
      <c r="U10" s="11" t="str">
        <f t="shared" si="8"/>
        <v/>
      </c>
      <c r="V10" s="10" t="s">
        <v>175</v>
      </c>
      <c r="W10" s="11" t="str">
        <f t="shared" si="9"/>
        <v/>
      </c>
      <c r="X10" s="10" t="s">
        <v>161</v>
      </c>
      <c r="Y10" s="11" t="str">
        <f t="shared" si="10"/>
        <v/>
      </c>
      <c r="Z10" s="10" t="s">
        <v>165</v>
      </c>
      <c r="AA10" s="11" t="str">
        <f t="shared" si="11"/>
        <v/>
      </c>
      <c r="AB10" s="21" t="s">
        <v>165</v>
      </c>
      <c r="AC10" s="11" t="str">
        <f t="shared" si="12"/>
        <v/>
      </c>
      <c r="AD10" s="10" t="s">
        <v>165</v>
      </c>
      <c r="AE10" s="11" t="str">
        <f t="shared" si="13"/>
        <v/>
      </c>
      <c r="AF10" s="10" t="s">
        <v>165</v>
      </c>
      <c r="AG10" s="11" t="str">
        <f t="shared" si="14"/>
        <v/>
      </c>
      <c r="AH10" s="10" t="s">
        <v>165</v>
      </c>
      <c r="AI10" s="11" t="str">
        <f t="shared" si="15"/>
        <v/>
      </c>
      <c r="AJ10" s="10" t="s">
        <v>165</v>
      </c>
      <c r="AK10" s="11" t="str">
        <f t="shared" si="16"/>
        <v/>
      </c>
      <c r="AL10" s="10" t="s">
        <v>176</v>
      </c>
      <c r="AM10" s="11" t="str">
        <f t="shared" si="17"/>
        <v/>
      </c>
      <c r="AN10" s="10" t="s">
        <v>177</v>
      </c>
      <c r="AO10" s="11" t="str">
        <f t="shared" si="18"/>
        <v/>
      </c>
      <c r="AP10" s="10" t="s">
        <v>165</v>
      </c>
      <c r="AQ10" s="11" t="str">
        <f t="shared" si="19"/>
        <v/>
      </c>
      <c r="AR10" s="10" t="s">
        <v>177</v>
      </c>
      <c r="AS10" s="11" t="str">
        <f t="shared" si="20"/>
        <v/>
      </c>
      <c r="AT10" s="10" t="s">
        <v>178</v>
      </c>
      <c r="AU10" s="11" t="str">
        <f t="shared" si="21"/>
        <v/>
      </c>
    </row>
    <row r="11" spans="1:47" ht="14.45" customHeight="1" x14ac:dyDescent="0.25">
      <c r="A11" s="11">
        <v>9</v>
      </c>
      <c r="B11" s="1" t="s">
        <v>179</v>
      </c>
      <c r="C11" s="28"/>
      <c r="D11" s="10" t="s">
        <v>173</v>
      </c>
      <c r="E11" s="11" t="str">
        <f t="shared" si="0"/>
        <v/>
      </c>
      <c r="F11" s="10" t="s">
        <v>180</v>
      </c>
      <c r="G11" s="11" t="str">
        <f t="shared" si="1"/>
        <v/>
      </c>
      <c r="H11" s="10" t="s">
        <v>173</v>
      </c>
      <c r="I11" s="11" t="str">
        <f t="shared" si="2"/>
        <v/>
      </c>
      <c r="J11" s="10" t="s">
        <v>159</v>
      </c>
      <c r="K11" s="11" t="str">
        <f t="shared" si="3"/>
        <v/>
      </c>
      <c r="L11" s="10" t="s">
        <v>181</v>
      </c>
      <c r="M11" s="11" t="str">
        <f t="shared" si="4"/>
        <v/>
      </c>
      <c r="N11" s="10" t="s">
        <v>176</v>
      </c>
      <c r="O11" s="11" t="str">
        <f t="shared" si="5"/>
        <v/>
      </c>
      <c r="P11" s="10" t="s">
        <v>173</v>
      </c>
      <c r="Q11" s="11" t="str">
        <f t="shared" si="6"/>
        <v/>
      </c>
      <c r="R11" s="10" t="s">
        <v>173</v>
      </c>
      <c r="S11" s="11" t="str">
        <f t="shared" si="7"/>
        <v/>
      </c>
      <c r="T11" s="10" t="s">
        <v>182</v>
      </c>
      <c r="U11" s="11" t="str">
        <f t="shared" si="8"/>
        <v/>
      </c>
      <c r="V11" s="10" t="s">
        <v>182</v>
      </c>
      <c r="W11" s="11" t="str">
        <f t="shared" si="9"/>
        <v/>
      </c>
      <c r="X11" s="10" t="s">
        <v>183</v>
      </c>
      <c r="Y11" s="11" t="str">
        <f t="shared" si="10"/>
        <v/>
      </c>
      <c r="Z11" s="10" t="s">
        <v>182</v>
      </c>
      <c r="AA11" s="11" t="str">
        <f t="shared" si="11"/>
        <v/>
      </c>
      <c r="AB11" s="21" t="s">
        <v>183</v>
      </c>
      <c r="AC11" s="11" t="str">
        <f t="shared" si="12"/>
        <v/>
      </c>
      <c r="AD11" s="10" t="s">
        <v>184</v>
      </c>
      <c r="AE11" s="11" t="str">
        <f t="shared" si="13"/>
        <v/>
      </c>
      <c r="AF11" s="10" t="s">
        <v>185</v>
      </c>
      <c r="AG11" s="11" t="str">
        <f t="shared" si="14"/>
        <v/>
      </c>
      <c r="AH11" s="10" t="s">
        <v>186</v>
      </c>
      <c r="AI11" s="11" t="str">
        <f t="shared" si="15"/>
        <v/>
      </c>
      <c r="AJ11" s="10" t="s">
        <v>173</v>
      </c>
      <c r="AK11" s="11" t="str">
        <f t="shared" si="16"/>
        <v/>
      </c>
      <c r="AL11" s="10" t="s">
        <v>187</v>
      </c>
      <c r="AM11" s="11" t="str">
        <f t="shared" si="17"/>
        <v/>
      </c>
      <c r="AN11" s="10" t="s">
        <v>176</v>
      </c>
      <c r="AO11" s="11" t="str">
        <f t="shared" si="18"/>
        <v/>
      </c>
      <c r="AP11" s="10" t="s">
        <v>188</v>
      </c>
      <c r="AQ11" s="11" t="str">
        <f t="shared" si="19"/>
        <v/>
      </c>
      <c r="AR11" s="10" t="s">
        <v>260</v>
      </c>
      <c r="AS11" s="11" t="str">
        <f t="shared" si="20"/>
        <v/>
      </c>
      <c r="AT11" s="10" t="s">
        <v>165</v>
      </c>
      <c r="AU11" s="11" t="str">
        <f t="shared" si="21"/>
        <v/>
      </c>
    </row>
    <row r="12" spans="1:47" ht="14.45" customHeight="1" x14ac:dyDescent="0.25">
      <c r="A12" s="11">
        <v>10</v>
      </c>
      <c r="B12" s="1" t="s">
        <v>189</v>
      </c>
      <c r="C12" s="38"/>
      <c r="D12" s="10" t="s">
        <v>190</v>
      </c>
      <c r="E12" s="11" t="str">
        <f t="shared" si="0"/>
        <v/>
      </c>
      <c r="F12" s="10" t="s">
        <v>165</v>
      </c>
      <c r="G12" s="11" t="str">
        <f t="shared" si="1"/>
        <v/>
      </c>
      <c r="H12" s="10" t="s">
        <v>165</v>
      </c>
      <c r="I12" s="11" t="str">
        <f t="shared" si="2"/>
        <v/>
      </c>
      <c r="J12" s="10" t="s">
        <v>191</v>
      </c>
      <c r="K12" s="11" t="str">
        <f t="shared" si="3"/>
        <v/>
      </c>
      <c r="L12" s="10" t="s">
        <v>181</v>
      </c>
      <c r="M12" s="11" t="str">
        <f t="shared" si="4"/>
        <v/>
      </c>
      <c r="N12" s="10" t="s">
        <v>173</v>
      </c>
      <c r="O12" s="11" t="str">
        <f t="shared" si="5"/>
        <v/>
      </c>
      <c r="P12" s="10" t="s">
        <v>188</v>
      </c>
      <c r="Q12" s="11" t="str">
        <f t="shared" si="6"/>
        <v/>
      </c>
      <c r="R12" s="10" t="s">
        <v>192</v>
      </c>
      <c r="S12" s="11" t="str">
        <f t="shared" si="7"/>
        <v/>
      </c>
      <c r="T12" s="10" t="s">
        <v>176</v>
      </c>
      <c r="U12" s="11" t="str">
        <f t="shared" si="8"/>
        <v/>
      </c>
      <c r="V12" s="10" t="s">
        <v>165</v>
      </c>
      <c r="W12" s="11" t="str">
        <f t="shared" si="9"/>
        <v/>
      </c>
      <c r="X12" s="10" t="s">
        <v>161</v>
      </c>
      <c r="Y12" s="11" t="str">
        <f t="shared" si="10"/>
        <v/>
      </c>
      <c r="Z12" s="10" t="s">
        <v>182</v>
      </c>
      <c r="AA12" s="11" t="str">
        <f t="shared" si="11"/>
        <v/>
      </c>
      <c r="AB12" s="21" t="s">
        <v>165</v>
      </c>
      <c r="AC12" s="11" t="str">
        <f t="shared" si="12"/>
        <v/>
      </c>
      <c r="AD12" s="10" t="s">
        <v>193</v>
      </c>
      <c r="AE12" s="11" t="str">
        <f t="shared" si="13"/>
        <v/>
      </c>
      <c r="AF12" s="10" t="s">
        <v>165</v>
      </c>
      <c r="AG12" s="11" t="str">
        <f t="shared" si="14"/>
        <v/>
      </c>
      <c r="AH12" s="10" t="s">
        <v>165</v>
      </c>
      <c r="AI12" s="11" t="str">
        <f t="shared" si="15"/>
        <v/>
      </c>
      <c r="AJ12" s="10" t="s">
        <v>185</v>
      </c>
      <c r="AK12" s="11" t="str">
        <f t="shared" si="16"/>
        <v/>
      </c>
      <c r="AL12" s="10" t="s">
        <v>165</v>
      </c>
      <c r="AM12" s="11" t="str">
        <f t="shared" si="17"/>
        <v/>
      </c>
      <c r="AN12" s="10" t="s">
        <v>173</v>
      </c>
      <c r="AO12" s="11" t="str">
        <f t="shared" si="18"/>
        <v/>
      </c>
      <c r="AP12" s="10" t="s">
        <v>165</v>
      </c>
      <c r="AQ12" s="11" t="str">
        <f t="shared" si="19"/>
        <v/>
      </c>
      <c r="AR12" s="10" t="s">
        <v>188</v>
      </c>
      <c r="AS12" s="11" t="str">
        <f t="shared" si="20"/>
        <v/>
      </c>
      <c r="AT12" s="10" t="s">
        <v>178</v>
      </c>
      <c r="AU12" s="11" t="str">
        <f t="shared" si="21"/>
        <v/>
      </c>
    </row>
    <row r="13" spans="1:47" ht="14.45" customHeight="1" x14ac:dyDescent="0.25">
      <c r="A13" s="11">
        <v>11</v>
      </c>
      <c r="B13" s="1" t="s">
        <v>194</v>
      </c>
      <c r="C13" s="38"/>
      <c r="D13" s="10" t="s">
        <v>173</v>
      </c>
      <c r="E13" s="11" t="str">
        <f t="shared" si="0"/>
        <v/>
      </c>
      <c r="F13" s="10" t="s">
        <v>183</v>
      </c>
      <c r="G13" s="11" t="str">
        <f t="shared" si="1"/>
        <v/>
      </c>
      <c r="H13" s="10" t="s">
        <v>173</v>
      </c>
      <c r="I13" s="11" t="str">
        <f t="shared" si="2"/>
        <v/>
      </c>
      <c r="J13" s="10" t="s">
        <v>173</v>
      </c>
      <c r="K13" s="11" t="str">
        <f t="shared" si="3"/>
        <v/>
      </c>
      <c r="L13" s="10" t="s">
        <v>197</v>
      </c>
      <c r="M13" s="11" t="str">
        <f t="shared" si="4"/>
        <v/>
      </c>
      <c r="N13" s="10" t="s">
        <v>195</v>
      </c>
      <c r="O13" s="11" t="str">
        <f t="shared" si="5"/>
        <v/>
      </c>
      <c r="P13" s="10" t="s">
        <v>196</v>
      </c>
      <c r="Q13" s="11" t="str">
        <f t="shared" si="6"/>
        <v/>
      </c>
      <c r="R13" s="21" t="s">
        <v>173</v>
      </c>
      <c r="S13" s="11" t="str">
        <f t="shared" si="7"/>
        <v/>
      </c>
      <c r="T13" s="10" t="s">
        <v>173</v>
      </c>
      <c r="U13" s="11" t="str">
        <f t="shared" si="8"/>
        <v/>
      </c>
      <c r="V13" s="10" t="s">
        <v>173</v>
      </c>
      <c r="W13" s="11" t="str">
        <f t="shared" si="9"/>
        <v/>
      </c>
      <c r="X13" s="10" t="s">
        <v>173</v>
      </c>
      <c r="Y13" s="11" t="str">
        <f t="shared" si="10"/>
        <v/>
      </c>
      <c r="Z13" s="10" t="s">
        <v>173</v>
      </c>
      <c r="AA13" s="11" t="str">
        <f t="shared" si="11"/>
        <v/>
      </c>
      <c r="AB13" s="21" t="s">
        <v>173</v>
      </c>
      <c r="AC13" s="11" t="str">
        <f t="shared" si="12"/>
        <v/>
      </c>
      <c r="AD13" s="10" t="s">
        <v>183</v>
      </c>
      <c r="AE13" s="11" t="str">
        <f t="shared" si="13"/>
        <v/>
      </c>
      <c r="AF13" s="10" t="s">
        <v>185</v>
      </c>
      <c r="AG13" s="11" t="str">
        <f t="shared" si="14"/>
        <v/>
      </c>
      <c r="AH13" s="10" t="s">
        <v>197</v>
      </c>
      <c r="AI13" s="11" t="str">
        <f t="shared" si="15"/>
        <v/>
      </c>
      <c r="AJ13" s="10" t="s">
        <v>173</v>
      </c>
      <c r="AK13" s="11" t="str">
        <f t="shared" si="16"/>
        <v/>
      </c>
      <c r="AL13" s="10" t="s">
        <v>173</v>
      </c>
      <c r="AM13" s="11" t="str">
        <f t="shared" si="17"/>
        <v/>
      </c>
      <c r="AN13" s="10" t="s">
        <v>198</v>
      </c>
      <c r="AO13" s="11" t="str">
        <f t="shared" si="18"/>
        <v/>
      </c>
      <c r="AP13" s="10" t="s">
        <v>173</v>
      </c>
      <c r="AQ13" s="11" t="str">
        <f t="shared" si="19"/>
        <v/>
      </c>
      <c r="AR13" s="10" t="s">
        <v>261</v>
      </c>
      <c r="AS13" s="11" t="str">
        <f t="shared" si="20"/>
        <v/>
      </c>
      <c r="AT13" s="10" t="s">
        <v>178</v>
      </c>
      <c r="AU13" s="11" t="str">
        <f t="shared" si="21"/>
        <v/>
      </c>
    </row>
    <row r="14" spans="1:47" ht="14.45" customHeight="1" x14ac:dyDescent="0.25">
      <c r="A14" s="11">
        <v>12</v>
      </c>
      <c r="B14" s="1" t="s">
        <v>199</v>
      </c>
      <c r="C14" s="28"/>
      <c r="D14" s="10" t="s">
        <v>200</v>
      </c>
      <c r="E14" s="11" t="str">
        <f t="shared" si="0"/>
        <v/>
      </c>
      <c r="F14" s="10" t="s">
        <v>201</v>
      </c>
      <c r="G14" s="11" t="str">
        <f t="shared" si="1"/>
        <v/>
      </c>
      <c r="H14" s="10" t="s">
        <v>202</v>
      </c>
      <c r="I14" s="11" t="str">
        <f t="shared" si="2"/>
        <v/>
      </c>
      <c r="J14" s="10" t="s">
        <v>203</v>
      </c>
      <c r="K14" s="11" t="str">
        <f t="shared" si="3"/>
        <v/>
      </c>
      <c r="L14" s="10" t="s">
        <v>204</v>
      </c>
      <c r="M14" s="11" t="str">
        <f t="shared" si="4"/>
        <v/>
      </c>
      <c r="N14" s="10" t="s">
        <v>205</v>
      </c>
      <c r="O14" s="11" t="str">
        <f t="shared" si="5"/>
        <v/>
      </c>
      <c r="P14" s="10" t="s">
        <v>203</v>
      </c>
      <c r="Q14" s="11" t="str">
        <f t="shared" si="6"/>
        <v/>
      </c>
      <c r="R14" s="10" t="s">
        <v>202</v>
      </c>
      <c r="S14" s="11" t="str">
        <f t="shared" si="7"/>
        <v/>
      </c>
      <c r="T14" s="10" t="s">
        <v>203</v>
      </c>
      <c r="U14" s="11" t="str">
        <f t="shared" si="8"/>
        <v/>
      </c>
      <c r="V14" s="10" t="s">
        <v>202</v>
      </c>
      <c r="W14" s="11" t="str">
        <f t="shared" si="9"/>
        <v/>
      </c>
      <c r="X14" s="10" t="s">
        <v>204</v>
      </c>
      <c r="Y14" s="11" t="str">
        <f t="shared" si="10"/>
        <v/>
      </c>
      <c r="Z14" s="10" t="s">
        <v>205</v>
      </c>
      <c r="AA14" s="11" t="str">
        <f t="shared" si="11"/>
        <v/>
      </c>
      <c r="AB14" s="21" t="s">
        <v>200</v>
      </c>
      <c r="AC14" s="11" t="str">
        <f t="shared" si="12"/>
        <v/>
      </c>
      <c r="AD14" s="10" t="s">
        <v>201</v>
      </c>
      <c r="AE14" s="11" t="str">
        <f t="shared" si="13"/>
        <v/>
      </c>
      <c r="AF14" s="10" t="s">
        <v>201</v>
      </c>
      <c r="AG14" s="11" t="str">
        <f t="shared" si="14"/>
        <v/>
      </c>
      <c r="AH14" s="10" t="s">
        <v>205</v>
      </c>
      <c r="AI14" s="11" t="str">
        <f t="shared" si="15"/>
        <v/>
      </c>
      <c r="AJ14" s="10" t="s">
        <v>206</v>
      </c>
      <c r="AK14" s="11" t="str">
        <f t="shared" si="16"/>
        <v/>
      </c>
      <c r="AL14" s="10" t="s">
        <v>207</v>
      </c>
      <c r="AM14" s="11" t="str">
        <f t="shared" si="17"/>
        <v/>
      </c>
      <c r="AN14" s="10" t="s">
        <v>207</v>
      </c>
      <c r="AO14" s="11" t="str">
        <f t="shared" si="18"/>
        <v/>
      </c>
      <c r="AP14" s="10" t="s">
        <v>204</v>
      </c>
      <c r="AQ14" s="11" t="str">
        <f t="shared" si="19"/>
        <v/>
      </c>
      <c r="AR14" s="10" t="s">
        <v>207</v>
      </c>
      <c r="AS14" s="11" t="str">
        <f t="shared" si="20"/>
        <v/>
      </c>
      <c r="AT14" s="10" t="s">
        <v>203</v>
      </c>
      <c r="AU14" s="11" t="str">
        <f t="shared" si="21"/>
        <v/>
      </c>
    </row>
    <row r="15" spans="1:47" ht="14.45" customHeight="1" x14ac:dyDescent="0.25">
      <c r="A15" s="11">
        <v>13</v>
      </c>
      <c r="B15" s="1" t="s">
        <v>208</v>
      </c>
      <c r="C15" s="28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1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163</v>
      </c>
      <c r="AO15" s="11" t="str">
        <f t="shared" si="18"/>
        <v/>
      </c>
      <c r="AP15" s="10" t="s">
        <v>209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5" customHeight="1" x14ac:dyDescent="0.25">
      <c r="A16" s="11">
        <v>14</v>
      </c>
      <c r="B16" s="1" t="s">
        <v>210</v>
      </c>
      <c r="C16" s="28"/>
      <c r="D16" s="10" t="s">
        <v>211</v>
      </c>
      <c r="E16" s="11" t="str">
        <f t="shared" si="0"/>
        <v/>
      </c>
      <c r="F16" s="10" t="s">
        <v>212</v>
      </c>
      <c r="G16" s="11" t="str">
        <f t="shared" si="1"/>
        <v/>
      </c>
      <c r="H16" s="10" t="s">
        <v>213</v>
      </c>
      <c r="I16" s="11" t="str">
        <f t="shared" si="2"/>
        <v/>
      </c>
      <c r="J16" s="10" t="s">
        <v>214</v>
      </c>
      <c r="K16" s="11" t="str">
        <f t="shared" si="3"/>
        <v/>
      </c>
      <c r="L16" s="10" t="s">
        <v>214</v>
      </c>
      <c r="M16" s="11" t="str">
        <f t="shared" si="4"/>
        <v/>
      </c>
      <c r="N16" s="10" t="s">
        <v>211</v>
      </c>
      <c r="O16" s="11" t="str">
        <f t="shared" si="5"/>
        <v/>
      </c>
      <c r="P16" s="10" t="s">
        <v>212</v>
      </c>
      <c r="Q16" s="11" t="str">
        <f t="shared" si="6"/>
        <v/>
      </c>
      <c r="R16" s="10" t="s">
        <v>212</v>
      </c>
      <c r="S16" s="11" t="str">
        <f t="shared" si="7"/>
        <v/>
      </c>
      <c r="T16" s="10" t="s">
        <v>215</v>
      </c>
      <c r="U16" s="11" t="str">
        <f t="shared" si="8"/>
        <v/>
      </c>
      <c r="V16" s="10" t="s">
        <v>212</v>
      </c>
      <c r="W16" s="11" t="str">
        <f t="shared" si="9"/>
        <v/>
      </c>
      <c r="X16" s="10" t="s">
        <v>212</v>
      </c>
      <c r="Y16" s="11" t="str">
        <f t="shared" si="10"/>
        <v/>
      </c>
      <c r="Z16" s="10" t="s">
        <v>214</v>
      </c>
      <c r="AA16" s="11" t="str">
        <f t="shared" si="11"/>
        <v/>
      </c>
      <c r="AB16" s="21" t="s">
        <v>212</v>
      </c>
      <c r="AC16" s="11" t="str">
        <f t="shared" si="12"/>
        <v/>
      </c>
      <c r="AD16" s="10" t="s">
        <v>216</v>
      </c>
      <c r="AE16" s="11" t="str">
        <f t="shared" si="13"/>
        <v/>
      </c>
      <c r="AF16" s="10" t="s">
        <v>212</v>
      </c>
      <c r="AG16" s="11" t="str">
        <f t="shared" si="14"/>
        <v/>
      </c>
      <c r="AH16" s="10" t="s">
        <v>213</v>
      </c>
      <c r="AI16" s="11" t="str">
        <f t="shared" si="15"/>
        <v/>
      </c>
      <c r="AJ16" s="10" t="s">
        <v>212</v>
      </c>
      <c r="AK16" s="11" t="str">
        <f t="shared" si="16"/>
        <v/>
      </c>
      <c r="AL16" s="26" t="s">
        <v>211</v>
      </c>
      <c r="AM16" s="11" t="str">
        <f t="shared" si="17"/>
        <v/>
      </c>
      <c r="AN16" s="10" t="s">
        <v>213</v>
      </c>
      <c r="AO16" s="11" t="str">
        <f t="shared" si="18"/>
        <v/>
      </c>
      <c r="AP16" s="10" t="s">
        <v>212</v>
      </c>
      <c r="AQ16" s="11" t="str">
        <f t="shared" si="19"/>
        <v/>
      </c>
      <c r="AR16" s="10" t="s">
        <v>262</v>
      </c>
      <c r="AS16" s="11" t="str">
        <f t="shared" si="20"/>
        <v/>
      </c>
      <c r="AT16" s="10" t="s">
        <v>213</v>
      </c>
      <c r="AU16" s="11" t="str">
        <f t="shared" si="21"/>
        <v/>
      </c>
    </row>
    <row r="17" spans="1:47" ht="14.45" customHeight="1" x14ac:dyDescent="0.25">
      <c r="A17" s="11"/>
      <c r="B17" s="14" t="s">
        <v>217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10</v>
      </c>
      <c r="J17" s="11"/>
      <c r="K17" s="15">
        <f>SUM(K3:K16)</f>
        <v>0</v>
      </c>
      <c r="L17" s="11"/>
      <c r="M17" s="15">
        <f>SUM(M3:M16)</f>
        <v>10</v>
      </c>
      <c r="N17" s="11"/>
      <c r="O17" s="15">
        <f>SUM(O3:O16)</f>
        <v>10</v>
      </c>
      <c r="P17" s="11"/>
      <c r="Q17" s="15">
        <f>SUM(Q3:Q16)</f>
        <v>10</v>
      </c>
      <c r="R17" s="11"/>
      <c r="S17" s="15">
        <f>SUM(S3:S16)</f>
        <v>0</v>
      </c>
      <c r="T17" s="11"/>
      <c r="U17" s="15">
        <f>SUM(U3:U16)</f>
        <v>10</v>
      </c>
      <c r="V17" s="11"/>
      <c r="W17" s="15">
        <f>SUM(W3:W16)</f>
        <v>10</v>
      </c>
      <c r="X17" s="11"/>
      <c r="Y17" s="15">
        <f>SUM(Y3:Y16)</f>
        <v>10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10</v>
      </c>
      <c r="AH17" s="11"/>
      <c r="AI17" s="15">
        <f>SUM(AI3:AI16)</f>
        <v>10</v>
      </c>
      <c r="AJ17" s="11"/>
      <c r="AK17" s="15">
        <f>SUM(AK3:AK16)</f>
        <v>10</v>
      </c>
      <c r="AL17" s="11"/>
      <c r="AM17" s="15">
        <f>SUM(AM3:AM16)</f>
        <v>10</v>
      </c>
      <c r="AN17" s="11"/>
      <c r="AO17" s="15">
        <f>SUM(AO3:AO16)</f>
        <v>10</v>
      </c>
      <c r="AP17" s="15"/>
      <c r="AQ17" s="15">
        <f>SUM(AQ3:AQ16)</f>
        <v>10</v>
      </c>
      <c r="AR17" s="11"/>
      <c r="AS17" s="15">
        <f>SUM(AS3:AS16)</f>
        <v>0</v>
      </c>
      <c r="AT17" s="11"/>
      <c r="AU17" s="15">
        <f>SUM(AU3:AU16)</f>
        <v>0</v>
      </c>
    </row>
    <row r="19" spans="1:47" x14ac:dyDescent="0.25">
      <c r="A19" s="11">
        <v>1</v>
      </c>
      <c r="C19" s="38" t="s">
        <v>80</v>
      </c>
    </row>
    <row r="20" spans="1:47" x14ac:dyDescent="0.25">
      <c r="A20" s="11">
        <v>2</v>
      </c>
      <c r="C20" s="28" t="s">
        <v>101</v>
      </c>
    </row>
    <row r="21" spans="1:47" x14ac:dyDescent="0.25">
      <c r="A21" s="11">
        <v>3</v>
      </c>
      <c r="C21" s="38" t="s">
        <v>89</v>
      </c>
    </row>
    <row r="22" spans="1:47" x14ac:dyDescent="0.25">
      <c r="A22" s="11">
        <v>4</v>
      </c>
      <c r="C22" s="28" t="s">
        <v>161</v>
      </c>
    </row>
    <row r="23" spans="1:47" x14ac:dyDescent="0.25">
      <c r="A23" s="11">
        <v>5</v>
      </c>
      <c r="C23" s="28">
        <v>22</v>
      </c>
    </row>
    <row r="24" spans="1:47" x14ac:dyDescent="0.25">
      <c r="A24" s="11">
        <v>6</v>
      </c>
      <c r="C24" s="28" t="s">
        <v>89</v>
      </c>
    </row>
    <row r="25" spans="1:47" x14ac:dyDescent="0.25">
      <c r="A25" s="11">
        <v>7</v>
      </c>
      <c r="C25" s="28" t="s">
        <v>269</v>
      </c>
    </row>
    <row r="26" spans="1:47" x14ac:dyDescent="0.25">
      <c r="A26" s="11">
        <v>8</v>
      </c>
      <c r="C26" s="38" t="s">
        <v>165</v>
      </c>
    </row>
    <row r="27" spans="1:47" x14ac:dyDescent="0.25">
      <c r="A27" s="11">
        <v>9</v>
      </c>
      <c r="C27" s="28" t="s">
        <v>176</v>
      </c>
    </row>
    <row r="28" spans="1:47" x14ac:dyDescent="0.25">
      <c r="A28" s="11">
        <v>10</v>
      </c>
      <c r="C28" s="38" t="s">
        <v>190</v>
      </c>
    </row>
    <row r="29" spans="1:47" x14ac:dyDescent="0.25">
      <c r="A29" s="11">
        <v>11</v>
      </c>
      <c r="C29" s="38" t="s">
        <v>173</v>
      </c>
    </row>
    <row r="30" spans="1:47" x14ac:dyDescent="0.25">
      <c r="A30" s="11">
        <v>12</v>
      </c>
      <c r="C30" s="28" t="s">
        <v>202</v>
      </c>
    </row>
    <row r="31" spans="1:47" x14ac:dyDescent="0.25">
      <c r="A31" s="11">
        <v>13</v>
      </c>
      <c r="C31" s="28">
        <v>14</v>
      </c>
    </row>
    <row r="32" spans="1:47" x14ac:dyDescent="0.25">
      <c r="A32" s="11">
        <v>14</v>
      </c>
      <c r="C32" s="28" t="s">
        <v>212</v>
      </c>
    </row>
  </sheetData>
  <mergeCells count="22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F4" sqref="F4"/>
    </sheetView>
  </sheetViews>
  <sheetFormatPr defaultRowHeight="15" x14ac:dyDescent="0.25"/>
  <cols>
    <col min="1" max="1" width="10.7109375" customWidth="1"/>
    <col min="2" max="2" width="22" customWidth="1"/>
    <col min="3" max="3" width="20.7109375" customWidth="1"/>
    <col min="4" max="4" width="15.7109375" customWidth="1"/>
    <col min="5" max="5" width="10" customWidth="1"/>
  </cols>
  <sheetData>
    <row r="1" spans="1:5" ht="18" customHeight="1" x14ac:dyDescent="0.25">
      <c r="A1" s="16" t="s">
        <v>218</v>
      </c>
      <c r="B1" s="16"/>
      <c r="C1" s="16"/>
      <c r="D1" s="16"/>
      <c r="E1" s="16"/>
    </row>
    <row r="2" spans="1:5" ht="18" customHeight="1" x14ac:dyDescent="0.25">
      <c r="A2" s="37" t="s">
        <v>219</v>
      </c>
      <c r="B2" s="37" t="s">
        <v>220</v>
      </c>
      <c r="C2" s="37" t="s">
        <v>221</v>
      </c>
      <c r="D2" s="37" t="s">
        <v>222</v>
      </c>
      <c r="E2" s="37" t="s">
        <v>223</v>
      </c>
    </row>
    <row r="3" spans="1:5" ht="18" customHeight="1" x14ac:dyDescent="0.25">
      <c r="A3" s="11">
        <f>_xlfn.RANK.EQ(E3,$E$3:$E$90,0)</f>
        <v>1</v>
      </c>
      <c r="B3" s="1" t="str">
        <f>Wedstrijden_beheer!AK1</f>
        <v>Kim</v>
      </c>
      <c r="C3" s="11">
        <f>SUM(Wedstrijden_beheer!AL3:'Wedstrijden_beheer'!AL194)</f>
        <v>515</v>
      </c>
      <c r="D3" s="11">
        <f>Bonus_beheer!AK17</f>
        <v>10</v>
      </c>
      <c r="E3" s="11">
        <f>C3+D3</f>
        <v>525</v>
      </c>
    </row>
    <row r="4" spans="1:5" ht="18" customHeight="1" x14ac:dyDescent="0.25">
      <c r="A4" s="11">
        <f>_xlfn.RANK.EQ(E4,$E$3:$E$90,0)</f>
        <v>2</v>
      </c>
      <c r="B4" s="1" t="str">
        <f>Wedstrijden_beheer!AE1</f>
        <v>Jeroen</v>
      </c>
      <c r="C4" s="11">
        <f>SUM(Wedstrijden_beheer!AF3:'Wedstrijden_beheer'!AF194)</f>
        <v>519</v>
      </c>
      <c r="D4" s="11">
        <f>Bonus_beheer!AE17</f>
        <v>0</v>
      </c>
      <c r="E4" s="11">
        <f>C4+D4</f>
        <v>519</v>
      </c>
    </row>
    <row r="5" spans="1:5" ht="18" customHeight="1" x14ac:dyDescent="0.25">
      <c r="A5" s="11">
        <f>_xlfn.RANK.EQ(E5,$E$3:$E$90,0)</f>
        <v>2</v>
      </c>
      <c r="B5" s="28" t="str">
        <f>Wedstrijden_beheer!E1</f>
        <v>Roland</v>
      </c>
      <c r="C5" s="11">
        <f>SUM(Wedstrijden_beheer!F3:'Wedstrijden_beheer'!F194)</f>
        <v>519</v>
      </c>
      <c r="D5" s="11">
        <f>Bonus_beheer!E17</f>
        <v>0</v>
      </c>
      <c r="E5" s="11">
        <f>C5+D5</f>
        <v>519</v>
      </c>
    </row>
    <row r="6" spans="1:5" ht="18" customHeight="1" x14ac:dyDescent="0.25">
      <c r="A6" s="11">
        <f>_xlfn.RANK.EQ(E6,$E$3:$E$90,0)</f>
        <v>4</v>
      </c>
      <c r="B6" s="1" t="str">
        <f>Wedstrijden_beheer!U1</f>
        <v>Tom</v>
      </c>
      <c r="C6" s="11">
        <f>SUM(Wedstrijden_beheer!V3:'Wedstrijden_beheer'!V194)</f>
        <v>507</v>
      </c>
      <c r="D6" s="11">
        <f>Bonus_beheer!U17</f>
        <v>10</v>
      </c>
      <c r="E6" s="11">
        <f>C6+D6</f>
        <v>517</v>
      </c>
    </row>
    <row r="7" spans="1:5" ht="18" customHeight="1" x14ac:dyDescent="0.25">
      <c r="A7" s="11">
        <f>_xlfn.RANK.EQ(E7,$E$3:$E$90,0)</f>
        <v>5</v>
      </c>
      <c r="B7" s="1" t="str">
        <f>Wedstrijden_beheer!AO1</f>
        <v>Patrick</v>
      </c>
      <c r="C7" s="11">
        <f>SUM(Wedstrijden_beheer!AP3:'Wedstrijden_beheer'!AP194)</f>
        <v>504</v>
      </c>
      <c r="D7" s="11">
        <f>Bonus_beheer!AO17</f>
        <v>10</v>
      </c>
      <c r="E7" s="11">
        <f>C7+D7</f>
        <v>514</v>
      </c>
    </row>
    <row r="8" spans="1:5" ht="18" customHeight="1" x14ac:dyDescent="0.25">
      <c r="A8" s="11">
        <f>_xlfn.RANK.EQ(E8,$E$3:$E$90,0)</f>
        <v>6</v>
      </c>
      <c r="B8" s="1" t="str">
        <f>Wedstrijden_beheer!I1</f>
        <v>Abdussamed</v>
      </c>
      <c r="C8" s="11">
        <f>SUM(Wedstrijden_beheer!J3:'Wedstrijden_beheer'!J194)</f>
        <v>495</v>
      </c>
      <c r="D8" s="11">
        <f>Bonus_beheer!I17</f>
        <v>10</v>
      </c>
      <c r="E8" s="11">
        <f>C8+D8</f>
        <v>505</v>
      </c>
    </row>
    <row r="9" spans="1:5" ht="18" customHeight="1" x14ac:dyDescent="0.25">
      <c r="A9" s="11">
        <f>_xlfn.RANK.EQ(E9,$E$3:$E$90,0)</f>
        <v>7</v>
      </c>
      <c r="B9" s="1" t="str">
        <f>Wedstrijden_beheer!AG1</f>
        <v>Erwin</v>
      </c>
      <c r="C9" s="11">
        <f>SUM(Wedstrijden_beheer!AH3:'Wedstrijden_beheer'!AH194)</f>
        <v>481</v>
      </c>
      <c r="D9" s="11">
        <f>Bonus_beheer!AG17</f>
        <v>10</v>
      </c>
      <c r="E9" s="11">
        <f>C9+D9</f>
        <v>491</v>
      </c>
    </row>
    <row r="10" spans="1:5" ht="18" customHeight="1" x14ac:dyDescent="0.25">
      <c r="A10" s="11">
        <f>_xlfn.RANK.EQ(E10,$E$3:$E$90,0)</f>
        <v>7</v>
      </c>
      <c r="B10" s="1" t="str">
        <f>Wedstrijden_beheer!W1</f>
        <v>Jos</v>
      </c>
      <c r="C10" s="11">
        <f>SUM(Wedstrijden_beheer!X3:'Wedstrijden_beheer'!X194)</f>
        <v>481</v>
      </c>
      <c r="D10" s="11">
        <f>Bonus_beheer!W17</f>
        <v>10</v>
      </c>
      <c r="E10" s="11">
        <f>C10+D10</f>
        <v>491</v>
      </c>
    </row>
    <row r="11" spans="1:5" ht="18" customHeight="1" x14ac:dyDescent="0.25">
      <c r="A11" s="11">
        <f>_xlfn.RANK.EQ(E11,$E$3:$E$90,0)</f>
        <v>9</v>
      </c>
      <c r="B11" s="1" t="str">
        <f>Wedstrijden_beheer!AA1</f>
        <v>Ivo</v>
      </c>
      <c r="C11" s="11">
        <f>SUM(Wedstrijden_beheer!AB3:'Wedstrijden_beheer'!AB194)</f>
        <v>480</v>
      </c>
      <c r="D11" s="11">
        <f>Bonus_beheer!AA17</f>
        <v>0</v>
      </c>
      <c r="E11" s="11">
        <f>C11+D11</f>
        <v>480</v>
      </c>
    </row>
    <row r="12" spans="1:5" ht="18" customHeight="1" x14ac:dyDescent="0.25">
      <c r="A12" s="11">
        <f>_xlfn.RANK.EQ(E12,$E$3:$E$90,0)</f>
        <v>10</v>
      </c>
      <c r="B12" s="1" t="str">
        <f>Wedstrijden_beheer!G1</f>
        <v>Nikki</v>
      </c>
      <c r="C12" s="11">
        <f>SUM(Wedstrijden_beheer!H3:'Wedstrijden_beheer'!H194)</f>
        <v>475</v>
      </c>
      <c r="D12" s="11">
        <f>Bonus_beheer!G17</f>
        <v>0</v>
      </c>
      <c r="E12" s="11">
        <f>C12+D12</f>
        <v>475</v>
      </c>
    </row>
    <row r="13" spans="1:5" ht="18" customHeight="1" x14ac:dyDescent="0.25">
      <c r="A13" s="11">
        <f>_xlfn.RANK.EQ(E13,$E$3:$E$90,0)</f>
        <v>11</v>
      </c>
      <c r="B13" s="1" t="str">
        <f>Wedstrijden_beheer!AM1</f>
        <v>Kristel</v>
      </c>
      <c r="C13" s="11">
        <f>SUM(Wedstrijden_beheer!AN3:'Wedstrijden_beheer'!AN194)</f>
        <v>462</v>
      </c>
      <c r="D13" s="11">
        <f>Bonus_beheer!AM17</f>
        <v>10</v>
      </c>
      <c r="E13" s="11">
        <f>C13+D13</f>
        <v>472</v>
      </c>
    </row>
    <row r="14" spans="1:5" ht="18" customHeight="1" x14ac:dyDescent="0.25">
      <c r="A14" s="11">
        <f>_xlfn.RANK.EQ(E14,$E$3:$E$90,0)</f>
        <v>12</v>
      </c>
      <c r="B14" s="1" t="str">
        <f>Wedstrijden_beheer!Y1</f>
        <v>Lesley</v>
      </c>
      <c r="C14" s="11">
        <f>SUM(Wedstrijden_beheer!Z3:'Wedstrijden_beheer'!Z194)</f>
        <v>454</v>
      </c>
      <c r="D14" s="11">
        <f>Bonus_beheer!Y17</f>
        <v>10</v>
      </c>
      <c r="E14" s="11">
        <f>C14+D14</f>
        <v>464</v>
      </c>
    </row>
    <row r="15" spans="1:5" ht="18" customHeight="1" x14ac:dyDescent="0.25">
      <c r="A15" s="11">
        <f>_xlfn.RANK.EQ(E15,$E$3:$E$90,0)</f>
        <v>13</v>
      </c>
      <c r="B15" s="1" t="str">
        <f>Wedstrijden_beheer!O1</f>
        <v>Maik</v>
      </c>
      <c r="C15" s="11">
        <f>SUM(Wedstrijden_beheer!P3:'Wedstrijden_beheer'!P194)</f>
        <v>450</v>
      </c>
      <c r="D15" s="11">
        <f>Bonus_beheer!O17</f>
        <v>10</v>
      </c>
      <c r="E15" s="11">
        <f>C15+D15</f>
        <v>460</v>
      </c>
    </row>
    <row r="16" spans="1:5" ht="18" customHeight="1" x14ac:dyDescent="0.25">
      <c r="A16" s="11">
        <f>_xlfn.RANK.EQ(E16,$E$3:$E$90,0)</f>
        <v>14</v>
      </c>
      <c r="B16" s="1" t="str">
        <f>Wedstrijden_beheer!AC1</f>
        <v>Ron</v>
      </c>
      <c r="C16" s="11">
        <f>SUM(Wedstrijden_beheer!AD3:'Wedstrijden_beheer'!AD194)</f>
        <v>458</v>
      </c>
      <c r="D16" s="11">
        <f>Bonus_beheer!AC17</f>
        <v>0</v>
      </c>
      <c r="E16" s="11">
        <f>C16+D16</f>
        <v>458</v>
      </c>
    </row>
    <row r="17" spans="1:5" ht="18" customHeight="1" x14ac:dyDescent="0.25">
      <c r="A17" s="11">
        <f>_xlfn.RANK.EQ(E17,$E$3:$E$90,0)</f>
        <v>15</v>
      </c>
      <c r="B17" s="1" t="str">
        <f>Wedstrijden_beheer!AQ1</f>
        <v>Jeno</v>
      </c>
      <c r="C17" s="11">
        <f>SUM(Wedstrijden_beheer!AV4:'Wedstrijden_beheer'!AV195)</f>
        <v>436</v>
      </c>
      <c r="D17" s="11">
        <f>Bonus_beheer!AU18</f>
        <v>0</v>
      </c>
      <c r="E17" s="11">
        <f>C17+D17</f>
        <v>436</v>
      </c>
    </row>
    <row r="18" spans="1:5" ht="18" customHeight="1" x14ac:dyDescent="0.25">
      <c r="A18" s="11">
        <f>_xlfn.RANK.EQ(E18,$E$3:$E$90,0)</f>
        <v>15</v>
      </c>
      <c r="B18" s="1" t="str">
        <f>Wedstrijden_beheer!AU1</f>
        <v>Raymond</v>
      </c>
      <c r="C18" s="11">
        <f>SUM(Wedstrijden_beheer!AV3:'Wedstrijden_beheer'!AV194)</f>
        <v>436</v>
      </c>
      <c r="D18" s="11">
        <f>Bonus_beheer!AU17</f>
        <v>0</v>
      </c>
      <c r="E18" s="11">
        <f>C18+D18</f>
        <v>436</v>
      </c>
    </row>
    <row r="19" spans="1:5" ht="18" customHeight="1" x14ac:dyDescent="0.25">
      <c r="A19" s="11">
        <f>_xlfn.RANK.EQ(E19,$E$3:$E$90,0)</f>
        <v>17</v>
      </c>
      <c r="B19" s="1" t="str">
        <f>Wedstrijden_beheer!AI1</f>
        <v>Tim</v>
      </c>
      <c r="C19" s="11">
        <f>SUM(Wedstrijden_beheer!AJ3:'Wedstrijden_beheer'!AJ194)</f>
        <v>424</v>
      </c>
      <c r="D19" s="11">
        <f>Bonus_beheer!AI17</f>
        <v>10</v>
      </c>
      <c r="E19" s="11">
        <f>C19+D19</f>
        <v>434</v>
      </c>
    </row>
    <row r="20" spans="1:5" ht="18" customHeight="1" x14ac:dyDescent="0.25">
      <c r="A20" s="11">
        <f>_xlfn.RANK.EQ(E20,$E$3:$E$90,0)</f>
        <v>18</v>
      </c>
      <c r="B20" s="1" t="str">
        <f>Wedstrijden_beheer!M1</f>
        <v>Bas</v>
      </c>
      <c r="C20" s="11">
        <f>SUM(Wedstrijden_beheer!N3:'Wedstrijden_beheer'!N194)</f>
        <v>404</v>
      </c>
      <c r="D20" s="11">
        <f>Bonus_beheer!M17</f>
        <v>10</v>
      </c>
      <c r="E20" s="11">
        <f>C20+D20</f>
        <v>414</v>
      </c>
    </row>
    <row r="21" spans="1:5" ht="18" customHeight="1" x14ac:dyDescent="0.25">
      <c r="A21" s="11">
        <f>_xlfn.RANK.EQ(E21,$E$3:$E$90,0)</f>
        <v>19</v>
      </c>
      <c r="B21" s="1" t="str">
        <f>Wedstrijden_beheer!Q1</f>
        <v>Simone</v>
      </c>
      <c r="C21" s="11">
        <f>SUM(Wedstrijden_beheer!R3:'Wedstrijden_beheer'!R194)</f>
        <v>385</v>
      </c>
      <c r="D21" s="11">
        <f>Bonus_beheer!Q17</f>
        <v>10</v>
      </c>
      <c r="E21" s="11">
        <f>C21+D21</f>
        <v>395</v>
      </c>
    </row>
    <row r="22" spans="1:5" ht="18" customHeight="1" x14ac:dyDescent="0.25">
      <c r="A22" s="11">
        <f>_xlfn.RANK.EQ(E22,$E$3:$E$90,0)</f>
        <v>20</v>
      </c>
      <c r="B22" s="1" t="str">
        <f>Wedstrijden_beheer!S1</f>
        <v>Marc</v>
      </c>
      <c r="C22" s="11">
        <f>SUM(Wedstrijden_beheer!T3:'Wedstrijden_beheer'!T194)</f>
        <v>387</v>
      </c>
      <c r="D22" s="11">
        <f>Bonus_beheer!S17</f>
        <v>0</v>
      </c>
      <c r="E22" s="11">
        <f>C22+D22</f>
        <v>387</v>
      </c>
    </row>
    <row r="23" spans="1:5" x14ac:dyDescent="0.25">
      <c r="A23" s="11">
        <f>_xlfn.RANK.EQ(E23,$E$3:$E$90,0)</f>
        <v>21</v>
      </c>
      <c r="B23" s="1" t="str">
        <f>Wedstrijden_beheer!AS1</f>
        <v>Andre</v>
      </c>
      <c r="C23" s="11">
        <f>SUM(Wedstrijden_beheer!R4:'Wedstrijden_beheer'!R195)</f>
        <v>385</v>
      </c>
      <c r="D23" s="11">
        <f>Bonus_beheer!Q18</f>
        <v>0</v>
      </c>
      <c r="E23" s="11">
        <f>C23+D23</f>
        <v>385</v>
      </c>
    </row>
    <row r="24" spans="1:5" x14ac:dyDescent="0.25">
      <c r="A24" s="11">
        <f>_xlfn.RANK.EQ(E24,$E$3:$E$90,0)</f>
        <v>21</v>
      </c>
      <c r="B24" s="1" t="str">
        <f>Wedstrijden_beheer!K1</f>
        <v>Karsten</v>
      </c>
      <c r="C24" s="11">
        <f>SUM(Wedstrijden_beheer!L3:'Wedstrijden_beheer'!L194)</f>
        <v>385</v>
      </c>
      <c r="D24" s="11">
        <f>Bonus_beheer!K17</f>
        <v>0</v>
      </c>
      <c r="E24" s="11">
        <f>C24+D24</f>
        <v>385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9" sqref="A9"/>
    </sheetView>
  </sheetViews>
  <sheetFormatPr defaultColWidth="0" defaultRowHeight="15" zeroHeight="1" x14ac:dyDescent="0.25"/>
  <cols>
    <col min="1" max="1" width="29.5703125" customWidth="1"/>
    <col min="2" max="2" width="28" customWidth="1"/>
    <col min="3" max="16384" width="8.7109375" hidden="1"/>
  </cols>
  <sheetData>
    <row r="1" spans="1:2" ht="18" customHeight="1" x14ac:dyDescent="0.25">
      <c r="A1" s="16" t="s">
        <v>224</v>
      </c>
      <c r="B1" s="16"/>
    </row>
    <row r="2" spans="1:2" ht="18" customHeight="1" x14ac:dyDescent="0.25">
      <c r="A2" s="37" t="s">
        <v>225</v>
      </c>
      <c r="B2" s="37" t="s">
        <v>226</v>
      </c>
    </row>
    <row r="3" spans="1:2" ht="18" customHeight="1" x14ac:dyDescent="0.25">
      <c r="A3" s="1" t="s">
        <v>227</v>
      </c>
      <c r="B3" s="1" t="s">
        <v>228</v>
      </c>
    </row>
    <row r="4" spans="1:2" ht="18" customHeight="1" x14ac:dyDescent="0.25">
      <c r="A4" s="1" t="s">
        <v>229</v>
      </c>
      <c r="B4" s="1" t="s">
        <v>228</v>
      </c>
    </row>
    <row r="5" spans="1:2" ht="18" customHeight="1" x14ac:dyDescent="0.25">
      <c r="A5" s="1" t="s">
        <v>230</v>
      </c>
      <c r="B5" s="1" t="s">
        <v>231</v>
      </c>
    </row>
    <row r="6" spans="1:2" ht="18" customHeight="1" x14ac:dyDescent="0.25">
      <c r="A6" s="1" t="s">
        <v>232</v>
      </c>
      <c r="B6" s="1" t="s">
        <v>233</v>
      </c>
    </row>
    <row r="7" spans="1:2" ht="18" customHeight="1" x14ac:dyDescent="0.25">
      <c r="A7" s="1" t="s">
        <v>234</v>
      </c>
      <c r="B7" s="1" t="s">
        <v>235</v>
      </c>
    </row>
    <row r="8" spans="1:2" ht="18" customHeight="1" x14ac:dyDescent="0.25">
      <c r="A8" s="1" t="s">
        <v>236</v>
      </c>
      <c r="B8" s="1" t="s">
        <v>237</v>
      </c>
    </row>
    <row r="9" spans="1:2" ht="18" customHeight="1" x14ac:dyDescent="0.25">
      <c r="A9" s="1" t="s">
        <v>238</v>
      </c>
      <c r="B9" s="1" t="s">
        <v>239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5" zeroHeight="1" x14ac:dyDescent="0.25"/>
  <cols>
    <col min="1" max="1" width="55.7109375" customWidth="1"/>
    <col min="2" max="2" width="10.7109375" customWidth="1"/>
    <col min="3" max="3" width="30.7109375" customWidth="1"/>
    <col min="4" max="44" width="0" hidden="1" customWidth="1"/>
    <col min="45" max="16384" width="8.7109375" hidden="1"/>
  </cols>
  <sheetData>
    <row r="1" spans="1:44" ht="18" customHeight="1" x14ac:dyDescent="0.25">
      <c r="A1" s="16" t="s">
        <v>240</v>
      </c>
      <c r="B1" s="16"/>
      <c r="C1" s="16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25">
      <c r="A2" s="37" t="s">
        <v>225</v>
      </c>
      <c r="B2" s="37" t="s">
        <v>28</v>
      </c>
      <c r="C2" s="37" t="s">
        <v>241</v>
      </c>
    </row>
    <row r="3" spans="1:44" ht="18" customHeight="1" x14ac:dyDescent="0.25">
      <c r="A3" s="1" t="s">
        <v>242</v>
      </c>
      <c r="B3" s="1">
        <v>10</v>
      </c>
      <c r="C3" s="1" t="s">
        <v>243</v>
      </c>
    </row>
    <row r="4" spans="1:44" ht="18" customHeight="1" x14ac:dyDescent="0.25">
      <c r="A4" s="1" t="s">
        <v>244</v>
      </c>
      <c r="B4" s="1">
        <v>5</v>
      </c>
      <c r="C4" s="1" t="s">
        <v>245</v>
      </c>
    </row>
    <row r="5" spans="1:44" ht="18" customHeight="1" x14ac:dyDescent="0.25">
      <c r="A5" s="1" t="s">
        <v>246</v>
      </c>
      <c r="B5" s="1">
        <v>2</v>
      </c>
      <c r="C5" s="1" t="s">
        <v>247</v>
      </c>
    </row>
    <row r="6" spans="1:44" ht="18" customHeight="1" x14ac:dyDescent="0.25">
      <c r="A6" s="1" t="s">
        <v>248</v>
      </c>
      <c r="B6" s="1">
        <v>2</v>
      </c>
      <c r="C6" s="1" t="s">
        <v>249</v>
      </c>
    </row>
    <row r="7" spans="1:44" ht="18" customHeight="1" x14ac:dyDescent="0.25">
      <c r="A7" s="1" t="s">
        <v>250</v>
      </c>
      <c r="B7" s="1">
        <v>2</v>
      </c>
      <c r="C7" s="1" t="s">
        <v>251</v>
      </c>
    </row>
    <row r="8" spans="1:44" ht="18" customHeight="1" x14ac:dyDescent="0.25">
      <c r="A8" s="1" t="s">
        <v>252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C10" sqref="C10"/>
    </sheetView>
  </sheetViews>
  <sheetFormatPr defaultRowHeight="15" x14ac:dyDescent="0.25"/>
  <cols>
    <col min="1" max="1" width="20.5703125" customWidth="1"/>
    <col min="2" max="2" width="16.5703125" customWidth="1"/>
    <col min="3" max="3" width="15" customWidth="1"/>
  </cols>
  <sheetData>
    <row r="1" spans="1:3" x14ac:dyDescent="0.25">
      <c r="A1" s="22" t="s">
        <v>253</v>
      </c>
      <c r="B1" s="22" t="s">
        <v>254</v>
      </c>
      <c r="C1" s="22" t="s">
        <v>255</v>
      </c>
    </row>
    <row r="2" spans="1:3" x14ac:dyDescent="0.25">
      <c r="A2" t="s">
        <v>256</v>
      </c>
      <c r="B2" t="s">
        <v>22</v>
      </c>
      <c r="C2" t="s">
        <v>21</v>
      </c>
    </row>
    <row r="3" spans="1:3" x14ac:dyDescent="0.25">
      <c r="B3" t="s">
        <v>23</v>
      </c>
      <c r="C3" t="s">
        <v>18</v>
      </c>
    </row>
    <row r="4" spans="1:3" x14ac:dyDescent="0.25">
      <c r="B4" t="s">
        <v>24</v>
      </c>
      <c r="C4" t="s">
        <v>13</v>
      </c>
    </row>
    <row r="5" spans="1:3" x14ac:dyDescent="0.25">
      <c r="B5" t="s">
        <v>257</v>
      </c>
      <c r="C5" t="s">
        <v>258</v>
      </c>
    </row>
    <row r="6" spans="1:3" x14ac:dyDescent="0.25">
      <c r="B6" t="s">
        <v>20</v>
      </c>
      <c r="C6" t="s">
        <v>14</v>
      </c>
    </row>
    <row r="7" spans="1:3" x14ac:dyDescent="0.25">
      <c r="B7" t="s">
        <v>17</v>
      </c>
    </row>
    <row r="8" spans="1:3" x14ac:dyDescent="0.25">
      <c r="B8" t="s">
        <v>15</v>
      </c>
    </row>
    <row r="9" spans="1:3" x14ac:dyDescent="0.25">
      <c r="B9" t="s">
        <v>16</v>
      </c>
    </row>
    <row r="10" spans="1:3" x14ac:dyDescent="0.25">
      <c r="B10" t="s">
        <v>11</v>
      </c>
    </row>
    <row r="11" spans="1:3" x14ac:dyDescent="0.25">
      <c r="B11" t="s">
        <v>9</v>
      </c>
    </row>
    <row r="12" spans="1:3" x14ac:dyDescent="0.25">
      <c r="B12" t="s">
        <v>10</v>
      </c>
    </row>
    <row r="13" spans="1:3" x14ac:dyDescent="0.25">
      <c r="B13" t="s">
        <v>12</v>
      </c>
    </row>
    <row r="14" spans="1:3" x14ac:dyDescent="0.25">
      <c r="B14" t="s">
        <v>8</v>
      </c>
    </row>
    <row r="15" spans="1:3" x14ac:dyDescent="0.25">
      <c r="B15" t="s">
        <v>7</v>
      </c>
    </row>
    <row r="16" spans="1:3" x14ac:dyDescent="0.25">
      <c r="B16" t="s">
        <v>6</v>
      </c>
    </row>
    <row r="17" spans="2:2" x14ac:dyDescent="0.25">
      <c r="B17" t="s">
        <v>5</v>
      </c>
    </row>
    <row r="18" spans="2:2" x14ac:dyDescent="0.25">
      <c r="B18" s="29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367818C-8D56-468A-9A53-C7AB90E97273}">
  <ds:schemaRefs>
    <ds:schemaRef ds:uri="http://purl.org/dc/elements/1.1/"/>
    <ds:schemaRef ds:uri="http://schemas.microsoft.com/office/2006/documentManagement/types"/>
    <ds:schemaRef ds:uri="http://www.w3.org/XML/1998/namespace"/>
    <ds:schemaRef ds:uri="http://purl.org/dc/dcmitype/"/>
    <ds:schemaRef ds:uri="7b90d758-d430-4ffd-9227-0f539ac48821"/>
    <ds:schemaRef ds:uri="http://schemas.microsoft.com/office/infopath/2007/PartnerControls"/>
    <ds:schemaRef ds:uri="http://purl.org/dc/terms/"/>
    <ds:schemaRef ds:uri="http://schemas.openxmlformats.org/package/2006/metadata/core-properties"/>
    <ds:schemaRef ds:uri="7c2036e6-2c6c-4cc0-93d3-66cc911cb074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2026-07-16T06:24:25Z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