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590" documentId="8_{E82BF418-5EC5-4A9D-9227-B9F99AE92E74}" xr6:coauthVersionLast="47" xr6:coauthVersionMax="47" xr10:uidLastSave="{BA8BCA05-574A-4194-A70C-8FF320A6B3A5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21" i="1"/>
  <c r="AT27" i="1"/>
  <c r="AT32" i="1"/>
  <c r="AT39" i="1"/>
  <c r="AT45" i="1"/>
  <c r="AT50" i="1"/>
  <c r="AT57" i="1"/>
  <c r="AT60" i="1"/>
  <c r="AT63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52" i="1"/>
  <c r="AV56" i="1"/>
  <c r="AV59" i="1"/>
  <c r="AV60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4" i="3"/>
  <c r="B3" i="3"/>
  <c r="B14" i="3"/>
  <c r="B8" i="3"/>
  <c r="B13" i="3"/>
  <c r="B21" i="3"/>
  <c r="B9" i="3"/>
  <c r="B17" i="3"/>
  <c r="B11" i="3"/>
  <c r="B5" i="3"/>
  <c r="B20" i="3"/>
  <c r="B22" i="3"/>
  <c r="B15" i="3"/>
  <c r="B16" i="3"/>
  <c r="D16" i="3"/>
  <c r="B7" i="3"/>
  <c r="B4" i="3"/>
  <c r="B18" i="3"/>
  <c r="B19" i="3"/>
  <c r="B10" i="3"/>
  <c r="B12" i="3"/>
  <c r="B6" i="3"/>
  <c r="AR6" i="1"/>
  <c r="AR10" i="1"/>
  <c r="AR14" i="1"/>
  <c r="AR21" i="1"/>
  <c r="AR27" i="1"/>
  <c r="AR32" i="1"/>
  <c r="AR39" i="1"/>
  <c r="AR45" i="1"/>
  <c r="AR50" i="1"/>
  <c r="AR52" i="1"/>
  <c r="AR57" i="1"/>
  <c r="AR63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H9" i="1" s="1"/>
  <c r="AW12" i="1"/>
  <c r="AX12" i="1"/>
  <c r="AW13" i="1"/>
  <c r="N13" i="1" s="1"/>
  <c r="AX13" i="1"/>
  <c r="R13" i="1" s="1"/>
  <c r="AW16" i="1"/>
  <c r="AX16" i="1"/>
  <c r="AW17" i="1"/>
  <c r="V17" i="1" s="1"/>
  <c r="AX17" i="1"/>
  <c r="P17" i="1" s="1"/>
  <c r="AW18" i="1"/>
  <c r="AX18" i="1"/>
  <c r="AW19" i="1"/>
  <c r="H19" i="1" s="1"/>
  <c r="AX19" i="1"/>
  <c r="N19" i="1" s="1"/>
  <c r="AW20" i="1"/>
  <c r="AV20" i="1" s="1"/>
  <c r="AX20" i="1"/>
  <c r="J20" i="1" s="1"/>
  <c r="AW23" i="1"/>
  <c r="AX23" i="1"/>
  <c r="AW24" i="1"/>
  <c r="AX24" i="1"/>
  <c r="L24" i="1" s="1"/>
  <c r="AW25" i="1"/>
  <c r="AX25" i="1"/>
  <c r="AW26" i="1"/>
  <c r="AX26" i="1"/>
  <c r="AW29" i="1"/>
  <c r="AL29" i="1" s="1"/>
  <c r="AX29" i="1"/>
  <c r="AW30" i="1"/>
  <c r="AJ30" i="1" s="1"/>
  <c r="AX30" i="1"/>
  <c r="AT30" i="1" s="1"/>
  <c r="AW31" i="1"/>
  <c r="AX31" i="1"/>
  <c r="AN31" i="1" s="1"/>
  <c r="AW34" i="1"/>
  <c r="AL34" i="1" s="1"/>
  <c r="AX34" i="1"/>
  <c r="AW35" i="1"/>
  <c r="N35" i="1" s="1"/>
  <c r="AX35" i="1"/>
  <c r="R35" i="1" s="1"/>
  <c r="AW36" i="1"/>
  <c r="AX36" i="1"/>
  <c r="F36" i="1" s="1"/>
  <c r="AW37" i="1"/>
  <c r="AX37" i="1"/>
  <c r="AW38" i="1"/>
  <c r="N38" i="1" s="1"/>
  <c r="AX38" i="1"/>
  <c r="AR38" i="1" s="1"/>
  <c r="AW41" i="1"/>
  <c r="V41" i="1" s="1"/>
  <c r="AX41" i="1"/>
  <c r="AD41" i="1" s="1"/>
  <c r="AW42" i="1"/>
  <c r="AX42" i="1"/>
  <c r="N42" i="1" s="1"/>
  <c r="AW43" i="1"/>
  <c r="AX43" i="1"/>
  <c r="AW44" i="1"/>
  <c r="AX44" i="1"/>
  <c r="AV44" i="1" s="1"/>
  <c r="AW47" i="1"/>
  <c r="AX47" i="1"/>
  <c r="F47" i="1" s="1"/>
  <c r="AW48" i="1"/>
  <c r="AX48" i="1"/>
  <c r="R48" i="1" s="1"/>
  <c r="AW49" i="1"/>
  <c r="AX49" i="1"/>
  <c r="R49" i="1" s="1"/>
  <c r="AW52" i="1"/>
  <c r="AP52" i="1" s="1"/>
  <c r="AX52" i="1"/>
  <c r="AW53" i="1"/>
  <c r="AV53" i="1" s="1"/>
  <c r="AX53" i="1"/>
  <c r="AP53" i="1" s="1"/>
  <c r="AW54" i="1"/>
  <c r="AD54" i="1" s="1"/>
  <c r="AX54" i="1"/>
  <c r="AW55" i="1"/>
  <c r="H55" i="1" s="1"/>
  <c r="AX55" i="1"/>
  <c r="AW56" i="1"/>
  <c r="AP56" i="1" s="1"/>
  <c r="AX56" i="1"/>
  <c r="AW59" i="1"/>
  <c r="H59" i="1" s="1"/>
  <c r="AX59" i="1"/>
  <c r="AN59" i="1" s="1"/>
  <c r="AW60" i="1"/>
  <c r="X60" i="1" s="1"/>
  <c r="AX60" i="1"/>
  <c r="V60" i="1" s="1"/>
  <c r="AW61" i="1"/>
  <c r="H61" i="1" s="1"/>
  <c r="AX61" i="1"/>
  <c r="AW62" i="1"/>
  <c r="T62" i="1" s="1"/>
  <c r="AX62" i="1"/>
  <c r="AW65" i="1"/>
  <c r="R65" i="1" s="1"/>
  <c r="AX65" i="1"/>
  <c r="Z65" i="1" s="1"/>
  <c r="AW66" i="1"/>
  <c r="AX66" i="1"/>
  <c r="AD66" i="1" s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2" i="1"/>
  <c r="F53" i="1"/>
  <c r="F54" i="1"/>
  <c r="F56" i="1"/>
  <c r="F59" i="1"/>
  <c r="F60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B66" i="1"/>
  <c r="Z66" i="1"/>
  <c r="X66" i="1"/>
  <c r="V66" i="1"/>
  <c r="T66" i="1"/>
  <c r="R66" i="1"/>
  <c r="P66" i="1"/>
  <c r="N66" i="1"/>
  <c r="L66" i="1"/>
  <c r="J66" i="1"/>
  <c r="H66" i="1"/>
  <c r="AF65" i="1"/>
  <c r="AD65" i="1"/>
  <c r="AB65" i="1"/>
  <c r="X65" i="1"/>
  <c r="V65" i="1"/>
  <c r="T65" i="1"/>
  <c r="X62" i="1"/>
  <c r="V62" i="1"/>
  <c r="R62" i="1"/>
  <c r="N62" i="1"/>
  <c r="AP60" i="1"/>
  <c r="AN60" i="1"/>
  <c r="AL60" i="1"/>
  <c r="AJ60" i="1"/>
  <c r="AH60" i="1"/>
  <c r="AF60" i="1"/>
  <c r="AD60" i="1"/>
  <c r="AB60" i="1"/>
  <c r="Z60" i="1"/>
  <c r="T60" i="1"/>
  <c r="R60" i="1"/>
  <c r="L60" i="1"/>
  <c r="AJ59" i="1"/>
  <c r="AH59" i="1"/>
  <c r="AF59" i="1"/>
  <c r="V59" i="1"/>
  <c r="T59" i="1"/>
  <c r="R59" i="1"/>
  <c r="P59" i="1"/>
  <c r="N59" i="1"/>
  <c r="L59" i="1"/>
  <c r="J59" i="1"/>
  <c r="X56" i="1"/>
  <c r="P56" i="1"/>
  <c r="N56" i="1"/>
  <c r="L56" i="1"/>
  <c r="J56" i="1"/>
  <c r="H56" i="1"/>
  <c r="AN55" i="1"/>
  <c r="N55" i="1"/>
  <c r="L55" i="1"/>
  <c r="J55" i="1"/>
  <c r="AP54" i="1"/>
  <c r="AN54" i="1"/>
  <c r="AL54" i="1"/>
  <c r="AJ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P52" i="1"/>
  <c r="H52" i="1"/>
  <c r="AD48" i="1"/>
  <c r="X48" i="1"/>
  <c r="L48" i="1"/>
  <c r="J48" i="1"/>
  <c r="AN47" i="1"/>
  <c r="L44" i="1"/>
  <c r="AB41" i="1"/>
  <c r="Z41" i="1"/>
  <c r="X41" i="1"/>
  <c r="AJ37" i="1"/>
  <c r="AF37" i="1"/>
  <c r="AB37" i="1"/>
  <c r="R37" i="1"/>
  <c r="P35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AH65" i="1" l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4" i="3" s="1"/>
  <c r="AK17" i="2"/>
  <c r="D14" i="3" s="1"/>
  <c r="AM17" i="2"/>
  <c r="D15" i="3" s="1"/>
  <c r="AI17" i="2"/>
  <c r="D22" i="3" s="1"/>
  <c r="AO17" i="2"/>
  <c r="D5" i="3" s="1"/>
  <c r="AA17" i="2"/>
  <c r="D4" i="3" s="1"/>
  <c r="AC17" i="2"/>
  <c r="D19" i="3" s="1"/>
  <c r="AE17" i="2"/>
  <c r="D10" i="3" s="1"/>
  <c r="AG17" i="2"/>
  <c r="D9" i="3" s="1"/>
  <c r="E17" i="2"/>
  <c r="D11" i="3" s="1"/>
  <c r="I17" i="2"/>
  <c r="D6" i="3" s="1"/>
  <c r="K17" i="2"/>
  <c r="D20" i="3" s="1"/>
  <c r="M17" i="2"/>
  <c r="D18" i="3" s="1"/>
  <c r="G17" i="2"/>
  <c r="D12" i="3" s="1"/>
  <c r="O17" i="2"/>
  <c r="D3" i="3" s="1"/>
  <c r="S17" i="2"/>
  <c r="D21" i="3" s="1"/>
  <c r="U17" i="2"/>
  <c r="D8" i="3" s="1"/>
  <c r="W17" i="2"/>
  <c r="D13" i="3" s="1"/>
  <c r="Y17" i="2"/>
  <c r="D7" i="3" s="1"/>
  <c r="C17" i="3" l="1"/>
  <c r="E17" i="3" s="1"/>
  <c r="C16" i="3"/>
  <c r="E16" i="3" s="1"/>
  <c r="C24" i="3"/>
  <c r="E24" i="3" s="1"/>
  <c r="C23" i="3"/>
  <c r="E23" i="3" s="1"/>
  <c r="C5" i="3"/>
  <c r="E5" i="3" s="1"/>
  <c r="C19" i="3"/>
  <c r="E19" i="3" s="1"/>
  <c r="C21" i="3"/>
  <c r="E21" i="3" s="1"/>
  <c r="C10" i="3"/>
  <c r="E10" i="3" s="1"/>
  <c r="C3" i="3"/>
  <c r="E3" i="3" s="1"/>
  <c r="C18" i="3"/>
  <c r="E18" i="3" s="1"/>
  <c r="C22" i="3"/>
  <c r="E22" i="3" s="1"/>
  <c r="C11" i="3"/>
  <c r="E11" i="3" s="1"/>
  <c r="C13" i="3"/>
  <c r="E13" i="3" s="1"/>
  <c r="C20" i="3"/>
  <c r="E20" i="3" s="1"/>
  <c r="C14" i="3"/>
  <c r="E14" i="3" s="1"/>
  <c r="C4" i="3"/>
  <c r="E4" i="3" s="1"/>
  <c r="C12" i="3"/>
  <c r="E12" i="3" s="1"/>
  <c r="C7" i="3"/>
  <c r="E7" i="3" s="1"/>
  <c r="C6" i="3"/>
  <c r="E6" i="3" s="1"/>
  <c r="C15" i="3"/>
  <c r="E15" i="3" s="1"/>
  <c r="C8" i="3"/>
  <c r="E8" i="3" s="1"/>
  <c r="C9" i="3"/>
  <c r="E9" i="3" s="1"/>
  <c r="A23" i="3" l="1"/>
  <c r="A15" i="3"/>
  <c r="A6" i="3"/>
  <c r="A16" i="3"/>
  <c r="A9" i="3"/>
  <c r="A11" i="3"/>
  <c r="A7" i="3"/>
  <c r="A20" i="3"/>
  <c r="A3" i="3"/>
  <c r="A5" i="3"/>
  <c r="A22" i="3"/>
  <c r="A8" i="3"/>
  <c r="A18" i="3"/>
  <c r="A12" i="3"/>
  <c r="A24" i="3"/>
  <c r="A21" i="3"/>
  <c r="A13" i="3"/>
  <c r="A14" i="3"/>
  <c r="A10" i="3"/>
  <c r="A19" i="3"/>
  <c r="A4" i="3"/>
  <c r="A17" i="3"/>
</calcChain>
</file>

<file path=xl/sharedStrings.xml><?xml version="1.0" encoding="utf-8"?>
<sst xmlns="http://schemas.openxmlformats.org/spreadsheetml/2006/main" count="2344" uniqueCount="330">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</sst>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45" activePane="bottomRight" state="frozen"/>
      <selection pane="topRight"/>
      <selection pane="bottomLeft"/>
      <selection pane="bottomRight" activeCell="C67" sqref="C67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0.5546875" style="19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52" t="s">
        <v>0</v>
      </c>
      <c r="B1" s="52" t="s">
        <v>1</v>
      </c>
      <c r="C1" s="52" t="s">
        <v>2</v>
      </c>
      <c r="D1" s="52" t="s">
        <v>3</v>
      </c>
      <c r="E1" s="54" t="s">
        <v>4</v>
      </c>
      <c r="F1" s="55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324</v>
      </c>
      <c r="AT1" s="51"/>
      <c r="AU1" s="42" t="s">
        <v>24</v>
      </c>
      <c r="AV1" s="51"/>
      <c r="AW1" s="2" t="s">
        <v>25</v>
      </c>
      <c r="AX1" s="2" t="s">
        <v>26</v>
      </c>
    </row>
    <row r="2" spans="1:50" x14ac:dyDescent="0.3">
      <c r="A2" s="53"/>
      <c r="B2" s="56"/>
      <c r="C2" s="53"/>
      <c r="D2" s="56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8" t="s">
        <v>29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8"/>
      <c r="AW3" s="7"/>
      <c r="AX3" s="7"/>
    </row>
    <row r="4" spans="1:50" ht="20.100000000000001" customHeight="1" x14ac:dyDescent="0.3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3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">
      <c r="A67" s="9">
        <v>1.791666666666667</v>
      </c>
      <c r="B67" s="17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">
      <c r="A68" s="9">
        <v>1.958333333333333</v>
      </c>
      <c r="B68" s="17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">
      <c r="A72" s="9">
        <v>1.208333333333333</v>
      </c>
      <c r="B72" s="17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">
      <c r="A73" s="9">
        <v>1.791666666666667</v>
      </c>
      <c r="B73" s="17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">
      <c r="A74" s="9">
        <v>1.916666666666667</v>
      </c>
      <c r="B74" s="17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4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">
      <c r="A78" s="9">
        <v>1.166666666666667</v>
      </c>
      <c r="B78" s="17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4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">
      <c r="A79" s="9">
        <v>1.875</v>
      </c>
      <c r="B79" s="17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4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">
      <c r="A80" s="9">
        <v>1.875</v>
      </c>
      <c r="B80" s="17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4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3">
      <c r="A83" s="9">
        <v>1</v>
      </c>
      <c r="B83" s="17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4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">
      <c r="A84" s="9">
        <v>1</v>
      </c>
      <c r="B84" s="17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4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">
      <c r="A85" s="9">
        <v>1.125</v>
      </c>
      <c r="B85" s="17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4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">
      <c r="A86" s="9">
        <v>1.125</v>
      </c>
      <c r="B86" s="17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4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">
      <c r="A87" s="9">
        <v>1.916666666666667</v>
      </c>
      <c r="B87" s="17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4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">
      <c r="A88" s="9">
        <v>1.916666666666667</v>
      </c>
      <c r="B88" s="17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4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4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7" t="s">
        <v>79</v>
      </c>
      <c r="C92" s="10"/>
      <c r="D92" s="32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4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7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4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7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4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7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4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7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4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4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7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4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7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4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7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4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7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4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7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4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4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7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4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7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4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7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4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00000000000001" customHeight="1" x14ac:dyDescent="0.3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3">
      <c r="A115" s="9">
        <v>1.875</v>
      </c>
      <c r="B115" s="17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44" t="s">
        <v>131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3">
      <c r="A118" s="9">
        <v>1.791666666666667</v>
      </c>
      <c r="B118" s="17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7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44" t="s">
        <v>136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3">
      <c r="A122" s="9">
        <v>1.125</v>
      </c>
      <c r="B122" s="17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7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7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44" t="s">
        <v>143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3">
      <c r="A127" s="9">
        <v>1.125</v>
      </c>
      <c r="B127" s="17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7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7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44" t="s">
        <v>150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3">
      <c r="A132" s="9">
        <v>1.083333333333333</v>
      </c>
      <c r="B132" s="17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7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44" t="s">
        <v>155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3">
      <c r="A136" s="9">
        <v>1.041666666666667</v>
      </c>
      <c r="B136" s="17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7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7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44" t="s">
        <v>162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3">
      <c r="A141" s="9">
        <v>1</v>
      </c>
      <c r="B141" s="17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7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8" t="s">
        <v>167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00000000000001" customHeight="1" x14ac:dyDescent="0.3">
      <c r="A146" s="44" t="s">
        <v>162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3">
      <c r="A147" s="9">
        <v>1.791666666666667</v>
      </c>
      <c r="B147" s="17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7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44" t="s">
        <v>172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3">
      <c r="A151" s="9">
        <v>1.916666666666667</v>
      </c>
      <c r="B151" s="17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44" t="s">
        <v>175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3">
      <c r="A154" s="9">
        <v>1.083333333333333</v>
      </c>
      <c r="B154" s="17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7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44" t="s">
        <v>180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3">
      <c r="A158" s="9">
        <v>1.083333333333333</v>
      </c>
      <c r="B158" s="17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7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7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8" t="s">
        <v>187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00000000000001" customHeight="1" x14ac:dyDescent="0.3">
      <c r="A164" s="44" t="s">
        <v>188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3">
      <c r="A165" s="9">
        <v>1.916666666666667</v>
      </c>
      <c r="B165" s="17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44" t="s">
        <v>191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3">
      <c r="A168" s="9">
        <v>1.875</v>
      </c>
      <c r="B168" s="17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44" t="s">
        <v>194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3">
      <c r="A171" s="9">
        <v>1.958333333333333</v>
      </c>
      <c r="B171" s="17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44" t="s">
        <v>197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3">
      <c r="A174" s="9">
        <v>1.125</v>
      </c>
      <c r="B174" s="17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8" t="s">
        <v>200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00000000000001" customHeight="1" x14ac:dyDescent="0.3">
      <c r="A178" s="44" t="s">
        <v>201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3">
      <c r="A179" s="9">
        <v>1.875</v>
      </c>
      <c r="B179" s="17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44" t="s">
        <v>204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3">
      <c r="A182" s="9">
        <v>1.875</v>
      </c>
      <c r="B182" s="17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8" t="s">
        <v>207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00000000000001" customHeight="1" x14ac:dyDescent="0.3">
      <c r="A186" s="44" t="s">
        <v>208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3">
      <c r="A187" s="9">
        <v>1.958333333333333</v>
      </c>
      <c r="B187" s="17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8" t="s">
        <v>211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00000000000001" customHeight="1" x14ac:dyDescent="0.3">
      <c r="A191" s="44" t="s">
        <v>212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3">
      <c r="A192" s="9">
        <v>1.875</v>
      </c>
      <c r="B192" s="17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1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1" customWidth="1"/>
    <col min="15" max="15" width="10.5546875" customWidth="1"/>
    <col min="16" max="16" width="12.5546875" style="21" customWidth="1"/>
    <col min="17" max="17" width="10.5546875" customWidth="1"/>
    <col min="18" max="18" width="12.5546875" style="21" customWidth="1"/>
    <col min="19" max="19" width="10.5546875" customWidth="1"/>
    <col min="20" max="20" width="12.5546875" customWidth="1"/>
    <col min="21" max="21" width="10.5546875" customWidth="1"/>
    <col min="22" max="22" width="12.5546875" style="21" customWidth="1"/>
    <col min="23" max="23" width="10.5546875" customWidth="1"/>
    <col min="24" max="24" width="12.5546875" style="21" customWidth="1"/>
    <col min="25" max="25" width="10.5546875" customWidth="1"/>
    <col min="26" max="26" width="12.5546875" style="21" customWidth="1"/>
    <col min="27" max="27" width="10.5546875" customWidth="1"/>
    <col min="28" max="28" width="12.5546875" style="21" customWidth="1"/>
    <col min="29" max="29" width="10.5546875" customWidth="1"/>
    <col min="30" max="30" width="12.5546875" style="21" customWidth="1"/>
    <col min="31" max="31" width="10.5546875" customWidth="1"/>
    <col min="32" max="32" width="12.5546875" style="21" customWidth="1"/>
    <col min="33" max="33" width="10.5546875" customWidth="1"/>
    <col min="34" max="34" width="12.5546875" style="21" customWidth="1"/>
    <col min="35" max="35" width="10.5546875" customWidth="1"/>
    <col min="36" max="36" width="12.5546875" style="21" customWidth="1"/>
    <col min="37" max="37" width="10.5546875" customWidth="1"/>
    <col min="38" max="38" width="12.5546875" style="21" customWidth="1"/>
    <col min="39" max="39" width="10.5546875" customWidth="1"/>
    <col min="40" max="40" width="12.5546875" style="21" customWidth="1"/>
    <col min="41" max="41" width="10.5546875" customWidth="1"/>
    <col min="42" max="42" width="12.5546875" customWidth="1"/>
    <col min="43" max="43" width="10.5546875" customWidth="1"/>
    <col min="44" max="44" width="12.5546875" style="21" customWidth="1"/>
    <col min="45" max="45" width="10.5546875" customWidth="1"/>
    <col min="46" max="46" width="12.5546875" style="21" customWidth="1"/>
    <col min="47" max="47" width="10.5546875" customWidth="1"/>
  </cols>
  <sheetData>
    <row r="1" spans="1:47" x14ac:dyDescent="0.3">
      <c r="A1" s="2"/>
      <c r="B1" s="2"/>
      <c r="C1" s="2"/>
      <c r="D1" s="59" t="str">
        <f>Wedstrijden_beheer!E1</f>
        <v>Roland</v>
      </c>
      <c r="E1" s="60"/>
      <c r="F1" s="61" t="str">
        <f>Wedstrijden_beheer!G1</f>
        <v>Nikki</v>
      </c>
      <c r="G1" s="43"/>
      <c r="H1" s="61" t="str">
        <f>Wedstrijden_beheer!I1</f>
        <v>Abdussamed</v>
      </c>
      <c r="I1" s="43"/>
      <c r="J1" s="61" t="str">
        <f>Wedstrijden_beheer!K1</f>
        <v>Karsten</v>
      </c>
      <c r="K1" s="43"/>
      <c r="L1" s="61" t="str">
        <f>Wedstrijden_beheer!M1</f>
        <v>Bas</v>
      </c>
      <c r="M1" s="43"/>
      <c r="N1" s="61" t="str">
        <f>Wedstrijden_beheer!O1</f>
        <v>Maik</v>
      </c>
      <c r="O1" s="43"/>
      <c r="P1" s="61" t="str">
        <f>Wedstrijden_beheer!Q1</f>
        <v>Simone</v>
      </c>
      <c r="Q1" s="43"/>
      <c r="R1" s="61" t="str">
        <f>Wedstrijden_beheer!S1</f>
        <v>Marc</v>
      </c>
      <c r="S1" s="43"/>
      <c r="T1" s="61" t="str">
        <f>Wedstrijden_beheer!U1</f>
        <v>Tom</v>
      </c>
      <c r="U1" s="43"/>
      <c r="V1" s="61" t="str">
        <f>Wedstrijden_beheer!W1</f>
        <v>Jos</v>
      </c>
      <c r="W1" s="43"/>
      <c r="X1" s="61" t="str">
        <f>Wedstrijden_beheer!Y1</f>
        <v>Lesley</v>
      </c>
      <c r="Y1" s="43"/>
      <c r="Z1" s="61" t="str">
        <f>Wedstrijden_beheer!AA1</f>
        <v>Ivo</v>
      </c>
      <c r="AA1" s="43"/>
      <c r="AB1" s="61" t="str">
        <f>Wedstrijden_beheer!AC1</f>
        <v>Ron</v>
      </c>
      <c r="AC1" s="43"/>
      <c r="AD1" s="61" t="str">
        <f>Wedstrijden_beheer!AE1</f>
        <v>Jeroen</v>
      </c>
      <c r="AE1" s="43"/>
      <c r="AF1" s="61" t="str">
        <f>Wedstrijden_beheer!AG1</f>
        <v>Erwin</v>
      </c>
      <c r="AG1" s="43"/>
      <c r="AH1" s="61" t="str">
        <f>Wedstrijden_beheer!AI1</f>
        <v>Tim</v>
      </c>
      <c r="AI1" s="43"/>
      <c r="AJ1" s="61" t="s">
        <v>20</v>
      </c>
      <c r="AK1" s="43"/>
      <c r="AL1" s="61" t="s">
        <v>21</v>
      </c>
      <c r="AM1" s="43"/>
      <c r="AN1" s="61" t="str">
        <f>Wedstrijden_beheer!AO1</f>
        <v>Patrick</v>
      </c>
      <c r="AO1" s="43"/>
      <c r="AP1" s="61" t="str">
        <f>Wedstrijden_beheer!AQ1</f>
        <v>Jeno</v>
      </c>
      <c r="AQ1" s="43"/>
      <c r="AR1" s="42" t="str">
        <f>Wedstrijden_beheer!AS1</f>
        <v>Andre</v>
      </c>
      <c r="AS1" s="51"/>
      <c r="AT1" s="42" t="str">
        <f>Wedstrijden_beheer!AU1</f>
        <v>Raymond</v>
      </c>
      <c r="AU1" s="51"/>
    </row>
    <row r="2" spans="1:47" s="28" customFormat="1" ht="14.4" customHeight="1" x14ac:dyDescent="0.3">
      <c r="A2" s="34"/>
      <c r="B2" s="35" t="s">
        <v>215</v>
      </c>
      <c r="C2" s="34" t="s">
        <v>216</v>
      </c>
      <c r="D2" s="36" t="s">
        <v>217</v>
      </c>
      <c r="E2" s="34" t="s">
        <v>28</v>
      </c>
      <c r="F2" s="34" t="s">
        <v>217</v>
      </c>
      <c r="G2" s="34" t="s">
        <v>28</v>
      </c>
      <c r="H2" s="34" t="s">
        <v>217</v>
      </c>
      <c r="I2" s="34" t="s">
        <v>28</v>
      </c>
      <c r="J2" s="34" t="s">
        <v>217</v>
      </c>
      <c r="K2" s="34" t="s">
        <v>28</v>
      </c>
      <c r="L2" s="34" t="s">
        <v>217</v>
      </c>
      <c r="M2" s="34" t="s">
        <v>28</v>
      </c>
      <c r="N2" s="36" t="s">
        <v>217</v>
      </c>
      <c r="O2" s="34" t="s">
        <v>28</v>
      </c>
      <c r="P2" s="36" t="s">
        <v>217</v>
      </c>
      <c r="Q2" s="34" t="s">
        <v>28</v>
      </c>
      <c r="R2" s="36" t="s">
        <v>217</v>
      </c>
      <c r="S2" s="34" t="s">
        <v>28</v>
      </c>
      <c r="T2" s="34" t="s">
        <v>217</v>
      </c>
      <c r="U2" s="34" t="s">
        <v>28</v>
      </c>
      <c r="V2" s="36" t="s">
        <v>217</v>
      </c>
      <c r="W2" s="34" t="s">
        <v>28</v>
      </c>
      <c r="X2" s="36" t="s">
        <v>217</v>
      </c>
      <c r="Y2" s="34" t="s">
        <v>28</v>
      </c>
      <c r="Z2" s="36" t="s">
        <v>217</v>
      </c>
      <c r="AA2" s="34" t="s">
        <v>28</v>
      </c>
      <c r="AB2" s="36" t="s">
        <v>217</v>
      </c>
      <c r="AC2" s="34" t="s">
        <v>28</v>
      </c>
      <c r="AD2" s="36" t="s">
        <v>217</v>
      </c>
      <c r="AE2" s="34" t="s">
        <v>28</v>
      </c>
      <c r="AF2" s="36" t="s">
        <v>217</v>
      </c>
      <c r="AG2" s="34" t="s">
        <v>28</v>
      </c>
      <c r="AH2" s="36" t="s">
        <v>217</v>
      </c>
      <c r="AI2" s="34" t="s">
        <v>28</v>
      </c>
      <c r="AJ2" s="36" t="s">
        <v>217</v>
      </c>
      <c r="AK2" s="34" t="s">
        <v>28</v>
      </c>
      <c r="AL2" s="37" t="s">
        <v>217</v>
      </c>
      <c r="AM2" s="34" t="s">
        <v>28</v>
      </c>
      <c r="AN2" s="36" t="s">
        <v>217</v>
      </c>
      <c r="AO2" s="34" t="s">
        <v>28</v>
      </c>
      <c r="AP2" s="34" t="s">
        <v>217</v>
      </c>
      <c r="AQ2" s="34" t="s">
        <v>28</v>
      </c>
      <c r="AR2" s="36" t="s">
        <v>217</v>
      </c>
      <c r="AS2" s="34" t="s">
        <v>28</v>
      </c>
      <c r="AT2" s="36" t="s">
        <v>217</v>
      </c>
      <c r="AU2" s="34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4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1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1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1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1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1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1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1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5" t="s">
        <v>280</v>
      </c>
      <c r="AA16" s="11" t="str">
        <f t="shared" si="11"/>
        <v/>
      </c>
      <c r="AB16" s="21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27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5" sqref="F5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284</v>
      </c>
      <c r="B1" s="16"/>
      <c r="C1" s="16"/>
      <c r="D1" s="16"/>
      <c r="E1" s="16"/>
    </row>
    <row r="2" spans="1:5" ht="18" customHeight="1" x14ac:dyDescent="0.3">
      <c r="A2" s="38" t="s">
        <v>285</v>
      </c>
      <c r="B2" s="38" t="s">
        <v>286</v>
      </c>
      <c r="C2" s="38" t="s">
        <v>287</v>
      </c>
      <c r="D2" s="38" t="s">
        <v>288</v>
      </c>
      <c r="E2" s="38" t="s">
        <v>289</v>
      </c>
    </row>
    <row r="3" spans="1:5" ht="18" customHeight="1" x14ac:dyDescent="0.3">
      <c r="A3" s="11">
        <f>_xlfn.RANK.EQ(E3,$E$3:$E$90,0)</f>
        <v>1</v>
      </c>
      <c r="B3" s="1" t="str">
        <f>Wedstrijden_beheer!O1</f>
        <v>Maik</v>
      </c>
      <c r="C3" s="11">
        <f>SUM(Wedstrijden_beheer!P3:'Wedstrijden_beheer'!P194)</f>
        <v>192</v>
      </c>
      <c r="D3" s="11">
        <f>Bonus_beheer!O17</f>
        <v>0</v>
      </c>
      <c r="E3" s="11">
        <f>C3+D3</f>
        <v>192</v>
      </c>
    </row>
    <row r="4" spans="1:5" ht="18" customHeight="1" x14ac:dyDescent="0.3">
      <c r="A4" s="11">
        <f>_xlfn.RANK.EQ(E4,$E$3:$E$90,0)</f>
        <v>2</v>
      </c>
      <c r="B4" s="1" t="str">
        <f>Wedstrijden_beheer!AA1</f>
        <v>Ivo</v>
      </c>
      <c r="C4" s="11">
        <f>SUM(Wedstrijden_beheer!AB3:'Wedstrijden_beheer'!AB194)</f>
        <v>187</v>
      </c>
      <c r="D4" s="11">
        <f>Bonus_beheer!AA17</f>
        <v>0</v>
      </c>
      <c r="E4" s="11">
        <f>C4+D4</f>
        <v>187</v>
      </c>
    </row>
    <row r="5" spans="1:5" ht="18" customHeight="1" x14ac:dyDescent="0.3">
      <c r="A5" s="11">
        <f>_xlfn.RANK.EQ(E5,$E$3:$E$90,0)</f>
        <v>3</v>
      </c>
      <c r="B5" s="1" t="str">
        <f>Wedstrijden_beheer!AO1</f>
        <v>Patrick</v>
      </c>
      <c r="C5" s="11">
        <f>SUM(Wedstrijden_beheer!AP3:'Wedstrijden_beheer'!AP194)</f>
        <v>185</v>
      </c>
      <c r="D5" s="11">
        <f>Bonus_beheer!AO17</f>
        <v>0</v>
      </c>
      <c r="E5" s="11">
        <f>C5+D5</f>
        <v>185</v>
      </c>
    </row>
    <row r="6" spans="1:5" ht="18" customHeight="1" x14ac:dyDescent="0.3">
      <c r="A6" s="11">
        <f>_xlfn.RANK.EQ(E6,$E$3:$E$90,0)</f>
        <v>4</v>
      </c>
      <c r="B6" s="1" t="str">
        <f>Wedstrijden_beheer!I1</f>
        <v>Abdussamed</v>
      </c>
      <c r="C6" s="11">
        <f>SUM(Wedstrijden_beheer!J3:'Wedstrijden_beheer'!J194)</f>
        <v>184</v>
      </c>
      <c r="D6" s="11">
        <f>Bonus_beheer!I17</f>
        <v>0</v>
      </c>
      <c r="E6" s="11">
        <f>C6+D6</f>
        <v>184</v>
      </c>
    </row>
    <row r="7" spans="1:5" ht="18" customHeight="1" x14ac:dyDescent="0.3">
      <c r="A7" s="11">
        <f>_xlfn.RANK.EQ(E7,$E$3:$E$90,0)</f>
        <v>5</v>
      </c>
      <c r="B7" s="1" t="str">
        <f>Wedstrijden_beheer!Y1</f>
        <v>Lesley</v>
      </c>
      <c r="C7" s="11">
        <f>SUM(Wedstrijden_beheer!Z3:'Wedstrijden_beheer'!Z194)</f>
        <v>183</v>
      </c>
      <c r="D7" s="11">
        <f>Bonus_beheer!Y17</f>
        <v>0</v>
      </c>
      <c r="E7" s="11">
        <f>C7+D7</f>
        <v>183</v>
      </c>
    </row>
    <row r="8" spans="1:5" ht="18" customHeight="1" x14ac:dyDescent="0.3">
      <c r="A8" s="11">
        <f>_xlfn.RANK.EQ(E8,$E$3:$E$90,0)</f>
        <v>6</v>
      </c>
      <c r="B8" s="1" t="str">
        <f>Wedstrijden_beheer!U1</f>
        <v>Tom</v>
      </c>
      <c r="C8" s="11">
        <f>SUM(Wedstrijden_beheer!V3:'Wedstrijden_beheer'!V194)</f>
        <v>177</v>
      </c>
      <c r="D8" s="11">
        <f>Bonus_beheer!U17</f>
        <v>0</v>
      </c>
      <c r="E8" s="11">
        <f>C8+D8</f>
        <v>177</v>
      </c>
    </row>
    <row r="9" spans="1:5" ht="18" customHeight="1" x14ac:dyDescent="0.3">
      <c r="A9" s="11">
        <f>_xlfn.RANK.EQ(E9,$E$3:$E$90,0)</f>
        <v>6</v>
      </c>
      <c r="B9" s="1" t="str">
        <f>Wedstrijden_beheer!AG1</f>
        <v>Erwin</v>
      </c>
      <c r="C9" s="11">
        <f>SUM(Wedstrijden_beheer!AH3:'Wedstrijden_beheer'!AH194)</f>
        <v>177</v>
      </c>
      <c r="D9" s="11">
        <f>Bonus_beheer!AG17</f>
        <v>0</v>
      </c>
      <c r="E9" s="11">
        <f>C9+D9</f>
        <v>177</v>
      </c>
    </row>
    <row r="10" spans="1:5" ht="18" customHeight="1" x14ac:dyDescent="0.3">
      <c r="A10" s="11">
        <f>_xlfn.RANK.EQ(E10,$E$3:$E$90,0)</f>
        <v>8</v>
      </c>
      <c r="B10" s="1" t="str">
        <f>Wedstrijden_beheer!AE1</f>
        <v>Jeroen</v>
      </c>
      <c r="C10" s="11">
        <f>SUM(Wedstrijden_beheer!AF3:'Wedstrijden_beheer'!AF194)</f>
        <v>175</v>
      </c>
      <c r="D10" s="11">
        <f>Bonus_beheer!AE17</f>
        <v>0</v>
      </c>
      <c r="E10" s="11">
        <f>C10+D10</f>
        <v>175</v>
      </c>
    </row>
    <row r="11" spans="1:5" ht="18" customHeight="1" x14ac:dyDescent="0.3">
      <c r="A11" s="11">
        <f>_xlfn.RANK.EQ(E11,$E$3:$E$90,0)</f>
        <v>8</v>
      </c>
      <c r="B11" s="29" t="str">
        <f>Wedstrijden_beheer!E1</f>
        <v>Roland</v>
      </c>
      <c r="C11" s="11">
        <f>SUM(Wedstrijden_beheer!F3:'Wedstrijden_beheer'!F194)</f>
        <v>175</v>
      </c>
      <c r="D11" s="11">
        <f>Bonus_beheer!E17</f>
        <v>0</v>
      </c>
      <c r="E11" s="11">
        <f>C11+D11</f>
        <v>175</v>
      </c>
    </row>
    <row r="12" spans="1:5" ht="18" customHeight="1" x14ac:dyDescent="0.3">
      <c r="A12" s="11">
        <f>_xlfn.RANK.EQ(E12,$E$3:$E$90,0)</f>
        <v>10</v>
      </c>
      <c r="B12" s="1" t="str">
        <f>Wedstrijden_beheer!G1</f>
        <v>Nikki</v>
      </c>
      <c r="C12" s="11">
        <f>SUM(Wedstrijden_beheer!H3:'Wedstrijden_beheer'!H194)</f>
        <v>174</v>
      </c>
      <c r="D12" s="11">
        <f>Bonus_beheer!G17</f>
        <v>0</v>
      </c>
      <c r="E12" s="11">
        <f>C12+D12</f>
        <v>174</v>
      </c>
    </row>
    <row r="13" spans="1:5" ht="18" customHeight="1" x14ac:dyDescent="0.3">
      <c r="A13" s="11">
        <f>_xlfn.RANK.EQ(E13,$E$3:$E$90,0)</f>
        <v>11</v>
      </c>
      <c r="B13" s="1" t="str">
        <f>Wedstrijden_beheer!W1</f>
        <v>Jos</v>
      </c>
      <c r="C13" s="11">
        <f>SUM(Wedstrijden_beheer!X3:'Wedstrijden_beheer'!X194)</f>
        <v>168</v>
      </c>
      <c r="D13" s="11">
        <f>Bonus_beheer!W17</f>
        <v>0</v>
      </c>
      <c r="E13" s="11">
        <f>C13+D13</f>
        <v>168</v>
      </c>
    </row>
    <row r="14" spans="1:5" ht="18" customHeight="1" x14ac:dyDescent="0.3">
      <c r="A14" s="11">
        <f>_xlfn.RANK.EQ(E14,$E$3:$E$90,0)</f>
        <v>12</v>
      </c>
      <c r="B14" s="1" t="str">
        <f>Wedstrijden_beheer!AK1</f>
        <v>Kim</v>
      </c>
      <c r="C14" s="11">
        <f>SUM(Wedstrijden_beheer!AL3:'Wedstrijden_beheer'!AL194)</f>
        <v>167</v>
      </c>
      <c r="D14" s="11">
        <f>Bonus_beheer!AK17</f>
        <v>0</v>
      </c>
      <c r="E14" s="11">
        <f>C14+D14</f>
        <v>167</v>
      </c>
    </row>
    <row r="15" spans="1:5" ht="18" customHeight="1" x14ac:dyDescent="0.3">
      <c r="A15" s="11">
        <f>_xlfn.RANK.EQ(E15,$E$3:$E$90,0)</f>
        <v>13</v>
      </c>
      <c r="B15" s="1" t="str">
        <f>Wedstrijden_beheer!AM1</f>
        <v>Kristel</v>
      </c>
      <c r="C15" s="11">
        <f>SUM(Wedstrijden_beheer!AN3:'Wedstrijden_beheer'!AN194)</f>
        <v>165</v>
      </c>
      <c r="D15" s="11">
        <f>Bonus_beheer!AM17</f>
        <v>0</v>
      </c>
      <c r="E15" s="11">
        <f>C15+D15</f>
        <v>165</v>
      </c>
    </row>
    <row r="16" spans="1:5" ht="18" customHeight="1" x14ac:dyDescent="0.3">
      <c r="A16" s="11">
        <f>_xlfn.RANK.EQ(E16,$E$3:$E$90,0)</f>
        <v>14</v>
      </c>
      <c r="B16" s="1" t="str">
        <f>Wedstrijden_beheer!AQ1</f>
        <v>Jeno</v>
      </c>
      <c r="C16" s="11">
        <f>SUM(Wedstrijden_beheer!AV4:'Wedstrijden_beheer'!AV195)</f>
        <v>161</v>
      </c>
      <c r="D16" s="11">
        <f>Bonus_beheer!AU18</f>
        <v>0</v>
      </c>
      <c r="E16" s="11">
        <f>C16+D16</f>
        <v>161</v>
      </c>
    </row>
    <row r="17" spans="1:5" ht="18" customHeight="1" x14ac:dyDescent="0.3">
      <c r="A17" s="11">
        <f>_xlfn.RANK.EQ(E17,$E$3:$E$90,0)</f>
        <v>14</v>
      </c>
      <c r="B17" s="1" t="str">
        <f>Wedstrijden_beheer!AU1</f>
        <v>Raymond</v>
      </c>
      <c r="C17" s="11">
        <f>SUM(Wedstrijden_beheer!AV3:'Wedstrijden_beheer'!AV194)</f>
        <v>161</v>
      </c>
      <c r="D17" s="11">
        <f>Bonus_beheer!AU17</f>
        <v>0</v>
      </c>
      <c r="E17" s="11">
        <f>C17+D17</f>
        <v>161</v>
      </c>
    </row>
    <row r="18" spans="1:5" ht="18" customHeight="1" x14ac:dyDescent="0.3">
      <c r="A18" s="11">
        <f>_xlfn.RANK.EQ(E18,$E$3:$E$90,0)</f>
        <v>16</v>
      </c>
      <c r="B18" s="1" t="str">
        <f>Wedstrijden_beheer!M1</f>
        <v>Bas</v>
      </c>
      <c r="C18" s="11">
        <f>SUM(Wedstrijden_beheer!N3:'Wedstrijden_beheer'!N194)</f>
        <v>159</v>
      </c>
      <c r="D18" s="11">
        <f>Bonus_beheer!M17</f>
        <v>0</v>
      </c>
      <c r="E18" s="11">
        <f>C18+D18</f>
        <v>159</v>
      </c>
    </row>
    <row r="19" spans="1:5" ht="18" customHeight="1" x14ac:dyDescent="0.3">
      <c r="A19" s="11">
        <f>_xlfn.RANK.EQ(E19,$E$3:$E$90,0)</f>
        <v>17</v>
      </c>
      <c r="B19" s="1" t="str">
        <f>Wedstrijden_beheer!AC1</f>
        <v>Ron</v>
      </c>
      <c r="C19" s="11">
        <f>SUM(Wedstrijden_beheer!AD3:'Wedstrijden_beheer'!AD194)</f>
        <v>153</v>
      </c>
      <c r="D19" s="11">
        <f>Bonus_beheer!AC17</f>
        <v>0</v>
      </c>
      <c r="E19" s="11">
        <f>C19+D19</f>
        <v>153</v>
      </c>
    </row>
    <row r="20" spans="1:5" ht="18" customHeight="1" x14ac:dyDescent="0.3">
      <c r="A20" s="11">
        <f>_xlfn.RANK.EQ(E20,$E$3:$E$90,0)</f>
        <v>18</v>
      </c>
      <c r="B20" s="1" t="str">
        <f>Wedstrijden_beheer!K1</f>
        <v>Karsten</v>
      </c>
      <c r="C20" s="11">
        <f>SUM(Wedstrijden_beheer!L3:'Wedstrijden_beheer'!L194)</f>
        <v>142</v>
      </c>
      <c r="D20" s="11">
        <f>Bonus_beheer!K17</f>
        <v>0</v>
      </c>
      <c r="E20" s="11">
        <f>C20+D20</f>
        <v>142</v>
      </c>
    </row>
    <row r="21" spans="1:5" ht="18" customHeight="1" x14ac:dyDescent="0.3">
      <c r="A21" s="11">
        <f>_xlfn.RANK.EQ(E21,$E$3:$E$90,0)</f>
        <v>19</v>
      </c>
      <c r="B21" s="1" t="str">
        <f>Wedstrijden_beheer!S1</f>
        <v>Marc</v>
      </c>
      <c r="C21" s="11">
        <f>SUM(Wedstrijden_beheer!T3:'Wedstrijden_beheer'!T194)</f>
        <v>137</v>
      </c>
      <c r="D21" s="11">
        <f>Bonus_beheer!S17</f>
        <v>0</v>
      </c>
      <c r="E21" s="11">
        <f>C21+D21</f>
        <v>137</v>
      </c>
    </row>
    <row r="22" spans="1:5" ht="18" customHeight="1" x14ac:dyDescent="0.3">
      <c r="A22" s="11">
        <f>_xlfn.RANK.EQ(E22,$E$3:$E$90,0)</f>
        <v>20</v>
      </c>
      <c r="B22" s="1" t="str">
        <f>Wedstrijden_beheer!AI1</f>
        <v>Tim</v>
      </c>
      <c r="C22" s="11">
        <f>SUM(Wedstrijden_beheer!AJ3:'Wedstrijden_beheer'!AJ194)</f>
        <v>136</v>
      </c>
      <c r="D22" s="11">
        <f>Bonus_beheer!AI17</f>
        <v>0</v>
      </c>
      <c r="E22" s="11">
        <f>C22+D22</f>
        <v>136</v>
      </c>
    </row>
    <row r="23" spans="1:5" x14ac:dyDescent="0.3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128</v>
      </c>
      <c r="D23" s="11">
        <f>Bonus_beheer!Q18</f>
        <v>0</v>
      </c>
      <c r="E23" s="11">
        <f>C23+D23</f>
        <v>128</v>
      </c>
    </row>
    <row r="24" spans="1:5" x14ac:dyDescent="0.3">
      <c r="A24" s="11">
        <f>_xlfn.RANK.EQ(E24,$E$3:$E$90,0)</f>
        <v>21</v>
      </c>
      <c r="B24" s="1" t="str">
        <f>Wedstrijden_beheer!Q1</f>
        <v>Simone</v>
      </c>
      <c r="C24" s="11">
        <f>SUM(Wedstrijden_beheer!R3:'Wedstrijden_beheer'!R194)</f>
        <v>128</v>
      </c>
      <c r="D24" s="11">
        <f>Bonus_beheer!Q17</f>
        <v>0</v>
      </c>
      <c r="E24" s="11">
        <f>C24+D24</f>
        <v>128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290</v>
      </c>
      <c r="B1" s="16"/>
    </row>
    <row r="2" spans="1:2" ht="18" customHeight="1" x14ac:dyDescent="0.3">
      <c r="A2" s="38" t="s">
        <v>291</v>
      </c>
      <c r="B2" s="38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306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38" t="s">
        <v>291</v>
      </c>
      <c r="B2" s="38" t="s">
        <v>28</v>
      </c>
      <c r="C2" s="38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319</v>
      </c>
      <c r="B1" s="22" t="s">
        <v>320</v>
      </c>
      <c r="C1" s="22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2006/documentManagement/types"/>
    <ds:schemaRef ds:uri="http://purl.org/dc/terms/"/>
    <ds:schemaRef ds:uri="http://purl.org/dc/elements/1.1/"/>
    <ds:schemaRef ds:uri="7c2036e6-2c6c-4cc0-93d3-66cc911cb074"/>
    <ds:schemaRef ds:uri="http://schemas.openxmlformats.org/package/2006/metadata/core-properties"/>
    <ds:schemaRef ds:uri="7b90d758-d430-4ffd-9227-0f539ac48821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2026-06-22T04:28:42Z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