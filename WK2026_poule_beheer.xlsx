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"/>
    </mc:Choice>
  </mc:AlternateContent>
  <xr:revisionPtr revIDLastSave="2" documentId="13_ncr:1_{02EDC44C-B1E6-466C-BF0D-E65E02FBB14E}" xr6:coauthVersionLast="47" xr6:coauthVersionMax="47" xr10:uidLastSave="{B91758B6-038A-421D-A8F2-1B0D80A89D36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V137" i="1" s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AX136" i="1"/>
  <c r="R136" i="1" s="1"/>
  <c r="AW136" i="1"/>
  <c r="AP136" i="1"/>
  <c r="AL136" i="1"/>
  <c r="AJ136" i="1"/>
  <c r="AH136" i="1"/>
  <c r="AF136" i="1"/>
  <c r="AD136" i="1"/>
  <c r="AB136" i="1"/>
  <c r="Z136" i="1"/>
  <c r="X136" i="1"/>
  <c r="V136" i="1"/>
  <c r="T136" i="1"/>
  <c r="J136" i="1"/>
  <c r="AX133" i="1"/>
  <c r="AH133" i="1" s="1"/>
  <c r="AW133" i="1"/>
  <c r="AF133" i="1"/>
  <c r="T133" i="1"/>
  <c r="P133" i="1"/>
  <c r="N133" i="1"/>
  <c r="L133" i="1"/>
  <c r="J133" i="1"/>
  <c r="H133" i="1"/>
  <c r="F133" i="1"/>
  <c r="AX132" i="1"/>
  <c r="AW132" i="1"/>
  <c r="AB132" i="1" s="1"/>
  <c r="AV132" i="1"/>
  <c r="AT132" i="1"/>
  <c r="AX129" i="1"/>
  <c r="AW129" i="1"/>
  <c r="AP129" i="1" s="1"/>
  <c r="AV129" i="1"/>
  <c r="AR129" i="1"/>
  <c r="AN129" i="1"/>
  <c r="AJ129" i="1"/>
  <c r="AB129" i="1"/>
  <c r="Z129" i="1"/>
  <c r="X129" i="1"/>
  <c r="V129" i="1"/>
  <c r="R129" i="1"/>
  <c r="P129" i="1"/>
  <c r="N129" i="1"/>
  <c r="L129" i="1"/>
  <c r="J129" i="1"/>
  <c r="H129" i="1"/>
  <c r="F129" i="1"/>
  <c r="AX128" i="1"/>
  <c r="AV128" i="1" s="1"/>
  <c r="AW128" i="1"/>
  <c r="AT128" i="1" s="1"/>
  <c r="AX127" i="1"/>
  <c r="AW127" i="1"/>
  <c r="AH127" i="1" s="1"/>
  <c r="AL127" i="1"/>
  <c r="AJ127" i="1"/>
  <c r="AX124" i="1"/>
  <c r="AV124" i="1" s="1"/>
  <c r="AW124" i="1"/>
  <c r="AT124" i="1" s="1"/>
  <c r="AX123" i="1"/>
  <c r="P123" i="1" s="1"/>
  <c r="AW123" i="1"/>
  <c r="H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X118" i="1"/>
  <c r="AW118" i="1"/>
  <c r="V118" i="1" s="1"/>
  <c r="AT118" i="1"/>
  <c r="AP118" i="1"/>
  <c r="AN118" i="1"/>
  <c r="AJ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F137" i="1" l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4" i="3"/>
  <c r="B6" i="3"/>
  <c r="B9" i="3"/>
  <c r="B22" i="3"/>
  <c r="B12" i="3"/>
  <c r="B17" i="3"/>
  <c r="B3" i="3"/>
  <c r="B8" i="3"/>
  <c r="B24" i="3"/>
  <c r="B20" i="3"/>
  <c r="B13" i="3"/>
  <c r="B16" i="3"/>
  <c r="D16" i="3"/>
  <c r="B11" i="3"/>
  <c r="B10" i="3"/>
  <c r="B19" i="3"/>
  <c r="B18" i="3"/>
  <c r="B5" i="3"/>
  <c r="B15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5" i="1"/>
  <c r="AR96" i="1"/>
  <c r="AR97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T16" i="1" s="1"/>
  <c r="AW17" i="1"/>
  <c r="AX17" i="1"/>
  <c r="AW18" i="1"/>
  <c r="AX18" i="1"/>
  <c r="AW19" i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N42" i="1" s="1"/>
  <c r="AW43" i="1"/>
  <c r="AX43" i="1"/>
  <c r="AW44" i="1"/>
  <c r="AX44" i="1"/>
  <c r="AW47" i="1"/>
  <c r="AN47" i="1" s="1"/>
  <c r="AX47" i="1"/>
  <c r="AW48" i="1"/>
  <c r="X48" i="1" s="1"/>
  <c r="AX48" i="1"/>
  <c r="AW49" i="1"/>
  <c r="AX49" i="1"/>
  <c r="AW52" i="1"/>
  <c r="H52" i="1" s="1"/>
  <c r="AX52" i="1"/>
  <c r="AW53" i="1"/>
  <c r="AX53" i="1"/>
  <c r="AW54" i="1"/>
  <c r="AX54" i="1"/>
  <c r="AW55" i="1"/>
  <c r="AX55" i="1"/>
  <c r="AW56" i="1"/>
  <c r="AX56" i="1"/>
  <c r="X56" i="1" s="1"/>
  <c r="AW59" i="1"/>
  <c r="AX59" i="1"/>
  <c r="AH59" i="1" s="1"/>
  <c r="AW60" i="1"/>
  <c r="R60" i="1" s="1"/>
  <c r="AX60" i="1"/>
  <c r="AW61" i="1"/>
  <c r="AX61" i="1"/>
  <c r="AW62" i="1"/>
  <c r="AX62" i="1"/>
  <c r="AW65" i="1"/>
  <c r="AX65" i="1"/>
  <c r="Z65" i="1" s="1"/>
  <c r="AW66" i="1"/>
  <c r="AX66" i="1"/>
  <c r="J66" i="1" s="1"/>
  <c r="AW67" i="1"/>
  <c r="AX67" i="1"/>
  <c r="AW68" i="1"/>
  <c r="AB68" i="1" s="1"/>
  <c r="AX68" i="1"/>
  <c r="AW71" i="1"/>
  <c r="AX71" i="1"/>
  <c r="AW72" i="1"/>
  <c r="P72" i="1" s="1"/>
  <c r="AX72" i="1"/>
  <c r="AW73" i="1"/>
  <c r="AX73" i="1"/>
  <c r="AW74" i="1"/>
  <c r="AX74" i="1"/>
  <c r="AW77" i="1"/>
  <c r="AN77" i="1" s="1"/>
  <c r="AX77" i="1"/>
  <c r="AW78" i="1"/>
  <c r="AX78" i="1"/>
  <c r="H78" i="1" s="1"/>
  <c r="AW79" i="1"/>
  <c r="AR79" i="1" s="1"/>
  <c r="AX79" i="1"/>
  <c r="AD79" i="1" s="1"/>
  <c r="AW80" i="1"/>
  <c r="AR80" i="1" s="1"/>
  <c r="AX80" i="1"/>
  <c r="AW83" i="1"/>
  <c r="AX83" i="1"/>
  <c r="V83" i="1" s="1"/>
  <c r="AW84" i="1"/>
  <c r="AX84" i="1"/>
  <c r="AN84" i="1" s="1"/>
  <c r="AW85" i="1"/>
  <c r="AH85" i="1" s="1"/>
  <c r="AX85" i="1"/>
  <c r="R85" i="1" s="1"/>
  <c r="AW86" i="1"/>
  <c r="AX86" i="1"/>
  <c r="AW87" i="1"/>
  <c r="AT87" i="1" s="1"/>
  <c r="AX87" i="1"/>
  <c r="P87" i="1" s="1"/>
  <c r="AW88" i="1"/>
  <c r="AD88" i="1" s="1"/>
  <c r="AX88" i="1"/>
  <c r="AW91" i="1"/>
  <c r="H91" i="1" s="1"/>
  <c r="AX91" i="1"/>
  <c r="F91" i="1" s="1"/>
  <c r="AW92" i="1"/>
  <c r="T92" i="1" s="1"/>
  <c r="AX92" i="1"/>
  <c r="AW93" i="1"/>
  <c r="AX93" i="1"/>
  <c r="F93" i="1" s="1"/>
  <c r="AW94" i="1"/>
  <c r="AX94" i="1"/>
  <c r="AF94" i="1" s="1"/>
  <c r="AW95" i="1"/>
  <c r="X95" i="1" s="1"/>
  <c r="AX95" i="1"/>
  <c r="AW96" i="1"/>
  <c r="AX96" i="1"/>
  <c r="Z96" i="1" s="1"/>
  <c r="AW99" i="1"/>
  <c r="AR99" i="1" s="1"/>
  <c r="AX99" i="1"/>
  <c r="AT99" i="1" s="1"/>
  <c r="AW100" i="1"/>
  <c r="AL100" i="1" s="1"/>
  <c r="AX100" i="1"/>
  <c r="AW101" i="1"/>
  <c r="AJ101" i="1" s="1"/>
  <c r="AX101" i="1"/>
  <c r="AL101" i="1" s="1"/>
  <c r="AW102" i="1"/>
  <c r="AX102" i="1"/>
  <c r="X102" i="1" s="1"/>
  <c r="AW103" i="1"/>
  <c r="AX103" i="1"/>
  <c r="F103" i="1" s="1"/>
  <c r="AW104" i="1"/>
  <c r="AX104" i="1"/>
  <c r="AW107" i="1"/>
  <c r="AX107" i="1"/>
  <c r="AP107" i="1" s="1"/>
  <c r="AW108" i="1"/>
  <c r="AX108" i="1"/>
  <c r="AW109" i="1"/>
  <c r="AX109" i="1"/>
  <c r="AF109" i="1" s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J103" i="1"/>
  <c r="R103" i="1"/>
  <c r="P102" i="1"/>
  <c r="AB101" i="1"/>
  <c r="X101" i="1"/>
  <c r="V101" i="1"/>
  <c r="AJ100" i="1"/>
  <c r="R99" i="1"/>
  <c r="P99" i="1"/>
  <c r="N99" i="1"/>
  <c r="L99" i="1"/>
  <c r="J99" i="1"/>
  <c r="H99" i="1"/>
  <c r="AP96" i="1"/>
  <c r="AH96" i="1"/>
  <c r="AF95" i="1"/>
  <c r="V95" i="1"/>
  <c r="P95" i="1"/>
  <c r="H95" i="1"/>
  <c r="R92" i="1"/>
  <c r="J86" i="1"/>
  <c r="AP85" i="1"/>
  <c r="AN85" i="1"/>
  <c r="AL85" i="1"/>
  <c r="AJ85" i="1"/>
  <c r="V85" i="1"/>
  <c r="J85" i="1"/>
  <c r="AB84" i="1"/>
  <c r="X83" i="1"/>
  <c r="R83" i="1"/>
  <c r="J83" i="1"/>
  <c r="H83" i="1"/>
  <c r="AP80" i="1"/>
  <c r="AN80" i="1"/>
  <c r="V79" i="1"/>
  <c r="X77" i="1"/>
  <c r="H77" i="1"/>
  <c r="AH74" i="1"/>
  <c r="H66" i="1"/>
  <c r="AD65" i="1"/>
  <c r="AB65" i="1"/>
  <c r="X65" i="1"/>
  <c r="V65" i="1"/>
  <c r="V59" i="1"/>
  <c r="R59" i="1"/>
  <c r="L56" i="1"/>
  <c r="AN55" i="1"/>
  <c r="J35" i="1"/>
  <c r="AL31" i="1"/>
  <c r="AH31" i="1"/>
  <c r="R16" i="1"/>
  <c r="P16" i="1"/>
  <c r="N16" i="1"/>
  <c r="L16" i="1"/>
  <c r="J16" i="1"/>
  <c r="H16" i="1"/>
  <c r="P13" i="1"/>
  <c r="J13" i="1"/>
  <c r="H13" i="1"/>
  <c r="V78" i="1" l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4" i="3" s="1"/>
  <c r="AM17" i="2"/>
  <c r="D13" i="3" s="1"/>
  <c r="AI17" i="2"/>
  <c r="D20" i="3" s="1"/>
  <c r="AO17" i="2"/>
  <c r="D8" i="3" s="1"/>
  <c r="AA17" i="2"/>
  <c r="D10" i="3" s="1"/>
  <c r="AC17" i="2"/>
  <c r="D18" i="3" s="1"/>
  <c r="AE17" i="2"/>
  <c r="D5" i="3" s="1"/>
  <c r="AG17" i="2"/>
  <c r="D12" i="3" s="1"/>
  <c r="E17" i="2"/>
  <c r="D3" i="3" s="1"/>
  <c r="I17" i="2"/>
  <c r="D7" i="3" s="1"/>
  <c r="K17" i="2"/>
  <c r="D24" i="3" s="1"/>
  <c r="M17" i="2"/>
  <c r="D19" i="3" s="1"/>
  <c r="G17" i="2"/>
  <c r="D15" i="3" s="1"/>
  <c r="O17" i="2"/>
  <c r="D14" i="3" s="1"/>
  <c r="S17" i="2"/>
  <c r="D22" i="3" s="1"/>
  <c r="U17" i="2"/>
  <c r="D6" i="3" s="1"/>
  <c r="W17" i="2"/>
  <c r="D9" i="3" s="1"/>
  <c r="Y17" i="2"/>
  <c r="D11" i="3" s="1"/>
  <c r="C17" i="3" l="1"/>
  <c r="E17" i="3" s="1"/>
  <c r="C16" i="3"/>
  <c r="E16" i="3" s="1"/>
  <c r="C21" i="3"/>
  <c r="E21" i="3" s="1"/>
  <c r="C23" i="3"/>
  <c r="E23" i="3" s="1"/>
  <c r="C8" i="3"/>
  <c r="E8" i="3" s="1"/>
  <c r="C18" i="3"/>
  <c r="E18" i="3" s="1"/>
  <c r="C22" i="3"/>
  <c r="E22" i="3" s="1"/>
  <c r="C5" i="3"/>
  <c r="E5" i="3" s="1"/>
  <c r="C14" i="3"/>
  <c r="E14" i="3" s="1"/>
  <c r="C19" i="3"/>
  <c r="E19" i="3" s="1"/>
  <c r="C20" i="3"/>
  <c r="E20" i="3" s="1"/>
  <c r="C3" i="3"/>
  <c r="E3" i="3" s="1"/>
  <c r="C9" i="3"/>
  <c r="E9" i="3" s="1"/>
  <c r="C24" i="3"/>
  <c r="E24" i="3" s="1"/>
  <c r="C4" i="3"/>
  <c r="E4" i="3" s="1"/>
  <c r="C10" i="3"/>
  <c r="E10" i="3" s="1"/>
  <c r="C15" i="3"/>
  <c r="E15" i="3" s="1"/>
  <c r="C11" i="3"/>
  <c r="E11" i="3" s="1"/>
  <c r="C7" i="3"/>
  <c r="E7" i="3" s="1"/>
  <c r="C13" i="3"/>
  <c r="E13" i="3" s="1"/>
  <c r="C6" i="3"/>
  <c r="E6" i="3" s="1"/>
  <c r="C12" i="3"/>
  <c r="E12" i="3" s="1"/>
  <c r="A23" i="3" l="1"/>
  <c r="A13" i="3"/>
  <c r="A7" i="3"/>
  <c r="A16" i="3"/>
  <c r="A12" i="3"/>
  <c r="A3" i="3"/>
  <c r="A11" i="3"/>
  <c r="A24" i="3"/>
  <c r="A14" i="3"/>
  <c r="A8" i="3"/>
  <c r="A20" i="3"/>
  <c r="A6" i="3"/>
  <c r="A19" i="3"/>
  <c r="A15" i="3"/>
  <c r="A21" i="3"/>
  <c r="A22" i="3"/>
  <c r="A9" i="3"/>
  <c r="A4" i="3"/>
  <c r="A5" i="3"/>
  <c r="A18" i="3"/>
  <c r="A10" i="3"/>
  <c r="A17" i="3"/>
</calcChain>
</file>

<file path=xl/sharedStrings.xml><?xml version="1.0" encoding="utf-8"?>
<sst xmlns="http://schemas.openxmlformats.org/spreadsheetml/2006/main" count="2742" uniqueCount="296">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</sst>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9" activePane="bottomRight" state="frozen"/>
      <selection pane="topRight"/>
      <selection pane="bottomLeft"/>
      <selection pane="bottomRight" activeCell="C138" sqref="C138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289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25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294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295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/>
      <c r="D147" s="1" t="s">
        <v>60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7" t="s">
        <v>53</v>
      </c>
      <c r="C148" s="10"/>
      <c r="D148" s="1" t="s">
        <v>136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137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138</v>
      </c>
      <c r="C151" s="10"/>
      <c r="D151" s="1" t="s">
        <v>139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140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141</v>
      </c>
      <c r="C154" s="10"/>
      <c r="D154" s="1" t="s">
        <v>142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7" t="s">
        <v>143</v>
      </c>
      <c r="C155" s="10"/>
      <c r="D155" s="1" t="s">
        <v>144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145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146</v>
      </c>
      <c r="C158" s="10"/>
      <c r="D158" s="1" t="s">
        <v>147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7" t="s">
        <v>148</v>
      </c>
      <c r="C159" s="10"/>
      <c r="D159" s="1" t="s">
        <v>149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150</v>
      </c>
      <c r="C160" s="10"/>
      <c r="D160" s="1" t="s">
        <v>151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152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153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154</v>
      </c>
      <c r="C165" s="10"/>
      <c r="D165" s="1" t="s">
        <v>155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156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157</v>
      </c>
      <c r="C168" s="10"/>
      <c r="D168" s="1" t="s">
        <v>158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159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160</v>
      </c>
      <c r="C171" s="10"/>
      <c r="D171" s="1" t="s">
        <v>161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162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163</v>
      </c>
      <c r="C174" s="10"/>
      <c r="D174" s="1" t="s">
        <v>164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165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166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167</v>
      </c>
      <c r="C179" s="10"/>
      <c r="D179" s="1" t="s">
        <v>168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169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170</v>
      </c>
      <c r="C182" s="10"/>
      <c r="D182" s="1" t="s">
        <v>171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172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173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174</v>
      </c>
      <c r="C187" s="10"/>
      <c r="D187" s="1" t="s">
        <v>175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176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177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178</v>
      </c>
      <c r="C192" s="10"/>
      <c r="D192" s="1" t="s">
        <v>179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5" customHeight="1" x14ac:dyDescent="0.25">
      <c r="A2" s="34"/>
      <c r="B2" s="35" t="s">
        <v>180</v>
      </c>
      <c r="C2" s="34" t="s">
        <v>181</v>
      </c>
      <c r="D2" s="36" t="s">
        <v>182</v>
      </c>
      <c r="E2" s="34" t="s">
        <v>28</v>
      </c>
      <c r="F2" s="34" t="s">
        <v>182</v>
      </c>
      <c r="G2" s="34" t="s">
        <v>28</v>
      </c>
      <c r="H2" s="34" t="s">
        <v>182</v>
      </c>
      <c r="I2" s="34" t="s">
        <v>28</v>
      </c>
      <c r="J2" s="34" t="s">
        <v>182</v>
      </c>
      <c r="K2" s="34" t="s">
        <v>28</v>
      </c>
      <c r="L2" s="34" t="s">
        <v>182</v>
      </c>
      <c r="M2" s="34" t="s">
        <v>28</v>
      </c>
      <c r="N2" s="36" t="s">
        <v>182</v>
      </c>
      <c r="O2" s="34" t="s">
        <v>28</v>
      </c>
      <c r="P2" s="36" t="s">
        <v>182</v>
      </c>
      <c r="Q2" s="34" t="s">
        <v>28</v>
      </c>
      <c r="R2" s="36" t="s">
        <v>182</v>
      </c>
      <c r="S2" s="34" t="s">
        <v>28</v>
      </c>
      <c r="T2" s="34" t="s">
        <v>182</v>
      </c>
      <c r="U2" s="34" t="s">
        <v>28</v>
      </c>
      <c r="V2" s="36" t="s">
        <v>182</v>
      </c>
      <c r="W2" s="34" t="s">
        <v>28</v>
      </c>
      <c r="X2" s="36" t="s">
        <v>182</v>
      </c>
      <c r="Y2" s="34" t="s">
        <v>28</v>
      </c>
      <c r="Z2" s="36" t="s">
        <v>182</v>
      </c>
      <c r="AA2" s="34" t="s">
        <v>28</v>
      </c>
      <c r="AB2" s="36" t="s">
        <v>182</v>
      </c>
      <c r="AC2" s="34" t="s">
        <v>28</v>
      </c>
      <c r="AD2" s="36" t="s">
        <v>182</v>
      </c>
      <c r="AE2" s="34" t="s">
        <v>28</v>
      </c>
      <c r="AF2" s="36" t="s">
        <v>182</v>
      </c>
      <c r="AG2" s="34" t="s">
        <v>28</v>
      </c>
      <c r="AH2" s="36" t="s">
        <v>182</v>
      </c>
      <c r="AI2" s="34" t="s">
        <v>28</v>
      </c>
      <c r="AJ2" s="36" t="s">
        <v>182</v>
      </c>
      <c r="AK2" s="34" t="s">
        <v>28</v>
      </c>
      <c r="AL2" s="37" t="s">
        <v>182</v>
      </c>
      <c r="AM2" s="34" t="s">
        <v>28</v>
      </c>
      <c r="AN2" s="36" t="s">
        <v>182</v>
      </c>
      <c r="AO2" s="34" t="s">
        <v>28</v>
      </c>
      <c r="AP2" s="34" t="s">
        <v>182</v>
      </c>
      <c r="AQ2" s="34" t="s">
        <v>28</v>
      </c>
      <c r="AR2" s="36" t="s">
        <v>182</v>
      </c>
      <c r="AS2" s="34" t="s">
        <v>28</v>
      </c>
      <c r="AT2" s="36" t="s">
        <v>182</v>
      </c>
      <c r="AU2" s="34" t="s">
        <v>28</v>
      </c>
    </row>
    <row r="3" spans="1:47" ht="14.45" customHeight="1" x14ac:dyDescent="0.25">
      <c r="A3" s="11">
        <v>1</v>
      </c>
      <c r="B3" s="1" t="s">
        <v>183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184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186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187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188</v>
      </c>
      <c r="C6" s="1" t="s">
        <v>191</v>
      </c>
      <c r="D6" s="24" t="s">
        <v>189</v>
      </c>
      <c r="E6" s="11">
        <f t="shared" si="0"/>
        <v>0</v>
      </c>
      <c r="F6" s="10" t="s">
        <v>190</v>
      </c>
      <c r="G6" s="11">
        <f t="shared" si="1"/>
        <v>0</v>
      </c>
      <c r="H6" s="10" t="s">
        <v>191</v>
      </c>
      <c r="I6" s="11">
        <f t="shared" si="2"/>
        <v>10</v>
      </c>
      <c r="J6" s="10" t="s">
        <v>190</v>
      </c>
      <c r="K6" s="11">
        <f t="shared" si="3"/>
        <v>0</v>
      </c>
      <c r="L6" s="10" t="s">
        <v>189</v>
      </c>
      <c r="M6" s="11">
        <f t="shared" si="4"/>
        <v>0</v>
      </c>
      <c r="N6" s="10" t="s">
        <v>189</v>
      </c>
      <c r="O6" s="11">
        <f t="shared" si="5"/>
        <v>0</v>
      </c>
      <c r="P6" s="10" t="s">
        <v>191</v>
      </c>
      <c r="Q6" s="11">
        <f t="shared" si="6"/>
        <v>10</v>
      </c>
      <c r="R6" s="10" t="s">
        <v>190</v>
      </c>
      <c r="S6" s="11">
        <f t="shared" si="7"/>
        <v>0</v>
      </c>
      <c r="T6" s="10" t="s">
        <v>191</v>
      </c>
      <c r="U6" s="11">
        <f t="shared" si="8"/>
        <v>10</v>
      </c>
      <c r="V6" s="10" t="s">
        <v>189</v>
      </c>
      <c r="W6" s="11">
        <f t="shared" si="9"/>
        <v>0</v>
      </c>
      <c r="X6" s="10" t="s">
        <v>191</v>
      </c>
      <c r="Y6" s="11">
        <f t="shared" si="10"/>
        <v>10</v>
      </c>
      <c r="Z6" s="10" t="s">
        <v>189</v>
      </c>
      <c r="AA6" s="11">
        <f t="shared" si="11"/>
        <v>0</v>
      </c>
      <c r="AB6" s="21" t="s">
        <v>190</v>
      </c>
      <c r="AC6" s="11">
        <f t="shared" si="12"/>
        <v>0</v>
      </c>
      <c r="AD6" s="10" t="s">
        <v>189</v>
      </c>
      <c r="AE6" s="11">
        <f t="shared" si="13"/>
        <v>0</v>
      </c>
      <c r="AF6" s="10" t="s">
        <v>191</v>
      </c>
      <c r="AG6" s="11">
        <f t="shared" si="14"/>
        <v>10</v>
      </c>
      <c r="AH6" s="10" t="s">
        <v>189</v>
      </c>
      <c r="AI6" s="11">
        <f t="shared" si="15"/>
        <v>0</v>
      </c>
      <c r="AJ6" s="10" t="s">
        <v>191</v>
      </c>
      <c r="AK6" s="11">
        <f t="shared" si="16"/>
        <v>10</v>
      </c>
      <c r="AL6" s="10" t="s">
        <v>191</v>
      </c>
      <c r="AM6" s="11">
        <f t="shared" si="17"/>
        <v>10</v>
      </c>
      <c r="AN6" s="10" t="s">
        <v>191</v>
      </c>
      <c r="AO6" s="11">
        <f t="shared" si="18"/>
        <v>10</v>
      </c>
      <c r="AP6" s="10" t="s">
        <v>191</v>
      </c>
      <c r="AQ6" s="11">
        <f t="shared" si="19"/>
        <v>10</v>
      </c>
      <c r="AR6" s="10" t="s">
        <v>290</v>
      </c>
      <c r="AS6" s="11">
        <f t="shared" si="20"/>
        <v>0</v>
      </c>
      <c r="AT6" s="10" t="s">
        <v>189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192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193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194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196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197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198</v>
      </c>
      <c r="C9" s="1"/>
      <c r="D9" s="10" t="s">
        <v>199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199</v>
      </c>
      <c r="I9" s="11" t="str">
        <f t="shared" si="2"/>
        <v/>
      </c>
      <c r="J9" s="10" t="s">
        <v>200</v>
      </c>
      <c r="K9" s="11" t="str">
        <f t="shared" si="3"/>
        <v/>
      </c>
      <c r="L9" s="10" t="s">
        <v>200</v>
      </c>
      <c r="M9" s="11" t="str">
        <f t="shared" si="4"/>
        <v/>
      </c>
      <c r="N9" s="10" t="s">
        <v>199</v>
      </c>
      <c r="O9" s="11" t="str">
        <f t="shared" si="5"/>
        <v/>
      </c>
      <c r="P9" s="10" t="s">
        <v>200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199</v>
      </c>
      <c r="U9" s="11" t="str">
        <f t="shared" si="8"/>
        <v/>
      </c>
      <c r="V9" s="10" t="s">
        <v>199</v>
      </c>
      <c r="W9" s="11" t="str">
        <f t="shared" si="9"/>
        <v/>
      </c>
      <c r="X9" s="10" t="s">
        <v>199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200</v>
      </c>
      <c r="AS9" s="11" t="str">
        <f t="shared" si="20"/>
        <v/>
      </c>
      <c r="AT9" s="10" t="s">
        <v>201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202</v>
      </c>
      <c r="C10" s="1"/>
      <c r="D10" s="10" t="s">
        <v>196</v>
      </c>
      <c r="E10" s="11" t="str">
        <f t="shared" si="0"/>
        <v/>
      </c>
      <c r="F10" s="10" t="s">
        <v>196</v>
      </c>
      <c r="G10" s="11" t="str">
        <f t="shared" si="1"/>
        <v/>
      </c>
      <c r="H10" s="10" t="s">
        <v>196</v>
      </c>
      <c r="I10" s="11" t="str">
        <f t="shared" si="2"/>
        <v/>
      </c>
      <c r="J10" s="10" t="s">
        <v>190</v>
      </c>
      <c r="K10" s="11" t="str">
        <f t="shared" si="3"/>
        <v/>
      </c>
      <c r="L10" s="10" t="s">
        <v>203</v>
      </c>
      <c r="M10" s="11" t="str">
        <f t="shared" si="4"/>
        <v/>
      </c>
      <c r="N10" s="10" t="s">
        <v>204</v>
      </c>
      <c r="O10" s="11" t="str">
        <f t="shared" si="5"/>
        <v/>
      </c>
      <c r="P10" s="10" t="s">
        <v>196</v>
      </c>
      <c r="Q10" s="11" t="str">
        <f t="shared" si="6"/>
        <v/>
      </c>
      <c r="R10" s="10" t="s">
        <v>196</v>
      </c>
      <c r="S10" s="11" t="str">
        <f t="shared" si="7"/>
        <v/>
      </c>
      <c r="T10" s="10" t="s">
        <v>205</v>
      </c>
      <c r="U10" s="11" t="str">
        <f t="shared" si="8"/>
        <v/>
      </c>
      <c r="V10" s="10" t="s">
        <v>206</v>
      </c>
      <c r="W10" s="11" t="str">
        <f t="shared" si="9"/>
        <v/>
      </c>
      <c r="X10" s="10" t="s">
        <v>191</v>
      </c>
      <c r="Y10" s="11" t="str">
        <f t="shared" si="10"/>
        <v/>
      </c>
      <c r="Z10" s="10" t="s">
        <v>196</v>
      </c>
      <c r="AA10" s="11" t="str">
        <f t="shared" si="11"/>
        <v/>
      </c>
      <c r="AB10" s="21" t="s">
        <v>196</v>
      </c>
      <c r="AC10" s="11" t="str">
        <f t="shared" si="12"/>
        <v/>
      </c>
      <c r="AD10" s="10" t="s">
        <v>196</v>
      </c>
      <c r="AE10" s="11" t="str">
        <f t="shared" si="13"/>
        <v/>
      </c>
      <c r="AF10" s="10" t="s">
        <v>196</v>
      </c>
      <c r="AG10" s="11" t="str">
        <f t="shared" si="14"/>
        <v/>
      </c>
      <c r="AH10" s="10" t="s">
        <v>196</v>
      </c>
      <c r="AI10" s="11" t="str">
        <f t="shared" si="15"/>
        <v/>
      </c>
      <c r="AJ10" s="10" t="s">
        <v>196</v>
      </c>
      <c r="AK10" s="11" t="str">
        <f t="shared" si="16"/>
        <v/>
      </c>
      <c r="AL10" s="10" t="s">
        <v>207</v>
      </c>
      <c r="AM10" s="11" t="str">
        <f t="shared" si="17"/>
        <v/>
      </c>
      <c r="AN10" s="10" t="s">
        <v>208</v>
      </c>
      <c r="AO10" s="11" t="str">
        <f t="shared" si="18"/>
        <v/>
      </c>
      <c r="AP10" s="10" t="s">
        <v>196</v>
      </c>
      <c r="AQ10" s="11" t="str">
        <f t="shared" si="19"/>
        <v/>
      </c>
      <c r="AR10" s="10" t="s">
        <v>208</v>
      </c>
      <c r="AS10" s="11" t="str">
        <f t="shared" si="20"/>
        <v/>
      </c>
      <c r="AT10" s="10" t="s">
        <v>209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210</v>
      </c>
      <c r="C11" s="1"/>
      <c r="D11" s="10" t="s">
        <v>204</v>
      </c>
      <c r="E11" s="11" t="str">
        <f t="shared" si="0"/>
        <v/>
      </c>
      <c r="F11" s="10" t="s">
        <v>211</v>
      </c>
      <c r="G11" s="11" t="str">
        <f t="shared" si="1"/>
        <v/>
      </c>
      <c r="H11" s="10" t="s">
        <v>204</v>
      </c>
      <c r="I11" s="11" t="str">
        <f t="shared" si="2"/>
        <v/>
      </c>
      <c r="J11" s="10" t="s">
        <v>189</v>
      </c>
      <c r="K11" s="11" t="str">
        <f t="shared" si="3"/>
        <v/>
      </c>
      <c r="L11" s="10" t="s">
        <v>212</v>
      </c>
      <c r="M11" s="11" t="str">
        <f t="shared" si="4"/>
        <v/>
      </c>
      <c r="N11" s="10" t="s">
        <v>207</v>
      </c>
      <c r="O11" s="11" t="str">
        <f t="shared" si="5"/>
        <v/>
      </c>
      <c r="P11" s="10" t="s">
        <v>204</v>
      </c>
      <c r="Q11" s="11" t="str">
        <f t="shared" si="6"/>
        <v/>
      </c>
      <c r="R11" s="10" t="s">
        <v>204</v>
      </c>
      <c r="S11" s="11" t="str">
        <f t="shared" si="7"/>
        <v/>
      </c>
      <c r="T11" s="10" t="s">
        <v>213</v>
      </c>
      <c r="U11" s="11" t="str">
        <f t="shared" si="8"/>
        <v/>
      </c>
      <c r="V11" s="10" t="s">
        <v>213</v>
      </c>
      <c r="W11" s="11" t="str">
        <f t="shared" si="9"/>
        <v/>
      </c>
      <c r="X11" s="10" t="s">
        <v>214</v>
      </c>
      <c r="Y11" s="11" t="str">
        <f t="shared" si="10"/>
        <v/>
      </c>
      <c r="Z11" s="10" t="s">
        <v>213</v>
      </c>
      <c r="AA11" s="11" t="str">
        <f t="shared" si="11"/>
        <v/>
      </c>
      <c r="AB11" s="21" t="s">
        <v>214</v>
      </c>
      <c r="AC11" s="11" t="str">
        <f t="shared" si="12"/>
        <v/>
      </c>
      <c r="AD11" s="10" t="s">
        <v>215</v>
      </c>
      <c r="AE11" s="11" t="str">
        <f t="shared" si="13"/>
        <v/>
      </c>
      <c r="AF11" s="10" t="s">
        <v>216</v>
      </c>
      <c r="AG11" s="11" t="str">
        <f t="shared" si="14"/>
        <v/>
      </c>
      <c r="AH11" s="10" t="s">
        <v>217</v>
      </c>
      <c r="AI11" s="11" t="str">
        <f t="shared" si="15"/>
        <v/>
      </c>
      <c r="AJ11" s="10" t="s">
        <v>204</v>
      </c>
      <c r="AK11" s="11" t="str">
        <f t="shared" si="16"/>
        <v/>
      </c>
      <c r="AL11" s="10" t="s">
        <v>218</v>
      </c>
      <c r="AM11" s="11" t="str">
        <f t="shared" si="17"/>
        <v/>
      </c>
      <c r="AN11" s="10" t="s">
        <v>207</v>
      </c>
      <c r="AO11" s="11" t="str">
        <f t="shared" si="18"/>
        <v/>
      </c>
      <c r="AP11" s="10" t="s">
        <v>219</v>
      </c>
      <c r="AQ11" s="11" t="str">
        <f t="shared" si="19"/>
        <v/>
      </c>
      <c r="AR11" s="10" t="s">
        <v>291</v>
      </c>
      <c r="AS11" s="11" t="str">
        <f t="shared" si="20"/>
        <v/>
      </c>
      <c r="AT11" s="10" t="s">
        <v>196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220</v>
      </c>
      <c r="C12" s="1"/>
      <c r="D12" s="10" t="s">
        <v>221</v>
      </c>
      <c r="E12" s="11" t="str">
        <f t="shared" si="0"/>
        <v/>
      </c>
      <c r="F12" s="10" t="s">
        <v>196</v>
      </c>
      <c r="G12" s="11" t="str">
        <f t="shared" si="1"/>
        <v/>
      </c>
      <c r="H12" s="10" t="s">
        <v>196</v>
      </c>
      <c r="I12" s="11" t="str">
        <f t="shared" si="2"/>
        <v/>
      </c>
      <c r="J12" s="10" t="s">
        <v>222</v>
      </c>
      <c r="K12" s="11" t="str">
        <f t="shared" si="3"/>
        <v/>
      </c>
      <c r="L12" s="10" t="s">
        <v>212</v>
      </c>
      <c r="M12" s="11" t="str">
        <f t="shared" si="4"/>
        <v/>
      </c>
      <c r="N12" s="10" t="s">
        <v>204</v>
      </c>
      <c r="O12" s="11" t="str">
        <f t="shared" si="5"/>
        <v/>
      </c>
      <c r="P12" s="10" t="s">
        <v>219</v>
      </c>
      <c r="Q12" s="11" t="str">
        <f t="shared" si="6"/>
        <v/>
      </c>
      <c r="R12" s="10" t="s">
        <v>223</v>
      </c>
      <c r="S12" s="11" t="str">
        <f t="shared" si="7"/>
        <v/>
      </c>
      <c r="T12" s="10" t="s">
        <v>207</v>
      </c>
      <c r="U12" s="11" t="str">
        <f t="shared" si="8"/>
        <v/>
      </c>
      <c r="V12" s="10" t="s">
        <v>196</v>
      </c>
      <c r="W12" s="11" t="str">
        <f t="shared" si="9"/>
        <v/>
      </c>
      <c r="X12" s="10" t="s">
        <v>191</v>
      </c>
      <c r="Y12" s="11" t="str">
        <f t="shared" si="10"/>
        <v/>
      </c>
      <c r="Z12" s="10" t="s">
        <v>213</v>
      </c>
      <c r="AA12" s="11" t="str">
        <f t="shared" si="11"/>
        <v/>
      </c>
      <c r="AB12" s="21" t="s">
        <v>196</v>
      </c>
      <c r="AC12" s="11" t="str">
        <f t="shared" si="12"/>
        <v/>
      </c>
      <c r="AD12" s="10" t="s">
        <v>224</v>
      </c>
      <c r="AE12" s="11" t="str">
        <f t="shared" si="13"/>
        <v/>
      </c>
      <c r="AF12" s="10" t="s">
        <v>196</v>
      </c>
      <c r="AG12" s="11" t="str">
        <f t="shared" si="14"/>
        <v/>
      </c>
      <c r="AH12" s="10" t="s">
        <v>196</v>
      </c>
      <c r="AI12" s="11" t="str">
        <f t="shared" si="15"/>
        <v/>
      </c>
      <c r="AJ12" s="10" t="s">
        <v>216</v>
      </c>
      <c r="AK12" s="11" t="str">
        <f t="shared" si="16"/>
        <v/>
      </c>
      <c r="AL12" s="10" t="s">
        <v>196</v>
      </c>
      <c r="AM12" s="11" t="str">
        <f t="shared" si="17"/>
        <v/>
      </c>
      <c r="AN12" s="10" t="s">
        <v>204</v>
      </c>
      <c r="AO12" s="11" t="str">
        <f t="shared" si="18"/>
        <v/>
      </c>
      <c r="AP12" s="10" t="s">
        <v>196</v>
      </c>
      <c r="AQ12" s="11" t="str">
        <f t="shared" si="19"/>
        <v/>
      </c>
      <c r="AR12" s="10" t="s">
        <v>219</v>
      </c>
      <c r="AS12" s="11" t="str">
        <f t="shared" si="20"/>
        <v/>
      </c>
      <c r="AT12" s="10" t="s">
        <v>209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225</v>
      </c>
      <c r="C13" s="1"/>
      <c r="D13" s="10" t="s">
        <v>204</v>
      </c>
      <c r="E13" s="11" t="str">
        <f t="shared" si="0"/>
        <v/>
      </c>
      <c r="F13" s="10" t="s">
        <v>214</v>
      </c>
      <c r="G13" s="11" t="str">
        <f t="shared" si="1"/>
        <v/>
      </c>
      <c r="H13" s="10" t="s">
        <v>204</v>
      </c>
      <c r="I13" s="11" t="str">
        <f t="shared" si="2"/>
        <v/>
      </c>
      <c r="J13" s="10" t="s">
        <v>204</v>
      </c>
      <c r="K13" s="11" t="str">
        <f t="shared" si="3"/>
        <v/>
      </c>
      <c r="L13" s="10" t="s">
        <v>228</v>
      </c>
      <c r="M13" s="11" t="str">
        <f t="shared" si="4"/>
        <v/>
      </c>
      <c r="N13" s="10" t="s">
        <v>226</v>
      </c>
      <c r="O13" s="11" t="str">
        <f t="shared" si="5"/>
        <v/>
      </c>
      <c r="P13" s="10" t="s">
        <v>227</v>
      </c>
      <c r="Q13" s="11" t="str">
        <f t="shared" si="6"/>
        <v/>
      </c>
      <c r="R13" s="21" t="s">
        <v>204</v>
      </c>
      <c r="S13" s="11" t="str">
        <f t="shared" si="7"/>
        <v/>
      </c>
      <c r="T13" s="10" t="s">
        <v>204</v>
      </c>
      <c r="U13" s="11" t="str">
        <f t="shared" si="8"/>
        <v/>
      </c>
      <c r="V13" s="10" t="s">
        <v>204</v>
      </c>
      <c r="W13" s="11" t="str">
        <f t="shared" si="9"/>
        <v/>
      </c>
      <c r="X13" s="10" t="s">
        <v>204</v>
      </c>
      <c r="Y13" s="11" t="str">
        <f t="shared" si="10"/>
        <v/>
      </c>
      <c r="Z13" s="10" t="s">
        <v>204</v>
      </c>
      <c r="AA13" s="11" t="str">
        <f t="shared" si="11"/>
        <v/>
      </c>
      <c r="AB13" s="21" t="s">
        <v>204</v>
      </c>
      <c r="AC13" s="11" t="str">
        <f t="shared" si="12"/>
        <v/>
      </c>
      <c r="AD13" s="10" t="s">
        <v>214</v>
      </c>
      <c r="AE13" s="11" t="str">
        <f t="shared" si="13"/>
        <v/>
      </c>
      <c r="AF13" s="10" t="s">
        <v>216</v>
      </c>
      <c r="AG13" s="11" t="str">
        <f t="shared" si="14"/>
        <v/>
      </c>
      <c r="AH13" s="10" t="s">
        <v>228</v>
      </c>
      <c r="AI13" s="11" t="str">
        <f t="shared" si="15"/>
        <v/>
      </c>
      <c r="AJ13" s="10" t="s">
        <v>204</v>
      </c>
      <c r="AK13" s="11" t="str">
        <f t="shared" si="16"/>
        <v/>
      </c>
      <c r="AL13" s="10" t="s">
        <v>204</v>
      </c>
      <c r="AM13" s="11" t="str">
        <f t="shared" si="17"/>
        <v/>
      </c>
      <c r="AN13" s="10" t="s">
        <v>229</v>
      </c>
      <c r="AO13" s="11" t="str">
        <f t="shared" si="18"/>
        <v/>
      </c>
      <c r="AP13" s="10" t="s">
        <v>204</v>
      </c>
      <c r="AQ13" s="11" t="str">
        <f t="shared" si="19"/>
        <v/>
      </c>
      <c r="AR13" s="10" t="s">
        <v>292</v>
      </c>
      <c r="AS13" s="11" t="str">
        <f t="shared" si="20"/>
        <v/>
      </c>
      <c r="AT13" s="10" t="s">
        <v>209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230</v>
      </c>
      <c r="C14" s="1"/>
      <c r="D14" s="10" t="s">
        <v>231</v>
      </c>
      <c r="E14" s="11" t="str">
        <f t="shared" si="0"/>
        <v/>
      </c>
      <c r="F14" s="10" t="s">
        <v>232</v>
      </c>
      <c r="G14" s="11" t="str">
        <f t="shared" si="1"/>
        <v/>
      </c>
      <c r="H14" s="10" t="s">
        <v>233</v>
      </c>
      <c r="I14" s="11" t="str">
        <f t="shared" si="2"/>
        <v/>
      </c>
      <c r="J14" s="10" t="s">
        <v>234</v>
      </c>
      <c r="K14" s="11" t="str">
        <f t="shared" si="3"/>
        <v/>
      </c>
      <c r="L14" s="10" t="s">
        <v>235</v>
      </c>
      <c r="M14" s="11" t="str">
        <f t="shared" si="4"/>
        <v/>
      </c>
      <c r="N14" s="10" t="s">
        <v>236</v>
      </c>
      <c r="O14" s="11" t="str">
        <f t="shared" si="5"/>
        <v/>
      </c>
      <c r="P14" s="10" t="s">
        <v>234</v>
      </c>
      <c r="Q14" s="11" t="str">
        <f t="shared" si="6"/>
        <v/>
      </c>
      <c r="R14" s="10" t="s">
        <v>233</v>
      </c>
      <c r="S14" s="11" t="str">
        <f t="shared" si="7"/>
        <v/>
      </c>
      <c r="T14" s="10" t="s">
        <v>234</v>
      </c>
      <c r="U14" s="11" t="str">
        <f t="shared" si="8"/>
        <v/>
      </c>
      <c r="V14" s="10" t="s">
        <v>233</v>
      </c>
      <c r="W14" s="11" t="str">
        <f t="shared" si="9"/>
        <v/>
      </c>
      <c r="X14" s="10" t="s">
        <v>235</v>
      </c>
      <c r="Y14" s="11" t="str">
        <f t="shared" si="10"/>
        <v/>
      </c>
      <c r="Z14" s="10" t="s">
        <v>236</v>
      </c>
      <c r="AA14" s="11" t="str">
        <f t="shared" si="11"/>
        <v/>
      </c>
      <c r="AB14" s="21" t="s">
        <v>231</v>
      </c>
      <c r="AC14" s="11" t="str">
        <f t="shared" si="12"/>
        <v/>
      </c>
      <c r="AD14" s="10" t="s">
        <v>232</v>
      </c>
      <c r="AE14" s="11" t="str">
        <f t="shared" si="13"/>
        <v/>
      </c>
      <c r="AF14" s="10" t="s">
        <v>232</v>
      </c>
      <c r="AG14" s="11" t="str">
        <f t="shared" si="14"/>
        <v/>
      </c>
      <c r="AH14" s="10" t="s">
        <v>236</v>
      </c>
      <c r="AI14" s="11" t="str">
        <f t="shared" si="15"/>
        <v/>
      </c>
      <c r="AJ14" s="10" t="s">
        <v>237</v>
      </c>
      <c r="AK14" s="11" t="str">
        <f t="shared" si="16"/>
        <v/>
      </c>
      <c r="AL14" s="10" t="s">
        <v>238</v>
      </c>
      <c r="AM14" s="11" t="str">
        <f t="shared" si="17"/>
        <v/>
      </c>
      <c r="AN14" s="10" t="s">
        <v>238</v>
      </c>
      <c r="AO14" s="11" t="str">
        <f t="shared" si="18"/>
        <v/>
      </c>
      <c r="AP14" s="10" t="s">
        <v>235</v>
      </c>
      <c r="AQ14" s="11" t="str">
        <f t="shared" si="19"/>
        <v/>
      </c>
      <c r="AR14" s="10" t="s">
        <v>238</v>
      </c>
      <c r="AS14" s="11" t="str">
        <f t="shared" si="20"/>
        <v/>
      </c>
      <c r="AT14" s="10" t="s">
        <v>234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239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193</v>
      </c>
      <c r="AO15" s="11" t="str">
        <f t="shared" si="18"/>
        <v/>
      </c>
      <c r="AP15" s="10" t="s">
        <v>240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241</v>
      </c>
      <c r="C16" s="1"/>
      <c r="D16" s="10" t="s">
        <v>242</v>
      </c>
      <c r="E16" s="11" t="str">
        <f t="shared" si="0"/>
        <v/>
      </c>
      <c r="F16" s="10" t="s">
        <v>243</v>
      </c>
      <c r="G16" s="11" t="str">
        <f t="shared" si="1"/>
        <v/>
      </c>
      <c r="H16" s="10" t="s">
        <v>244</v>
      </c>
      <c r="I16" s="11" t="str">
        <f t="shared" si="2"/>
        <v/>
      </c>
      <c r="J16" s="10" t="s">
        <v>245</v>
      </c>
      <c r="K16" s="11" t="str">
        <f t="shared" si="3"/>
        <v/>
      </c>
      <c r="L16" s="10" t="s">
        <v>245</v>
      </c>
      <c r="M16" s="11" t="str">
        <f t="shared" si="4"/>
        <v/>
      </c>
      <c r="N16" s="10" t="s">
        <v>242</v>
      </c>
      <c r="O16" s="11" t="str">
        <f t="shared" si="5"/>
        <v/>
      </c>
      <c r="P16" s="10" t="s">
        <v>243</v>
      </c>
      <c r="Q16" s="11" t="str">
        <f t="shared" si="6"/>
        <v/>
      </c>
      <c r="R16" s="10" t="s">
        <v>243</v>
      </c>
      <c r="S16" s="11" t="str">
        <f t="shared" si="7"/>
        <v/>
      </c>
      <c r="T16" s="10" t="s">
        <v>246</v>
      </c>
      <c r="U16" s="11" t="str">
        <f t="shared" si="8"/>
        <v/>
      </c>
      <c r="V16" s="10" t="s">
        <v>243</v>
      </c>
      <c r="W16" s="11" t="str">
        <f t="shared" si="9"/>
        <v/>
      </c>
      <c r="X16" s="10" t="s">
        <v>243</v>
      </c>
      <c r="Y16" s="11" t="str">
        <f t="shared" si="10"/>
        <v/>
      </c>
      <c r="Z16" s="25" t="s">
        <v>245</v>
      </c>
      <c r="AA16" s="11" t="str">
        <f t="shared" si="11"/>
        <v/>
      </c>
      <c r="AB16" s="21" t="s">
        <v>243</v>
      </c>
      <c r="AC16" s="11" t="str">
        <f t="shared" si="12"/>
        <v/>
      </c>
      <c r="AD16" s="10" t="s">
        <v>247</v>
      </c>
      <c r="AE16" s="11" t="str">
        <f t="shared" si="13"/>
        <v/>
      </c>
      <c r="AF16" s="10" t="s">
        <v>243</v>
      </c>
      <c r="AG16" s="11" t="str">
        <f t="shared" si="14"/>
        <v/>
      </c>
      <c r="AH16" s="10" t="s">
        <v>244</v>
      </c>
      <c r="AI16" s="11" t="str">
        <f t="shared" si="15"/>
        <v/>
      </c>
      <c r="AJ16" s="10" t="s">
        <v>243</v>
      </c>
      <c r="AK16" s="11" t="str">
        <f t="shared" si="16"/>
        <v/>
      </c>
      <c r="AL16" s="27" t="s">
        <v>242</v>
      </c>
      <c r="AM16" s="11" t="str">
        <f t="shared" si="17"/>
        <v/>
      </c>
      <c r="AN16" s="10" t="s">
        <v>244</v>
      </c>
      <c r="AO16" s="11" t="str">
        <f t="shared" si="18"/>
        <v/>
      </c>
      <c r="AP16" s="10" t="s">
        <v>243</v>
      </c>
      <c r="AQ16" s="11" t="str">
        <f t="shared" si="19"/>
        <v/>
      </c>
      <c r="AR16" s="10" t="s">
        <v>293</v>
      </c>
      <c r="AS16" s="11" t="str">
        <f t="shared" si="20"/>
        <v/>
      </c>
      <c r="AT16" s="10" t="s">
        <v>244</v>
      </c>
      <c r="AU16" s="11" t="str">
        <f t="shared" si="21"/>
        <v/>
      </c>
    </row>
    <row r="17" spans="1:47" ht="14.45" customHeight="1" x14ac:dyDescent="0.25">
      <c r="A17" s="11"/>
      <c r="B17" s="14" t="s">
        <v>248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C44" sqref="C44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249</v>
      </c>
      <c r="B1" s="16"/>
      <c r="C1" s="16"/>
      <c r="D1" s="16"/>
      <c r="E1" s="16"/>
    </row>
    <row r="2" spans="1:5" ht="18" customHeight="1" x14ac:dyDescent="0.25">
      <c r="A2" s="38" t="s">
        <v>250</v>
      </c>
      <c r="B2" s="38" t="s">
        <v>251</v>
      </c>
      <c r="C2" s="38" t="s">
        <v>252</v>
      </c>
      <c r="D2" s="38" t="s">
        <v>253</v>
      </c>
      <c r="E2" s="38" t="s">
        <v>254</v>
      </c>
    </row>
    <row r="3" spans="1:5" ht="18" customHeight="1" x14ac:dyDescent="0.25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455</v>
      </c>
      <c r="D3" s="11">
        <f>Bonus_beheer!E17</f>
        <v>0</v>
      </c>
      <c r="E3" s="11">
        <f>C3+D3</f>
        <v>455</v>
      </c>
    </row>
    <row r="4" spans="1:5" ht="18" customHeight="1" x14ac:dyDescent="0.25">
      <c r="A4" s="11">
        <f>_xlfn.RANK.EQ(E4,$E$3:$E$90,0)</f>
        <v>2</v>
      </c>
      <c r="B4" s="1" t="str">
        <f>Wedstrijden_beheer!AK1</f>
        <v>Kim</v>
      </c>
      <c r="C4" s="11">
        <f>SUM(Wedstrijden_beheer!AL3:'Wedstrijden_beheer'!AL194)</f>
        <v>431</v>
      </c>
      <c r="D4" s="11">
        <f>Bonus_beheer!AK17</f>
        <v>10</v>
      </c>
      <c r="E4" s="11">
        <f>C4+D4</f>
        <v>441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440</v>
      </c>
      <c r="D5" s="11">
        <f>Bonus_beheer!AE17</f>
        <v>0</v>
      </c>
      <c r="E5" s="11">
        <f>C5+D5</f>
        <v>440</v>
      </c>
    </row>
    <row r="6" spans="1:5" ht="18" customHeight="1" x14ac:dyDescent="0.25">
      <c r="A6" s="11">
        <f>_xlfn.RANK.EQ(E6,$E$3:$E$90,0)</f>
        <v>4</v>
      </c>
      <c r="B6" s="1" t="str">
        <f>Wedstrijden_beheer!U1</f>
        <v>Tom</v>
      </c>
      <c r="C6" s="11">
        <f>SUM(Wedstrijden_beheer!V3:'Wedstrijden_beheer'!V194)</f>
        <v>427</v>
      </c>
      <c r="D6" s="11">
        <f>Bonus_beheer!U17</f>
        <v>10</v>
      </c>
      <c r="E6" s="11">
        <f>C6+D6</f>
        <v>437</v>
      </c>
    </row>
    <row r="7" spans="1:5" ht="18" customHeight="1" x14ac:dyDescent="0.25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426</v>
      </c>
      <c r="D7" s="11">
        <f>Bonus_beheer!I17</f>
        <v>10</v>
      </c>
      <c r="E7" s="11">
        <f>C7+D7</f>
        <v>436</v>
      </c>
    </row>
    <row r="8" spans="1:5" ht="18" customHeight="1" x14ac:dyDescent="0.25">
      <c r="A8" s="11">
        <f>_xlfn.RANK.EQ(E8,$E$3:$E$90,0)</f>
        <v>6</v>
      </c>
      <c r="B8" s="1" t="str">
        <f>Wedstrijden_beheer!AO1</f>
        <v>Patrick</v>
      </c>
      <c r="C8" s="11">
        <f>SUM(Wedstrijden_beheer!AP3:'Wedstrijden_beheer'!AP194)</f>
        <v>424</v>
      </c>
      <c r="D8" s="11">
        <f>Bonus_beheer!AO17</f>
        <v>10</v>
      </c>
      <c r="E8" s="11">
        <f>C8+D8</f>
        <v>434</v>
      </c>
    </row>
    <row r="9" spans="1:5" ht="18" customHeight="1" x14ac:dyDescent="0.25">
      <c r="A9" s="11">
        <f>_xlfn.RANK.EQ(E9,$E$3:$E$90,0)</f>
        <v>7</v>
      </c>
      <c r="B9" s="1" t="str">
        <f>Wedstrijden_beheer!W1</f>
        <v>Jos</v>
      </c>
      <c r="C9" s="11">
        <f>SUM(Wedstrijden_beheer!X3:'Wedstrijden_beheer'!X194)</f>
        <v>414</v>
      </c>
      <c r="D9" s="11">
        <f>Bonus_beheer!W17</f>
        <v>10</v>
      </c>
      <c r="E9" s="11">
        <f>C9+D9</f>
        <v>424</v>
      </c>
    </row>
    <row r="10" spans="1:5" ht="18" customHeight="1" x14ac:dyDescent="0.25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423</v>
      </c>
      <c r="D10" s="11">
        <f>Bonus_beheer!AA17</f>
        <v>0</v>
      </c>
      <c r="E10" s="11">
        <f>C10+D10</f>
        <v>423</v>
      </c>
    </row>
    <row r="11" spans="1:5" ht="18" customHeight="1" x14ac:dyDescent="0.25">
      <c r="A11" s="11">
        <f>_xlfn.RANK.EQ(E11,$E$3:$E$90,0)</f>
        <v>9</v>
      </c>
      <c r="B11" s="1" t="str">
        <f>Wedstrijden_beheer!Y1</f>
        <v>Lesley</v>
      </c>
      <c r="C11" s="11">
        <f>SUM(Wedstrijden_beheer!Z3:'Wedstrijden_beheer'!Z194)</f>
        <v>409</v>
      </c>
      <c r="D11" s="11">
        <f>Bonus_beheer!Y17</f>
        <v>10</v>
      </c>
      <c r="E11" s="11">
        <f>C11+D11</f>
        <v>419</v>
      </c>
    </row>
    <row r="12" spans="1:5" ht="18" customHeight="1" x14ac:dyDescent="0.25">
      <c r="A12" s="11">
        <f>_xlfn.RANK.EQ(E12,$E$3:$E$90,0)</f>
        <v>10</v>
      </c>
      <c r="B12" s="1" t="str">
        <f>Wedstrijden_beheer!AG1</f>
        <v>Erwin</v>
      </c>
      <c r="C12" s="11">
        <f>SUM(Wedstrijden_beheer!AH3:'Wedstrijden_beheer'!AH194)</f>
        <v>406</v>
      </c>
      <c r="D12" s="11">
        <f>Bonus_beheer!AG17</f>
        <v>10</v>
      </c>
      <c r="E12" s="11">
        <f>C12+D12</f>
        <v>416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397</v>
      </c>
      <c r="D13" s="11">
        <f>Bonus_beheer!AM17</f>
        <v>10</v>
      </c>
      <c r="E13" s="11">
        <f>C13+D13</f>
        <v>407</v>
      </c>
    </row>
    <row r="14" spans="1:5" ht="18" customHeight="1" x14ac:dyDescent="0.25">
      <c r="A14" s="11">
        <f>_xlfn.RANK.EQ(E14,$E$3:$E$90,0)</f>
        <v>12</v>
      </c>
      <c r="B14" s="1" t="str">
        <f>Wedstrijden_beheer!O1</f>
        <v>Maik</v>
      </c>
      <c r="C14" s="11">
        <f>SUM(Wedstrijden_beheer!P3:'Wedstrijden_beheer'!P194)</f>
        <v>388</v>
      </c>
      <c r="D14" s="11">
        <f>Bonus_beheer!O17</f>
        <v>10</v>
      </c>
      <c r="E14" s="11">
        <f>C14+D14</f>
        <v>398</v>
      </c>
    </row>
    <row r="15" spans="1:5" ht="18" customHeight="1" x14ac:dyDescent="0.25">
      <c r="A15" s="11">
        <f>_xlfn.RANK.EQ(E15,$E$3:$E$90,0)</f>
        <v>13</v>
      </c>
      <c r="B15" s="1" t="str">
        <f>Wedstrijden_beheer!G1</f>
        <v>Nikki</v>
      </c>
      <c r="C15" s="11">
        <f>SUM(Wedstrijden_beheer!H3:'Wedstrijden_beheer'!H194)</f>
        <v>392</v>
      </c>
      <c r="D15" s="11">
        <f>Bonus_beheer!G17</f>
        <v>0</v>
      </c>
      <c r="E15" s="11">
        <f>C15+D15</f>
        <v>392</v>
      </c>
    </row>
    <row r="16" spans="1:5" ht="18" customHeight="1" x14ac:dyDescent="0.25">
      <c r="A16" s="11">
        <f>_xlfn.RANK.EQ(E16,$E$3:$E$90,0)</f>
        <v>14</v>
      </c>
      <c r="B16" s="1" t="str">
        <f>Wedstrijden_beheer!AQ1</f>
        <v>Jeno</v>
      </c>
      <c r="C16" s="11">
        <f>SUM(Wedstrijden_beheer!AV4:'Wedstrijden_beheer'!AV195)</f>
        <v>388</v>
      </c>
      <c r="D16" s="11">
        <f>Bonus_beheer!AU18</f>
        <v>0</v>
      </c>
      <c r="E16" s="11">
        <f>C16+D16</f>
        <v>388</v>
      </c>
    </row>
    <row r="17" spans="1:5" ht="18" customHeight="1" x14ac:dyDescent="0.25">
      <c r="A17" s="11">
        <f>_xlfn.RANK.EQ(E17,$E$3:$E$90,0)</f>
        <v>14</v>
      </c>
      <c r="B17" s="1" t="str">
        <f>Wedstrijden_beheer!AU1</f>
        <v>Raymond</v>
      </c>
      <c r="C17" s="11">
        <f>SUM(Wedstrijden_beheer!AV3:'Wedstrijden_beheer'!AV194)</f>
        <v>388</v>
      </c>
      <c r="D17" s="11">
        <f>Bonus_beheer!AU17</f>
        <v>0</v>
      </c>
      <c r="E17" s="11">
        <f>C17+D17</f>
        <v>388</v>
      </c>
    </row>
    <row r="18" spans="1:5" ht="18" customHeight="1" x14ac:dyDescent="0.25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372</v>
      </c>
      <c r="D18" s="11">
        <f>Bonus_beheer!AC17</f>
        <v>0</v>
      </c>
      <c r="E18" s="11">
        <f>C18+D18</f>
        <v>372</v>
      </c>
    </row>
    <row r="19" spans="1:5" ht="18" customHeight="1" x14ac:dyDescent="0.2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353</v>
      </c>
      <c r="D19" s="11">
        <f>Bonus_beheer!M17</f>
        <v>10</v>
      </c>
      <c r="E19" s="11">
        <f>C19+D19</f>
        <v>363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342</v>
      </c>
      <c r="D20" s="11">
        <f>Bonus_beheer!AI17</f>
        <v>10</v>
      </c>
      <c r="E20" s="11">
        <f>C20+D20</f>
        <v>352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335</v>
      </c>
      <c r="D21" s="11">
        <f>Bonus_beheer!Q17</f>
        <v>10</v>
      </c>
      <c r="E21" s="11">
        <f>C21+D21</f>
        <v>345</v>
      </c>
    </row>
    <row r="22" spans="1:5" ht="18" customHeight="1" x14ac:dyDescent="0.25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336</v>
      </c>
      <c r="D22" s="11">
        <f>Bonus_beheer!S17</f>
        <v>0</v>
      </c>
      <c r="E22" s="11">
        <f>C22+D22</f>
        <v>336</v>
      </c>
    </row>
    <row r="23" spans="1:5" x14ac:dyDescent="0.25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335</v>
      </c>
      <c r="D23" s="11">
        <f>Bonus_beheer!Q18</f>
        <v>0</v>
      </c>
      <c r="E23" s="11">
        <f>C23+D23</f>
        <v>335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333</v>
      </c>
      <c r="D24" s="11">
        <f>Bonus_beheer!K17</f>
        <v>0</v>
      </c>
      <c r="E24" s="11">
        <f>C24+D24</f>
        <v>333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255</v>
      </c>
      <c r="B1" s="16"/>
    </row>
    <row r="2" spans="1:2" ht="18" customHeight="1" x14ac:dyDescent="0.25">
      <c r="A2" s="38" t="s">
        <v>256</v>
      </c>
      <c r="B2" s="38" t="s">
        <v>257</v>
      </c>
    </row>
    <row r="3" spans="1:2" ht="18" customHeight="1" x14ac:dyDescent="0.25">
      <c r="A3" s="1" t="s">
        <v>258</v>
      </c>
      <c r="B3" s="1" t="s">
        <v>259</v>
      </c>
    </row>
    <row r="4" spans="1:2" ht="18" customHeight="1" x14ac:dyDescent="0.25">
      <c r="A4" s="1" t="s">
        <v>260</v>
      </c>
      <c r="B4" s="1" t="s">
        <v>259</v>
      </c>
    </row>
    <row r="5" spans="1:2" ht="18" customHeight="1" x14ac:dyDescent="0.25">
      <c r="A5" s="1" t="s">
        <v>261</v>
      </c>
      <c r="B5" s="1" t="s">
        <v>262</v>
      </c>
    </row>
    <row r="6" spans="1:2" ht="18" customHeight="1" x14ac:dyDescent="0.25">
      <c r="A6" s="1" t="s">
        <v>263</v>
      </c>
      <c r="B6" s="1" t="s">
        <v>264</v>
      </c>
    </row>
    <row r="7" spans="1:2" ht="18" customHeight="1" x14ac:dyDescent="0.25">
      <c r="A7" s="1" t="s">
        <v>265</v>
      </c>
      <c r="B7" s="1" t="s">
        <v>266</v>
      </c>
    </row>
    <row r="8" spans="1:2" ht="18" customHeight="1" x14ac:dyDescent="0.25">
      <c r="A8" s="1" t="s">
        <v>267</v>
      </c>
      <c r="B8" s="1" t="s">
        <v>268</v>
      </c>
    </row>
    <row r="9" spans="1:2" ht="18" customHeight="1" x14ac:dyDescent="0.25">
      <c r="A9" s="1" t="s">
        <v>269</v>
      </c>
      <c r="B9" s="1" t="s">
        <v>270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271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256</v>
      </c>
      <c r="B2" s="38" t="s">
        <v>28</v>
      </c>
      <c r="C2" s="38" t="s">
        <v>272</v>
      </c>
    </row>
    <row r="3" spans="1:44" ht="18" customHeight="1" x14ac:dyDescent="0.25">
      <c r="A3" s="1" t="s">
        <v>273</v>
      </c>
      <c r="B3" s="1">
        <v>10</v>
      </c>
      <c r="C3" s="1" t="s">
        <v>274</v>
      </c>
    </row>
    <row r="4" spans="1:44" ht="18" customHeight="1" x14ac:dyDescent="0.25">
      <c r="A4" s="1" t="s">
        <v>275</v>
      </c>
      <c r="B4" s="1">
        <v>5</v>
      </c>
      <c r="C4" s="1" t="s">
        <v>276</v>
      </c>
    </row>
    <row r="5" spans="1:44" ht="18" customHeight="1" x14ac:dyDescent="0.25">
      <c r="A5" s="1" t="s">
        <v>277</v>
      </c>
      <c r="B5" s="1">
        <v>2</v>
      </c>
      <c r="C5" s="1" t="s">
        <v>278</v>
      </c>
    </row>
    <row r="6" spans="1:44" ht="18" customHeight="1" x14ac:dyDescent="0.25">
      <c r="A6" s="1" t="s">
        <v>279</v>
      </c>
      <c r="B6" s="1">
        <v>2</v>
      </c>
      <c r="C6" s="1" t="s">
        <v>280</v>
      </c>
    </row>
    <row r="7" spans="1:44" ht="18" customHeight="1" x14ac:dyDescent="0.25">
      <c r="A7" s="1" t="s">
        <v>281</v>
      </c>
      <c r="B7" s="1">
        <v>2</v>
      </c>
      <c r="C7" s="1" t="s">
        <v>282</v>
      </c>
    </row>
    <row r="8" spans="1:44" ht="18" customHeight="1" x14ac:dyDescent="0.25">
      <c r="A8" s="1" t="s">
        <v>283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284</v>
      </c>
      <c r="B1" s="22" t="s">
        <v>285</v>
      </c>
      <c r="C1" s="22" t="s">
        <v>286</v>
      </c>
    </row>
    <row r="2" spans="1:3" x14ac:dyDescent="0.25">
      <c r="A2" t="s">
        <v>287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288</v>
      </c>
      <c r="C5" t="s">
        <v>289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2026-07-03T07:18:04Z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