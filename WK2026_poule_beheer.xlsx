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12" documentId="8_{E82BF418-5EC5-4A9D-9227-B9F99AE92E74}" xr6:coauthVersionLast="47" xr6:coauthVersionMax="47" xr10:uidLastSave="{29BE99FD-2A05-4DE6-9A9A-277B5388DE67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6" i="3"/>
  <c r="B4" i="3"/>
  <c r="B9" i="3"/>
  <c r="B15" i="3"/>
  <c r="B24" i="3"/>
  <c r="B10" i="3"/>
  <c r="B18" i="3"/>
  <c r="B8" i="3"/>
  <c r="B3" i="3"/>
  <c r="B21" i="3"/>
  <c r="B20" i="3"/>
  <c r="B14" i="3"/>
  <c r="B17" i="3"/>
  <c r="D17" i="3"/>
  <c r="B12" i="3"/>
  <c r="B11" i="3"/>
  <c r="B16" i="3"/>
  <c r="B19" i="3"/>
  <c r="B7" i="3"/>
  <c r="B13" i="3"/>
  <c r="B5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H88" i="1" l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4" i="3" s="1"/>
  <c r="AM17" i="2"/>
  <c r="D14" i="3" s="1"/>
  <c r="AI17" i="2"/>
  <c r="D20" i="3" s="1"/>
  <c r="AO17" i="2"/>
  <c r="D3" i="3" s="1"/>
  <c r="AA17" i="2"/>
  <c r="D11" i="3" s="1"/>
  <c r="AC17" i="2"/>
  <c r="D19" i="3" s="1"/>
  <c r="AE17" i="2"/>
  <c r="D7" i="3" s="1"/>
  <c r="AG17" i="2"/>
  <c r="D10" i="3" s="1"/>
  <c r="E17" i="2"/>
  <c r="D8" i="3" s="1"/>
  <c r="I17" i="2"/>
  <c r="D5" i="3" s="1"/>
  <c r="K17" i="2"/>
  <c r="D21" i="3" s="1"/>
  <c r="M17" i="2"/>
  <c r="D16" i="3" s="1"/>
  <c r="G17" i="2"/>
  <c r="D13" i="3" s="1"/>
  <c r="O17" i="2"/>
  <c r="D6" i="3" s="1"/>
  <c r="S17" i="2"/>
  <c r="D24" i="3" s="1"/>
  <c r="U17" i="2"/>
  <c r="D9" i="3" s="1"/>
  <c r="W17" i="2"/>
  <c r="D15" i="3" s="1"/>
  <c r="Y17" i="2"/>
  <c r="D12" i="3" s="1"/>
  <c r="C18" i="3" l="1"/>
  <c r="E18" i="3" s="1"/>
  <c r="C17" i="3"/>
  <c r="E17" i="3" s="1"/>
  <c r="C23" i="3"/>
  <c r="E23" i="3" s="1"/>
  <c r="C22" i="3"/>
  <c r="E22" i="3" s="1"/>
  <c r="C3" i="3"/>
  <c r="E3" i="3" s="1"/>
  <c r="C19" i="3"/>
  <c r="E19" i="3" s="1"/>
  <c r="C24" i="3"/>
  <c r="E24" i="3" s="1"/>
  <c r="C7" i="3"/>
  <c r="E7" i="3" s="1"/>
  <c r="C6" i="3"/>
  <c r="E6" i="3" s="1"/>
  <c r="C16" i="3"/>
  <c r="E16" i="3" s="1"/>
  <c r="C20" i="3"/>
  <c r="E20" i="3" s="1"/>
  <c r="C8" i="3"/>
  <c r="E8" i="3" s="1"/>
  <c r="C15" i="3"/>
  <c r="E15" i="3" s="1"/>
  <c r="C21" i="3"/>
  <c r="E21" i="3" s="1"/>
  <c r="C4" i="3"/>
  <c r="E4" i="3" s="1"/>
  <c r="C11" i="3"/>
  <c r="E11" i="3" s="1"/>
  <c r="C13" i="3"/>
  <c r="E13" i="3" s="1"/>
  <c r="C12" i="3"/>
  <c r="E12" i="3" s="1"/>
  <c r="C5" i="3"/>
  <c r="E5" i="3" s="1"/>
  <c r="C14" i="3"/>
  <c r="E14" i="3" s="1"/>
  <c r="C9" i="3"/>
  <c r="E9" i="3" s="1"/>
  <c r="C10" i="3"/>
  <c r="E10" i="3" s="1"/>
  <c r="A22" i="3" l="1"/>
  <c r="A14" i="3"/>
  <c r="A5" i="3"/>
  <c r="A17" i="3"/>
  <c r="A10" i="3"/>
  <c r="A8" i="3"/>
  <c r="A12" i="3"/>
  <c r="A21" i="3"/>
  <c r="A6" i="3"/>
  <c r="A3" i="3"/>
  <c r="A20" i="3"/>
  <c r="A9" i="3"/>
  <c r="A16" i="3"/>
  <c r="A13" i="3"/>
  <c r="A23" i="3"/>
  <c r="A24" i="3"/>
  <c r="A15" i="3"/>
  <c r="A4" i="3"/>
  <c r="A7" i="3"/>
  <c r="A19" i="3"/>
  <c r="A11" i="3"/>
  <c r="A18" i="3"/>
</calcChain>
</file>

<file path=xl/sharedStrings.xml><?xml version="1.0" encoding="utf-8"?>
<sst xmlns="http://schemas.openxmlformats.org/spreadsheetml/2006/main" count="2360" uniqueCount="330">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</sst>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70" activePane="bottomRight" state="frozen"/>
      <selection pane="topRight"/>
      <selection pane="bottomLeft"/>
      <selection pane="bottomRight" activeCell="C89" sqref="C89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0.5546875" style="19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2" t="s">
        <v>0</v>
      </c>
      <c r="B1" s="52" t="s">
        <v>1</v>
      </c>
      <c r="C1" s="52" t="s">
        <v>2</v>
      </c>
      <c r="D1" s="52" t="s">
        <v>3</v>
      </c>
      <c r="E1" s="54" t="s">
        <v>4</v>
      </c>
      <c r="F1" s="55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324</v>
      </c>
      <c r="AT1" s="51"/>
      <c r="AU1" s="42" t="s">
        <v>24</v>
      </c>
      <c r="AV1" s="51"/>
      <c r="AW1" s="2" t="s">
        <v>25</v>
      </c>
      <c r="AX1" s="2" t="s">
        <v>26</v>
      </c>
    </row>
    <row r="2" spans="1:50" x14ac:dyDescent="0.3">
      <c r="A2" s="53"/>
      <c r="B2" s="56"/>
      <c r="C2" s="53"/>
      <c r="D2" s="56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8"/>
      <c r="AW3" s="7"/>
      <c r="AX3" s="7"/>
    </row>
    <row r="4" spans="1:50" ht="20.100000000000001" customHeight="1" x14ac:dyDescent="0.3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4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7" t="s">
        <v>79</v>
      </c>
      <c r="C92" s="10"/>
      <c r="D92" s="32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4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7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4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7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4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7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4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7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4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4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7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4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7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4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7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4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3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3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44" t="s">
        <v>131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3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44" t="s">
        <v>136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3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44" t="s">
        <v>143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3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44" t="s">
        <v>150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3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44" t="s">
        <v>155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3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44" t="s">
        <v>162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3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167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3">
      <c r="A146" s="44" t="s">
        <v>162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3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44" t="s">
        <v>172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3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44" t="s">
        <v>175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3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44" t="s">
        <v>180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3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187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3">
      <c r="A164" s="44" t="s">
        <v>188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3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44" t="s">
        <v>191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3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44" t="s">
        <v>194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3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44" t="s">
        <v>197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3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200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3">
      <c r="A178" s="44" t="s">
        <v>201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3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44" t="s">
        <v>204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3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207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3">
      <c r="A186" s="44" t="s">
        <v>208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3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211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3">
      <c r="A191" s="44" t="s">
        <v>212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3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59" t="str">
        <f>Wedstrijden_beheer!E1</f>
        <v>Roland</v>
      </c>
      <c r="E1" s="60"/>
      <c r="F1" s="61" t="str">
        <f>Wedstrijden_beheer!G1</f>
        <v>Nikki</v>
      </c>
      <c r="G1" s="43"/>
      <c r="H1" s="61" t="str">
        <f>Wedstrijden_beheer!I1</f>
        <v>Abdussamed</v>
      </c>
      <c r="I1" s="43"/>
      <c r="J1" s="61" t="str">
        <f>Wedstrijden_beheer!K1</f>
        <v>Karsten</v>
      </c>
      <c r="K1" s="43"/>
      <c r="L1" s="61" t="str">
        <f>Wedstrijden_beheer!M1</f>
        <v>Bas</v>
      </c>
      <c r="M1" s="43"/>
      <c r="N1" s="61" t="str">
        <f>Wedstrijden_beheer!O1</f>
        <v>Maik</v>
      </c>
      <c r="O1" s="43"/>
      <c r="P1" s="61" t="str">
        <f>Wedstrijden_beheer!Q1</f>
        <v>Simone</v>
      </c>
      <c r="Q1" s="43"/>
      <c r="R1" s="61" t="str">
        <f>Wedstrijden_beheer!S1</f>
        <v>Marc</v>
      </c>
      <c r="S1" s="43"/>
      <c r="T1" s="61" t="str">
        <f>Wedstrijden_beheer!U1</f>
        <v>Tom</v>
      </c>
      <c r="U1" s="43"/>
      <c r="V1" s="61" t="str">
        <f>Wedstrijden_beheer!W1</f>
        <v>Jos</v>
      </c>
      <c r="W1" s="43"/>
      <c r="X1" s="61" t="str">
        <f>Wedstrijden_beheer!Y1</f>
        <v>Lesley</v>
      </c>
      <c r="Y1" s="43"/>
      <c r="Z1" s="61" t="str">
        <f>Wedstrijden_beheer!AA1</f>
        <v>Ivo</v>
      </c>
      <c r="AA1" s="43"/>
      <c r="AB1" s="61" t="str">
        <f>Wedstrijden_beheer!AC1</f>
        <v>Ron</v>
      </c>
      <c r="AC1" s="43"/>
      <c r="AD1" s="61" t="str">
        <f>Wedstrijden_beheer!AE1</f>
        <v>Jeroen</v>
      </c>
      <c r="AE1" s="43"/>
      <c r="AF1" s="61" t="str">
        <f>Wedstrijden_beheer!AG1</f>
        <v>Erwin</v>
      </c>
      <c r="AG1" s="43"/>
      <c r="AH1" s="61" t="str">
        <f>Wedstrijden_beheer!AI1</f>
        <v>Tim</v>
      </c>
      <c r="AI1" s="43"/>
      <c r="AJ1" s="61" t="s">
        <v>20</v>
      </c>
      <c r="AK1" s="43"/>
      <c r="AL1" s="61" t="s">
        <v>21</v>
      </c>
      <c r="AM1" s="43"/>
      <c r="AN1" s="61" t="str">
        <f>Wedstrijden_beheer!AO1</f>
        <v>Patrick</v>
      </c>
      <c r="AO1" s="43"/>
      <c r="AP1" s="61" t="str">
        <f>Wedstrijden_beheer!AQ1</f>
        <v>Jeno</v>
      </c>
      <c r="AQ1" s="43"/>
      <c r="AR1" s="42" t="str">
        <f>Wedstrijden_beheer!AS1</f>
        <v>Andre</v>
      </c>
      <c r="AS1" s="51"/>
      <c r="AT1" s="42" t="str">
        <f>Wedstrijden_beheer!AU1</f>
        <v>Raymond</v>
      </c>
      <c r="AU1" s="51"/>
    </row>
    <row r="2" spans="1:47" s="28" customFormat="1" ht="14.4" customHeight="1" x14ac:dyDescent="0.3">
      <c r="A2" s="34"/>
      <c r="B2" s="35" t="s">
        <v>215</v>
      </c>
      <c r="C2" s="34" t="s">
        <v>216</v>
      </c>
      <c r="D2" s="36" t="s">
        <v>217</v>
      </c>
      <c r="E2" s="34" t="s">
        <v>28</v>
      </c>
      <c r="F2" s="34" t="s">
        <v>217</v>
      </c>
      <c r="G2" s="34" t="s">
        <v>28</v>
      </c>
      <c r="H2" s="34" t="s">
        <v>217</v>
      </c>
      <c r="I2" s="34" t="s">
        <v>28</v>
      </c>
      <c r="J2" s="34" t="s">
        <v>217</v>
      </c>
      <c r="K2" s="34" t="s">
        <v>28</v>
      </c>
      <c r="L2" s="34" t="s">
        <v>217</v>
      </c>
      <c r="M2" s="34" t="s">
        <v>28</v>
      </c>
      <c r="N2" s="36" t="s">
        <v>217</v>
      </c>
      <c r="O2" s="34" t="s">
        <v>28</v>
      </c>
      <c r="P2" s="36" t="s">
        <v>217</v>
      </c>
      <c r="Q2" s="34" t="s">
        <v>28</v>
      </c>
      <c r="R2" s="36" t="s">
        <v>217</v>
      </c>
      <c r="S2" s="34" t="s">
        <v>28</v>
      </c>
      <c r="T2" s="34" t="s">
        <v>217</v>
      </c>
      <c r="U2" s="34" t="s">
        <v>28</v>
      </c>
      <c r="V2" s="36" t="s">
        <v>217</v>
      </c>
      <c r="W2" s="34" t="s">
        <v>28</v>
      </c>
      <c r="X2" s="36" t="s">
        <v>217</v>
      </c>
      <c r="Y2" s="34" t="s">
        <v>28</v>
      </c>
      <c r="Z2" s="36" t="s">
        <v>217</v>
      </c>
      <c r="AA2" s="34" t="s">
        <v>28</v>
      </c>
      <c r="AB2" s="36" t="s">
        <v>217</v>
      </c>
      <c r="AC2" s="34" t="s">
        <v>28</v>
      </c>
      <c r="AD2" s="36" t="s">
        <v>217</v>
      </c>
      <c r="AE2" s="34" t="s">
        <v>28</v>
      </c>
      <c r="AF2" s="36" t="s">
        <v>217</v>
      </c>
      <c r="AG2" s="34" t="s">
        <v>28</v>
      </c>
      <c r="AH2" s="36" t="s">
        <v>217</v>
      </c>
      <c r="AI2" s="34" t="s">
        <v>28</v>
      </c>
      <c r="AJ2" s="36" t="s">
        <v>217</v>
      </c>
      <c r="AK2" s="34" t="s">
        <v>28</v>
      </c>
      <c r="AL2" s="37" t="s">
        <v>217</v>
      </c>
      <c r="AM2" s="34" t="s">
        <v>28</v>
      </c>
      <c r="AN2" s="36" t="s">
        <v>217</v>
      </c>
      <c r="AO2" s="34" t="s">
        <v>28</v>
      </c>
      <c r="AP2" s="34" t="s">
        <v>217</v>
      </c>
      <c r="AQ2" s="34" t="s">
        <v>28</v>
      </c>
      <c r="AR2" s="36" t="s">
        <v>217</v>
      </c>
      <c r="AS2" s="34" t="s">
        <v>28</v>
      </c>
      <c r="AT2" s="36" t="s">
        <v>217</v>
      </c>
      <c r="AU2" s="34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284</v>
      </c>
      <c r="B1" s="16"/>
      <c r="C1" s="16"/>
      <c r="D1" s="16"/>
      <c r="E1" s="16"/>
    </row>
    <row r="2" spans="1:5" ht="18" customHeight="1" x14ac:dyDescent="0.3">
      <c r="A2" s="38" t="s">
        <v>285</v>
      </c>
      <c r="B2" s="38" t="s">
        <v>286</v>
      </c>
      <c r="C2" s="38" t="s">
        <v>287</v>
      </c>
      <c r="D2" s="38" t="s">
        <v>288</v>
      </c>
      <c r="E2" s="38" t="s">
        <v>289</v>
      </c>
    </row>
    <row r="3" spans="1:5" ht="18" customHeight="1" x14ac:dyDescent="0.3">
      <c r="A3" s="11">
        <f t="shared" ref="A3:A24" si="0">_xlfn.RANK.EQ(E3,$E$3:$E$90,0)</f>
        <v>1</v>
      </c>
      <c r="B3" s="1" t="str">
        <f>Wedstrijden_beheer!AO1</f>
        <v>Patrick</v>
      </c>
      <c r="C3" s="11">
        <f>SUM(Wedstrijden_beheer!AP3:'Wedstrijden_beheer'!AP194)</f>
        <v>280</v>
      </c>
      <c r="D3" s="11">
        <f>Bonus_beheer!AO17</f>
        <v>0</v>
      </c>
      <c r="E3" s="11">
        <f t="shared" ref="E3:E24" si="1">C3+D3</f>
        <v>280</v>
      </c>
    </row>
    <row r="4" spans="1:5" ht="18" customHeight="1" x14ac:dyDescent="0.3">
      <c r="A4" s="11">
        <f t="shared" si="0"/>
        <v>2</v>
      </c>
      <c r="B4" s="1" t="str">
        <f>Wedstrijden_beheer!AK1</f>
        <v>Kim</v>
      </c>
      <c r="C4" s="11">
        <f>SUM(Wedstrijden_beheer!AL3:'Wedstrijden_beheer'!AL194)</f>
        <v>272</v>
      </c>
      <c r="D4" s="11">
        <f>Bonus_beheer!AK17</f>
        <v>0</v>
      </c>
      <c r="E4" s="11">
        <f t="shared" si="1"/>
        <v>272</v>
      </c>
    </row>
    <row r="5" spans="1:5" ht="18" customHeight="1" x14ac:dyDescent="0.3">
      <c r="A5" s="11">
        <f t="shared" si="0"/>
        <v>4</v>
      </c>
      <c r="B5" s="1" t="str">
        <f>Wedstrijden_beheer!I1</f>
        <v>Abdussamed</v>
      </c>
      <c r="C5" s="11">
        <f>SUM(Wedstrijden_beheer!J3:'Wedstrijden_beheer'!J194)</f>
        <v>270</v>
      </c>
      <c r="D5" s="11">
        <f>Bonus_beheer!I17</f>
        <v>0</v>
      </c>
      <c r="E5" s="11">
        <f t="shared" si="1"/>
        <v>270</v>
      </c>
    </row>
    <row r="6" spans="1:5" ht="18" customHeight="1" x14ac:dyDescent="0.3">
      <c r="A6" s="11">
        <f t="shared" si="0"/>
        <v>2</v>
      </c>
      <c r="B6" s="1" t="str">
        <f>Wedstrijden_beheer!O1</f>
        <v>Maik</v>
      </c>
      <c r="C6" s="11">
        <f>SUM(Wedstrijden_beheer!P3:'Wedstrijden_beheer'!P194)</f>
        <v>272</v>
      </c>
      <c r="D6" s="11">
        <f>Bonus_beheer!O17</f>
        <v>0</v>
      </c>
      <c r="E6" s="11">
        <f t="shared" si="1"/>
        <v>272</v>
      </c>
    </row>
    <row r="7" spans="1:5" ht="18" customHeight="1" x14ac:dyDescent="0.3">
      <c r="A7" s="11">
        <f t="shared" si="0"/>
        <v>5</v>
      </c>
      <c r="B7" s="1" t="str">
        <f>Wedstrijden_beheer!AE1</f>
        <v>Jeroen</v>
      </c>
      <c r="C7" s="11">
        <f>SUM(Wedstrijden_beheer!AF3:'Wedstrijden_beheer'!AF194)</f>
        <v>268</v>
      </c>
      <c r="D7" s="11">
        <f>Bonus_beheer!AE17</f>
        <v>0</v>
      </c>
      <c r="E7" s="11">
        <f t="shared" si="1"/>
        <v>268</v>
      </c>
    </row>
    <row r="8" spans="1:5" ht="18" customHeight="1" x14ac:dyDescent="0.3">
      <c r="A8" s="11">
        <f t="shared" si="0"/>
        <v>6</v>
      </c>
      <c r="B8" s="29" t="str">
        <f>Wedstrijden_beheer!E1</f>
        <v>Roland</v>
      </c>
      <c r="C8" s="11">
        <f>SUM(Wedstrijden_beheer!F3:'Wedstrijden_beheer'!F194)</f>
        <v>266</v>
      </c>
      <c r="D8" s="11">
        <f>Bonus_beheer!E17</f>
        <v>0</v>
      </c>
      <c r="E8" s="11">
        <f t="shared" si="1"/>
        <v>266</v>
      </c>
    </row>
    <row r="9" spans="1:5" ht="18" customHeight="1" x14ac:dyDescent="0.3">
      <c r="A9" s="11">
        <f t="shared" si="0"/>
        <v>7</v>
      </c>
      <c r="B9" s="1" t="str">
        <f>Wedstrijden_beheer!U1</f>
        <v>Tom</v>
      </c>
      <c r="C9" s="11">
        <f>SUM(Wedstrijden_beheer!V3:'Wedstrijden_beheer'!V194)</f>
        <v>265</v>
      </c>
      <c r="D9" s="11">
        <f>Bonus_beheer!U17</f>
        <v>0</v>
      </c>
      <c r="E9" s="11">
        <f t="shared" si="1"/>
        <v>265</v>
      </c>
    </row>
    <row r="10" spans="1:5" ht="18" customHeight="1" x14ac:dyDescent="0.3">
      <c r="A10" s="11">
        <f t="shared" si="0"/>
        <v>7</v>
      </c>
      <c r="B10" s="1" t="str">
        <f>Wedstrijden_beheer!AG1</f>
        <v>Erwin</v>
      </c>
      <c r="C10" s="11">
        <f>SUM(Wedstrijden_beheer!AH3:'Wedstrijden_beheer'!AH194)</f>
        <v>265</v>
      </c>
      <c r="D10" s="11">
        <f>Bonus_beheer!AG17</f>
        <v>0</v>
      </c>
      <c r="E10" s="11">
        <f t="shared" si="1"/>
        <v>265</v>
      </c>
    </row>
    <row r="11" spans="1:5" ht="18" customHeight="1" x14ac:dyDescent="0.3">
      <c r="A11" s="11">
        <f t="shared" si="0"/>
        <v>9</v>
      </c>
      <c r="B11" s="1" t="str">
        <f>Wedstrijden_beheer!AA1</f>
        <v>Ivo</v>
      </c>
      <c r="C11" s="11">
        <f>SUM(Wedstrijden_beheer!AB3:'Wedstrijden_beheer'!AB194)</f>
        <v>253</v>
      </c>
      <c r="D11" s="11">
        <f>Bonus_beheer!AA17</f>
        <v>0</v>
      </c>
      <c r="E11" s="11">
        <f t="shared" si="1"/>
        <v>253</v>
      </c>
    </row>
    <row r="12" spans="1:5" ht="18" customHeight="1" x14ac:dyDescent="0.3">
      <c r="A12" s="11">
        <f t="shared" si="0"/>
        <v>10</v>
      </c>
      <c r="B12" s="1" t="str">
        <f>Wedstrijden_beheer!Y1</f>
        <v>Lesley</v>
      </c>
      <c r="C12" s="11">
        <f>SUM(Wedstrijden_beheer!Z3:'Wedstrijden_beheer'!Z194)</f>
        <v>251</v>
      </c>
      <c r="D12" s="11">
        <f>Bonus_beheer!Y17</f>
        <v>0</v>
      </c>
      <c r="E12" s="11">
        <f t="shared" si="1"/>
        <v>251</v>
      </c>
    </row>
    <row r="13" spans="1:5" ht="18" customHeight="1" x14ac:dyDescent="0.3">
      <c r="A13" s="11">
        <f t="shared" si="0"/>
        <v>13</v>
      </c>
      <c r="B13" s="1" t="str">
        <f>Wedstrijden_beheer!G1</f>
        <v>Nikki</v>
      </c>
      <c r="C13" s="11">
        <f>SUM(Wedstrijden_beheer!H3:'Wedstrijden_beheer'!H194)</f>
        <v>241</v>
      </c>
      <c r="D13" s="11">
        <f>Bonus_beheer!G17</f>
        <v>0</v>
      </c>
      <c r="E13" s="11">
        <f t="shared" si="1"/>
        <v>241</v>
      </c>
    </row>
    <row r="14" spans="1:5" ht="18" customHeight="1" x14ac:dyDescent="0.3">
      <c r="A14" s="11">
        <f t="shared" si="0"/>
        <v>11</v>
      </c>
      <c r="B14" s="1" t="str">
        <f>Wedstrijden_beheer!AM1</f>
        <v>Kristel</v>
      </c>
      <c r="C14" s="11">
        <f>SUM(Wedstrijden_beheer!AN3:'Wedstrijden_beheer'!AN194)</f>
        <v>249</v>
      </c>
      <c r="D14" s="11">
        <f>Bonus_beheer!AM17</f>
        <v>0</v>
      </c>
      <c r="E14" s="11">
        <f t="shared" si="1"/>
        <v>249</v>
      </c>
    </row>
    <row r="15" spans="1:5" ht="18" customHeight="1" x14ac:dyDescent="0.3">
      <c r="A15" s="11">
        <f t="shared" si="0"/>
        <v>12</v>
      </c>
      <c r="B15" s="1" t="str">
        <f>Wedstrijden_beheer!W1</f>
        <v>Jos</v>
      </c>
      <c r="C15" s="11">
        <f>SUM(Wedstrijden_beheer!X3:'Wedstrijden_beheer'!X194)</f>
        <v>244</v>
      </c>
      <c r="D15" s="11">
        <f>Bonus_beheer!W17</f>
        <v>0</v>
      </c>
      <c r="E15" s="11">
        <f t="shared" si="1"/>
        <v>244</v>
      </c>
    </row>
    <row r="16" spans="1:5" ht="18" customHeight="1" x14ac:dyDescent="0.3">
      <c r="A16" s="11">
        <f t="shared" si="0"/>
        <v>16</v>
      </c>
      <c r="B16" s="1" t="str">
        <f>Wedstrijden_beheer!M1</f>
        <v>Bas</v>
      </c>
      <c r="C16" s="11">
        <f>SUM(Wedstrijden_beheer!N3:'Wedstrijden_beheer'!N194)</f>
        <v>234</v>
      </c>
      <c r="D16" s="11">
        <f>Bonus_beheer!M17</f>
        <v>0</v>
      </c>
      <c r="E16" s="11">
        <f t="shared" si="1"/>
        <v>234</v>
      </c>
    </row>
    <row r="17" spans="1:5" ht="18" customHeight="1" x14ac:dyDescent="0.3">
      <c r="A17" s="11">
        <f t="shared" si="0"/>
        <v>14</v>
      </c>
      <c r="B17" s="1" t="str">
        <f>Wedstrijden_beheer!AQ1</f>
        <v>Jeno</v>
      </c>
      <c r="C17" s="11">
        <f>SUM(Wedstrijden_beheer!AV4:'Wedstrijden_beheer'!AV195)</f>
        <v>237</v>
      </c>
      <c r="D17" s="11">
        <f>Bonus_beheer!AU18</f>
        <v>0</v>
      </c>
      <c r="E17" s="11">
        <f t="shared" si="1"/>
        <v>237</v>
      </c>
    </row>
    <row r="18" spans="1:5" ht="18" customHeight="1" x14ac:dyDescent="0.3">
      <c r="A18" s="11">
        <f t="shared" si="0"/>
        <v>14</v>
      </c>
      <c r="B18" s="1" t="str">
        <f>Wedstrijden_beheer!AU1</f>
        <v>Raymond</v>
      </c>
      <c r="C18" s="11">
        <f>SUM(Wedstrijden_beheer!AV3:'Wedstrijden_beheer'!AV194)</f>
        <v>237</v>
      </c>
      <c r="D18" s="11">
        <f>Bonus_beheer!AU17</f>
        <v>0</v>
      </c>
      <c r="E18" s="11">
        <f t="shared" si="1"/>
        <v>237</v>
      </c>
    </row>
    <row r="19" spans="1:5" ht="18" customHeight="1" x14ac:dyDescent="0.3">
      <c r="A19" s="11">
        <f t="shared" si="0"/>
        <v>17</v>
      </c>
      <c r="B19" s="1" t="str">
        <f>Wedstrijden_beheer!AC1</f>
        <v>Ron</v>
      </c>
      <c r="C19" s="11">
        <f>SUM(Wedstrijden_beheer!AD3:'Wedstrijden_beheer'!AD194)</f>
        <v>223</v>
      </c>
      <c r="D19" s="11">
        <f>Bonus_beheer!AC17</f>
        <v>0</v>
      </c>
      <c r="E19" s="11">
        <f t="shared" si="1"/>
        <v>223</v>
      </c>
    </row>
    <row r="20" spans="1:5" ht="18" customHeight="1" x14ac:dyDescent="0.3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202</v>
      </c>
      <c r="D20" s="11">
        <f>Bonus_beheer!AI17</f>
        <v>0</v>
      </c>
      <c r="E20" s="11">
        <f t="shared" si="1"/>
        <v>202</v>
      </c>
    </row>
    <row r="21" spans="1:5" ht="18" customHeight="1" x14ac:dyDescent="0.3">
      <c r="A21" s="11">
        <f t="shared" si="0"/>
        <v>19</v>
      </c>
      <c r="B21" s="1" t="str">
        <f>Wedstrijden_beheer!K1</f>
        <v>Karsten</v>
      </c>
      <c r="C21" s="11">
        <f>SUM(Wedstrijden_beheer!L3:'Wedstrijden_beheer'!L194)</f>
        <v>196</v>
      </c>
      <c r="D21" s="11">
        <f>Bonus_beheer!K17</f>
        <v>0</v>
      </c>
      <c r="E21" s="11">
        <f t="shared" si="1"/>
        <v>196</v>
      </c>
    </row>
    <row r="22" spans="1:5" ht="18" customHeight="1" x14ac:dyDescent="0.3">
      <c r="A22" s="11">
        <f t="shared" si="0"/>
        <v>21</v>
      </c>
      <c r="B22" s="1" t="str">
        <f>Wedstrijden_beheer!AS1</f>
        <v>Andre</v>
      </c>
      <c r="C22" s="11">
        <f>SUM(Wedstrijden_beheer!R4:'Wedstrijden_beheer'!R195)</f>
        <v>188</v>
      </c>
      <c r="D22" s="11">
        <f>Bonus_beheer!Q18</f>
        <v>0</v>
      </c>
      <c r="E22" s="11">
        <f t="shared" si="1"/>
        <v>188</v>
      </c>
    </row>
    <row r="23" spans="1:5" x14ac:dyDescent="0.3">
      <c r="A23" s="11">
        <f t="shared" si="0"/>
        <v>21</v>
      </c>
      <c r="B23" s="1" t="str">
        <f>Wedstrijden_beheer!Q1</f>
        <v>Simone</v>
      </c>
      <c r="C23" s="11">
        <f>SUM(Wedstrijden_beheer!R3:'Wedstrijden_beheer'!R194)</f>
        <v>188</v>
      </c>
      <c r="D23" s="11">
        <f>Bonus_beheer!Q17</f>
        <v>0</v>
      </c>
      <c r="E23" s="11">
        <f t="shared" si="1"/>
        <v>188</v>
      </c>
    </row>
    <row r="24" spans="1:5" x14ac:dyDescent="0.3">
      <c r="A24" s="11">
        <f t="shared" si="0"/>
        <v>20</v>
      </c>
      <c r="B24" s="1" t="str">
        <f>Wedstrijden_beheer!S1</f>
        <v>Marc</v>
      </c>
      <c r="C24" s="11">
        <f>SUM(Wedstrijden_beheer!T3:'Wedstrijden_beheer'!T194)</f>
        <v>190</v>
      </c>
      <c r="D24" s="11">
        <f>Bonus_beheer!S17</f>
        <v>0</v>
      </c>
      <c r="E24" s="11">
        <f t="shared" si="1"/>
        <v>190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290</v>
      </c>
      <c r="B1" s="16"/>
    </row>
    <row r="2" spans="1:2" ht="18" customHeight="1" x14ac:dyDescent="0.3">
      <c r="A2" s="38" t="s">
        <v>291</v>
      </c>
      <c r="B2" s="38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291</v>
      </c>
      <c r="B2" s="38" t="s">
        <v>28</v>
      </c>
      <c r="C2" s="38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319</v>
      </c>
      <c r="B1" s="22" t="s">
        <v>320</v>
      </c>
      <c r="C1" s="22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dcmitype/"/>
    <ds:schemaRef ds:uri="7b90d758-d430-4ffd-9227-0f539ac48821"/>
    <ds:schemaRef ds:uri="7c2036e6-2c6c-4cc0-93d3-66cc911cb074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2026-06-25T23:18:11Z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