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495" documentId="8_{E82BF418-5EC5-4A9D-9227-B9F99AE92E74}" xr6:coauthVersionLast="47" xr6:coauthVersionMax="47" xr10:uidLastSave="{DC5DB20F-E482-49C6-AEDF-0B3746481E0D}"/>
  <bookViews>
    <workbookView xWindow="-108" yWindow="-108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7" i="1"/>
  <c r="AT29" i="1"/>
  <c r="AT31" i="1"/>
  <c r="AT32" i="1"/>
  <c r="AT34" i="1"/>
  <c r="AT35" i="1"/>
  <c r="AT36" i="1"/>
  <c r="AT37" i="1"/>
  <c r="AT38" i="1"/>
  <c r="AT39" i="1"/>
  <c r="AT41" i="1"/>
  <c r="AT42" i="1"/>
  <c r="AT43" i="1"/>
  <c r="AT44" i="1"/>
  <c r="AT45" i="1"/>
  <c r="AT47" i="1"/>
  <c r="AT48" i="1"/>
  <c r="AT49" i="1"/>
  <c r="AT50" i="1"/>
  <c r="AT52" i="1"/>
  <c r="AT53" i="1"/>
  <c r="AT54" i="1"/>
  <c r="AT55" i="1"/>
  <c r="AT56" i="1"/>
  <c r="AT57" i="1"/>
  <c r="AT59" i="1"/>
  <c r="AT60" i="1"/>
  <c r="AT61" i="1"/>
  <c r="AT62" i="1"/>
  <c r="AT63" i="1"/>
  <c r="AT65" i="1"/>
  <c r="AT66" i="1"/>
  <c r="AT67" i="1"/>
  <c r="AT68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17" i="3"/>
  <c r="D17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29" i="1"/>
  <c r="AV31" i="1"/>
  <c r="AV34" i="1"/>
  <c r="AV35" i="1"/>
  <c r="AV36" i="1"/>
  <c r="AV37" i="1"/>
  <c r="AV38" i="1"/>
  <c r="AV41" i="1"/>
  <c r="AV42" i="1"/>
  <c r="AV43" i="1"/>
  <c r="AV44" i="1"/>
  <c r="AV47" i="1"/>
  <c r="AV48" i="1"/>
  <c r="AV49" i="1"/>
  <c r="AV52" i="1"/>
  <c r="AV53" i="1"/>
  <c r="AV54" i="1"/>
  <c r="AV55" i="1"/>
  <c r="AV56" i="1"/>
  <c r="AV59" i="1"/>
  <c r="AV60" i="1"/>
  <c r="AV61" i="1"/>
  <c r="AV62" i="1"/>
  <c r="AV65" i="1"/>
  <c r="AV66" i="1"/>
  <c r="AV67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18" i="3"/>
  <c r="B4" i="3"/>
  <c r="B12" i="3"/>
  <c r="B9" i="3"/>
  <c r="B20" i="3"/>
  <c r="B10" i="3"/>
  <c r="B19" i="3"/>
  <c r="B14" i="3"/>
  <c r="B15" i="3"/>
  <c r="B16" i="3"/>
  <c r="B24" i="3"/>
  <c r="B21" i="3"/>
  <c r="B23" i="3"/>
  <c r="B13" i="3"/>
  <c r="D13" i="3"/>
  <c r="B11" i="3"/>
  <c r="B3" i="3"/>
  <c r="B5" i="3"/>
  <c r="B22" i="3"/>
  <c r="B8" i="3"/>
  <c r="B7" i="3"/>
  <c r="B6" i="3"/>
  <c r="AR6" i="1"/>
  <c r="AR10" i="1"/>
  <c r="AR14" i="1"/>
  <c r="AR20" i="1"/>
  <c r="AR21" i="1"/>
  <c r="AR27" i="1"/>
  <c r="AR30" i="1"/>
  <c r="AR31" i="1"/>
  <c r="AR32" i="1"/>
  <c r="AR34" i="1"/>
  <c r="AR35" i="1"/>
  <c r="AR36" i="1"/>
  <c r="AR37" i="1"/>
  <c r="AR38" i="1"/>
  <c r="AR39" i="1"/>
  <c r="AR41" i="1"/>
  <c r="AR42" i="1"/>
  <c r="AR43" i="1"/>
  <c r="AR44" i="1"/>
  <c r="AR45" i="1"/>
  <c r="AR47" i="1"/>
  <c r="AR48" i="1"/>
  <c r="AR49" i="1"/>
  <c r="AR50" i="1"/>
  <c r="AR52" i="1"/>
  <c r="AR53" i="1"/>
  <c r="AR54" i="1"/>
  <c r="AR55" i="1"/>
  <c r="AR56" i="1"/>
  <c r="AR57" i="1"/>
  <c r="AR59" i="1"/>
  <c r="AR60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X25" i="1"/>
  <c r="AW26" i="1"/>
  <c r="J26" i="1" s="1"/>
  <c r="AX26" i="1"/>
  <c r="AW29" i="1"/>
  <c r="N29" i="1" s="1"/>
  <c r="AX29" i="1"/>
  <c r="AW30" i="1"/>
  <c r="AH30" i="1" s="1"/>
  <c r="AX30" i="1"/>
  <c r="AT30" i="1" s="1"/>
  <c r="AW31" i="1"/>
  <c r="AX31" i="1"/>
  <c r="AW34" i="1"/>
  <c r="AX34" i="1"/>
  <c r="AW35" i="1"/>
  <c r="AX35" i="1"/>
  <c r="AW36" i="1"/>
  <c r="AX36" i="1"/>
  <c r="AW37" i="1"/>
  <c r="AX37" i="1"/>
  <c r="AW38" i="1"/>
  <c r="AX38" i="1"/>
  <c r="AW41" i="1"/>
  <c r="AX41" i="1"/>
  <c r="AW42" i="1"/>
  <c r="AX42" i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29" i="1"/>
  <c r="F31" i="1"/>
  <c r="F34" i="1"/>
  <c r="F35" i="1"/>
  <c r="F36" i="1"/>
  <c r="F37" i="1"/>
  <c r="F38" i="1"/>
  <c r="F41" i="1"/>
  <c r="F42" i="1"/>
  <c r="F43" i="1"/>
  <c r="F44" i="1"/>
  <c r="F47" i="1"/>
  <c r="F48" i="1"/>
  <c r="F49" i="1"/>
  <c r="F52" i="1"/>
  <c r="F53" i="1"/>
  <c r="F54" i="1"/>
  <c r="F55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P60" i="1"/>
  <c r="AN60" i="1"/>
  <c r="AL60" i="1"/>
  <c r="AJ60" i="1"/>
  <c r="AH60" i="1"/>
  <c r="AF60" i="1"/>
  <c r="AD60" i="1"/>
  <c r="AB60" i="1"/>
  <c r="Z60" i="1"/>
  <c r="X60" i="1"/>
  <c r="V60" i="1"/>
  <c r="T60" i="1"/>
  <c r="R60" i="1"/>
  <c r="P60" i="1"/>
  <c r="N60" i="1"/>
  <c r="L60" i="1"/>
  <c r="J60" i="1"/>
  <c r="H60" i="1"/>
  <c r="AP59" i="1"/>
  <c r="AN59" i="1"/>
  <c r="AL59" i="1"/>
  <c r="AJ59" i="1"/>
  <c r="AH59" i="1"/>
  <c r="AF59" i="1"/>
  <c r="AD59" i="1"/>
  <c r="AB59" i="1"/>
  <c r="Z59" i="1"/>
  <c r="X59" i="1"/>
  <c r="V59" i="1"/>
  <c r="T59" i="1"/>
  <c r="R59" i="1"/>
  <c r="P59" i="1"/>
  <c r="N59" i="1"/>
  <c r="L59" i="1"/>
  <c r="J59" i="1"/>
  <c r="H59" i="1"/>
  <c r="AP56" i="1"/>
  <c r="AN56" i="1"/>
  <c r="AL56" i="1"/>
  <c r="AJ56" i="1"/>
  <c r="AH56" i="1"/>
  <c r="AF56" i="1"/>
  <c r="AD56" i="1"/>
  <c r="AB56" i="1"/>
  <c r="Z56" i="1"/>
  <c r="X56" i="1"/>
  <c r="V56" i="1"/>
  <c r="T56" i="1"/>
  <c r="R56" i="1"/>
  <c r="P56" i="1"/>
  <c r="N56" i="1"/>
  <c r="L56" i="1"/>
  <c r="J56" i="1"/>
  <c r="H56" i="1"/>
  <c r="AP55" i="1"/>
  <c r="AN55" i="1"/>
  <c r="AL55" i="1"/>
  <c r="AJ55" i="1"/>
  <c r="AH55" i="1"/>
  <c r="AF55" i="1"/>
  <c r="AD55" i="1"/>
  <c r="AB55" i="1"/>
  <c r="Z55" i="1"/>
  <c r="X55" i="1"/>
  <c r="V55" i="1"/>
  <c r="T55" i="1"/>
  <c r="R55" i="1"/>
  <c r="P55" i="1"/>
  <c r="N55" i="1"/>
  <c r="L55" i="1"/>
  <c r="J55" i="1"/>
  <c r="H55" i="1"/>
  <c r="AP54" i="1"/>
  <c r="AN54" i="1"/>
  <c r="AL54" i="1"/>
  <c r="AJ54" i="1"/>
  <c r="AH54" i="1"/>
  <c r="AF54" i="1"/>
  <c r="AD54" i="1"/>
  <c r="AB54" i="1"/>
  <c r="Z54" i="1"/>
  <c r="X54" i="1"/>
  <c r="V54" i="1"/>
  <c r="T54" i="1"/>
  <c r="R54" i="1"/>
  <c r="P54" i="1"/>
  <c r="N54" i="1"/>
  <c r="L54" i="1"/>
  <c r="J54" i="1"/>
  <c r="H54" i="1"/>
  <c r="AP53" i="1"/>
  <c r="AN53" i="1"/>
  <c r="AL53" i="1"/>
  <c r="AJ53" i="1"/>
  <c r="AH53" i="1"/>
  <c r="AF53" i="1"/>
  <c r="AD53" i="1"/>
  <c r="AB53" i="1"/>
  <c r="Z53" i="1"/>
  <c r="X53" i="1"/>
  <c r="V53" i="1"/>
  <c r="T53" i="1"/>
  <c r="R53" i="1"/>
  <c r="P53" i="1"/>
  <c r="N53" i="1"/>
  <c r="L53" i="1"/>
  <c r="J53" i="1"/>
  <c r="H53" i="1"/>
  <c r="AP52" i="1"/>
  <c r="AN52" i="1"/>
  <c r="AL52" i="1"/>
  <c r="AJ52" i="1"/>
  <c r="AH52" i="1"/>
  <c r="AF52" i="1"/>
  <c r="AD52" i="1"/>
  <c r="AB52" i="1"/>
  <c r="Z52" i="1"/>
  <c r="X52" i="1"/>
  <c r="V52" i="1"/>
  <c r="T52" i="1"/>
  <c r="R52" i="1"/>
  <c r="P52" i="1"/>
  <c r="N52" i="1"/>
  <c r="L52" i="1"/>
  <c r="J52" i="1"/>
  <c r="H52" i="1"/>
  <c r="AP49" i="1"/>
  <c r="AN49" i="1"/>
  <c r="AL49" i="1"/>
  <c r="AJ49" i="1"/>
  <c r="AH49" i="1"/>
  <c r="AF49" i="1"/>
  <c r="AD49" i="1"/>
  <c r="AB49" i="1"/>
  <c r="Z49" i="1"/>
  <c r="X49" i="1"/>
  <c r="V49" i="1"/>
  <c r="T49" i="1"/>
  <c r="R49" i="1"/>
  <c r="P49" i="1"/>
  <c r="N49" i="1"/>
  <c r="L49" i="1"/>
  <c r="J49" i="1"/>
  <c r="H49" i="1"/>
  <c r="AP48" i="1"/>
  <c r="AN48" i="1"/>
  <c r="AL48" i="1"/>
  <c r="AJ48" i="1"/>
  <c r="AH48" i="1"/>
  <c r="AF48" i="1"/>
  <c r="AD48" i="1"/>
  <c r="AB48" i="1"/>
  <c r="Z48" i="1"/>
  <c r="X48" i="1"/>
  <c r="V48" i="1"/>
  <c r="T48" i="1"/>
  <c r="R48" i="1"/>
  <c r="P48" i="1"/>
  <c r="N48" i="1"/>
  <c r="L48" i="1"/>
  <c r="J48" i="1"/>
  <c r="H48" i="1"/>
  <c r="AP47" i="1"/>
  <c r="AN47" i="1"/>
  <c r="AL47" i="1"/>
  <c r="AJ47" i="1"/>
  <c r="AH47" i="1"/>
  <c r="AF47" i="1"/>
  <c r="AD47" i="1"/>
  <c r="AB47" i="1"/>
  <c r="Z47" i="1"/>
  <c r="X47" i="1"/>
  <c r="V47" i="1"/>
  <c r="T47" i="1"/>
  <c r="R47" i="1"/>
  <c r="P47" i="1"/>
  <c r="N47" i="1"/>
  <c r="L47" i="1"/>
  <c r="J47" i="1"/>
  <c r="H47" i="1"/>
  <c r="AP44" i="1"/>
  <c r="AN44" i="1"/>
  <c r="AL44" i="1"/>
  <c r="AJ44" i="1"/>
  <c r="AH44" i="1"/>
  <c r="AF44" i="1"/>
  <c r="AD44" i="1"/>
  <c r="AB44" i="1"/>
  <c r="Z44" i="1"/>
  <c r="X44" i="1"/>
  <c r="V44" i="1"/>
  <c r="T44" i="1"/>
  <c r="R44" i="1"/>
  <c r="P44" i="1"/>
  <c r="N44" i="1"/>
  <c r="L44" i="1"/>
  <c r="J44" i="1"/>
  <c r="H44" i="1"/>
  <c r="AP43" i="1"/>
  <c r="AN43" i="1"/>
  <c r="AL43" i="1"/>
  <c r="AJ43" i="1"/>
  <c r="AH43" i="1"/>
  <c r="AF43" i="1"/>
  <c r="AD43" i="1"/>
  <c r="AB43" i="1"/>
  <c r="Z43" i="1"/>
  <c r="X43" i="1"/>
  <c r="V43" i="1"/>
  <c r="T43" i="1"/>
  <c r="R43" i="1"/>
  <c r="P43" i="1"/>
  <c r="N43" i="1"/>
  <c r="L43" i="1"/>
  <c r="J43" i="1"/>
  <c r="H43" i="1"/>
  <c r="AP42" i="1"/>
  <c r="AN42" i="1"/>
  <c r="AL42" i="1"/>
  <c r="AJ42" i="1"/>
  <c r="AH42" i="1"/>
  <c r="AF42" i="1"/>
  <c r="AD42" i="1"/>
  <c r="AB42" i="1"/>
  <c r="Z42" i="1"/>
  <c r="X42" i="1"/>
  <c r="V42" i="1"/>
  <c r="T42" i="1"/>
  <c r="R42" i="1"/>
  <c r="P42" i="1"/>
  <c r="N42" i="1"/>
  <c r="L42" i="1"/>
  <c r="J42" i="1"/>
  <c r="H42" i="1"/>
  <c r="AP41" i="1"/>
  <c r="AN41" i="1"/>
  <c r="AL41" i="1"/>
  <c r="AJ41" i="1"/>
  <c r="AH41" i="1"/>
  <c r="AF41" i="1"/>
  <c r="AD41" i="1"/>
  <c r="AB41" i="1"/>
  <c r="Z41" i="1"/>
  <c r="X41" i="1"/>
  <c r="V41" i="1"/>
  <c r="T41" i="1"/>
  <c r="R41" i="1"/>
  <c r="P41" i="1"/>
  <c r="N41" i="1"/>
  <c r="L41" i="1"/>
  <c r="J41" i="1"/>
  <c r="H41" i="1"/>
  <c r="AP38" i="1"/>
  <c r="AN38" i="1"/>
  <c r="AL38" i="1"/>
  <c r="AJ38" i="1"/>
  <c r="AH38" i="1"/>
  <c r="AF38" i="1"/>
  <c r="AD38" i="1"/>
  <c r="AB38" i="1"/>
  <c r="Z38" i="1"/>
  <c r="X38" i="1"/>
  <c r="V38" i="1"/>
  <c r="T38" i="1"/>
  <c r="R38" i="1"/>
  <c r="P38" i="1"/>
  <c r="N38" i="1"/>
  <c r="L38" i="1"/>
  <c r="J38" i="1"/>
  <c r="H38" i="1"/>
  <c r="AP37" i="1"/>
  <c r="AN37" i="1"/>
  <c r="AL37" i="1"/>
  <c r="AJ37" i="1"/>
  <c r="AH37" i="1"/>
  <c r="AF37" i="1"/>
  <c r="AD37" i="1"/>
  <c r="AB37" i="1"/>
  <c r="Z37" i="1"/>
  <c r="X37" i="1"/>
  <c r="V37" i="1"/>
  <c r="T37" i="1"/>
  <c r="R37" i="1"/>
  <c r="P37" i="1"/>
  <c r="N37" i="1"/>
  <c r="L37" i="1"/>
  <c r="J37" i="1"/>
  <c r="H37" i="1"/>
  <c r="AP36" i="1"/>
  <c r="AN36" i="1"/>
  <c r="AL36" i="1"/>
  <c r="AJ36" i="1"/>
  <c r="AH36" i="1"/>
  <c r="AF36" i="1"/>
  <c r="AD36" i="1"/>
  <c r="AB36" i="1"/>
  <c r="Z36" i="1"/>
  <c r="X36" i="1"/>
  <c r="V36" i="1"/>
  <c r="T36" i="1"/>
  <c r="R36" i="1"/>
  <c r="P36" i="1"/>
  <c r="N36" i="1"/>
  <c r="L36" i="1"/>
  <c r="J36" i="1"/>
  <c r="H36" i="1"/>
  <c r="AP35" i="1"/>
  <c r="AN35" i="1"/>
  <c r="AL35" i="1"/>
  <c r="AJ35" i="1"/>
  <c r="AH35" i="1"/>
  <c r="AF35" i="1"/>
  <c r="AD35" i="1"/>
  <c r="AB35" i="1"/>
  <c r="Z35" i="1"/>
  <c r="X35" i="1"/>
  <c r="V35" i="1"/>
  <c r="T35" i="1"/>
  <c r="R35" i="1"/>
  <c r="P35" i="1"/>
  <c r="N35" i="1"/>
  <c r="L35" i="1"/>
  <c r="J35" i="1"/>
  <c r="H35" i="1"/>
  <c r="AP34" i="1"/>
  <c r="AN34" i="1"/>
  <c r="AL34" i="1"/>
  <c r="AJ34" i="1"/>
  <c r="AH34" i="1"/>
  <c r="AF34" i="1"/>
  <c r="AD34" i="1"/>
  <c r="AB34" i="1"/>
  <c r="Z34" i="1"/>
  <c r="X34" i="1"/>
  <c r="V34" i="1"/>
  <c r="T34" i="1"/>
  <c r="R34" i="1"/>
  <c r="P34" i="1"/>
  <c r="N34" i="1"/>
  <c r="L34" i="1"/>
  <c r="J34" i="1"/>
  <c r="H34" i="1"/>
  <c r="AP31" i="1"/>
  <c r="AN31" i="1"/>
  <c r="AL31" i="1"/>
  <c r="AJ31" i="1"/>
  <c r="AH31" i="1"/>
  <c r="AF31" i="1"/>
  <c r="AD31" i="1"/>
  <c r="AB31" i="1"/>
  <c r="Z31" i="1"/>
  <c r="X31" i="1"/>
  <c r="V31" i="1"/>
  <c r="T31" i="1"/>
  <c r="R31" i="1"/>
  <c r="P31" i="1"/>
  <c r="N31" i="1"/>
  <c r="L31" i="1"/>
  <c r="J31" i="1"/>
  <c r="H31" i="1"/>
  <c r="AL30" i="1"/>
  <c r="AJ30" i="1"/>
  <c r="T30" i="1"/>
  <c r="R30" i="1"/>
  <c r="P30" i="1"/>
  <c r="N30" i="1"/>
  <c r="L30" i="1"/>
  <c r="AL29" i="1"/>
  <c r="AJ29" i="1"/>
  <c r="AF29" i="1"/>
  <c r="AD29" i="1"/>
  <c r="T29" i="1"/>
  <c r="R29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AN30" i="1" l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4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18" i="3" s="1"/>
  <c r="AK17" i="2"/>
  <c r="D12" i="3" s="1"/>
  <c r="AM17" i="2"/>
  <c r="D23" i="3" s="1"/>
  <c r="AI17" i="2"/>
  <c r="D21" i="3" s="1"/>
  <c r="AO17" i="2"/>
  <c r="D16" i="3" s="1"/>
  <c r="AA17" i="2"/>
  <c r="D3" i="3" s="1"/>
  <c r="AC17" i="2"/>
  <c r="D22" i="3" s="1"/>
  <c r="AE17" i="2"/>
  <c r="D8" i="3" s="1"/>
  <c r="AG17" i="2"/>
  <c r="D19" i="3" s="1"/>
  <c r="E17" i="2"/>
  <c r="D15" i="3" s="1"/>
  <c r="I17" i="2"/>
  <c r="D6" i="3" s="1"/>
  <c r="K17" i="2"/>
  <c r="D24" i="3" s="1"/>
  <c r="M17" i="2"/>
  <c r="D5" i="3" s="1"/>
  <c r="G17" i="2"/>
  <c r="D7" i="3" s="1"/>
  <c r="O17" i="2"/>
  <c r="D4" i="3" s="1"/>
  <c r="S17" i="2"/>
  <c r="D10" i="3" s="1"/>
  <c r="U17" i="2"/>
  <c r="D9" i="3" s="1"/>
  <c r="W17" i="2"/>
  <c r="D20" i="3" s="1"/>
  <c r="Y17" i="2"/>
  <c r="D11" i="3" s="1"/>
  <c r="C14" i="3" l="1"/>
  <c r="E14" i="3" s="1"/>
  <c r="C13" i="3"/>
  <c r="E13" i="3" s="1"/>
  <c r="C18" i="3"/>
  <c r="E18" i="3" s="1"/>
  <c r="C17" i="3"/>
  <c r="E17" i="3" s="1"/>
  <c r="C16" i="3"/>
  <c r="E16" i="3" s="1"/>
  <c r="C22" i="3"/>
  <c r="E22" i="3" s="1"/>
  <c r="C10" i="3"/>
  <c r="E10" i="3" s="1"/>
  <c r="C8" i="3"/>
  <c r="E8" i="3" s="1"/>
  <c r="C4" i="3"/>
  <c r="E4" i="3" s="1"/>
  <c r="C5" i="3"/>
  <c r="E5" i="3" s="1"/>
  <c r="C21" i="3"/>
  <c r="E21" i="3" s="1"/>
  <c r="C15" i="3"/>
  <c r="E15" i="3" s="1"/>
  <c r="C20" i="3"/>
  <c r="E20" i="3" s="1"/>
  <c r="C24" i="3"/>
  <c r="E24" i="3" s="1"/>
  <c r="C12" i="3"/>
  <c r="E12" i="3" s="1"/>
  <c r="C3" i="3"/>
  <c r="E3" i="3" s="1"/>
  <c r="C7" i="3"/>
  <c r="E7" i="3" s="1"/>
  <c r="C11" i="3"/>
  <c r="E11" i="3" s="1"/>
  <c r="C6" i="3"/>
  <c r="E6" i="3" s="1"/>
  <c r="C23" i="3"/>
  <c r="E23" i="3" s="1"/>
  <c r="C9" i="3"/>
  <c r="E9" i="3" s="1"/>
  <c r="C19" i="3"/>
  <c r="E19" i="3" s="1"/>
  <c r="A17" i="3" l="1"/>
  <c r="A23" i="3"/>
  <c r="A6" i="3"/>
  <c r="A13" i="3"/>
  <c r="A19" i="3"/>
  <c r="A15" i="3"/>
  <c r="A11" i="3"/>
  <c r="A24" i="3"/>
  <c r="A4" i="3"/>
  <c r="A16" i="3"/>
  <c r="A21" i="3"/>
  <c r="A9" i="3"/>
  <c r="A5" i="3"/>
  <c r="A7" i="3"/>
  <c r="A18" i="3"/>
  <c r="A10" i="3"/>
  <c r="A20" i="3"/>
  <c r="A12" i="3"/>
  <c r="A8" i="3"/>
  <c r="A22" i="3"/>
  <c r="A3" i="3"/>
  <c r="A14" i="3"/>
</calcChain>
</file>

<file path=xl/sharedStrings.xml><?xml version="1.0" encoding="utf-8"?>
<sst xmlns="http://schemas.openxmlformats.org/spreadsheetml/2006/main" count="2320" uniqueCount="330">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</sst>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5" activePane="bottomRight" state="frozen"/>
      <selection pane="topRight"/>
      <selection pane="bottomLeft"/>
      <selection pane="bottomRight" activeCell="C31" sqref="C31"/>
    </sheetView>
  </sheetViews>
  <sheetFormatPr defaultRowHeight="14.4" x14ac:dyDescent="0.3"/>
  <cols>
    <col min="1" max="1" width="10.5546875" customWidth="1"/>
    <col min="2" max="2" width="20.5546875" style="19" customWidth="1"/>
    <col min="3" max="3" width="10.5546875" customWidth="1"/>
    <col min="4" max="4" width="20.5546875" style="20" customWidth="1"/>
    <col min="5" max="5" width="12.5546875" style="23" customWidth="1"/>
    <col min="6" max="6" width="8.5546875" customWidth="1"/>
    <col min="7" max="7" width="12.5546875" style="23" customWidth="1"/>
    <col min="8" max="8" width="8.5546875" customWidth="1"/>
    <col min="9" max="9" width="12.5546875" style="23" customWidth="1"/>
    <col min="10" max="10" width="8.5546875" customWidth="1"/>
    <col min="11" max="11" width="12.5546875" style="23" customWidth="1"/>
    <col min="12" max="12" width="8.5546875" customWidth="1"/>
    <col min="13" max="13" width="12.5546875" style="23" customWidth="1"/>
    <col min="14" max="14" width="8.5546875" customWidth="1"/>
    <col min="15" max="15" width="12.5546875" style="23" customWidth="1"/>
    <col min="16" max="16" width="8.5546875" customWidth="1"/>
    <col min="17" max="17" width="12.5546875" style="23" customWidth="1"/>
    <col min="18" max="18" width="8.5546875" customWidth="1"/>
    <col min="19" max="19" width="12.5546875" style="23" customWidth="1"/>
    <col min="20" max="20" width="8.5546875" customWidth="1"/>
    <col min="21" max="21" width="12.5546875" customWidth="1"/>
    <col min="22" max="22" width="8.5546875" customWidth="1"/>
    <col min="23" max="23" width="12.5546875" style="23" customWidth="1"/>
    <col min="24" max="24" width="8.5546875" customWidth="1"/>
    <col min="25" max="25" width="12.5546875" style="23" customWidth="1"/>
    <col min="26" max="26" width="8.5546875" customWidth="1"/>
    <col min="27" max="27" width="12.5546875" style="23" customWidth="1"/>
    <col min="28" max="28" width="8.5546875" customWidth="1"/>
    <col min="29" max="29" width="12.5546875" style="23" customWidth="1"/>
    <col min="30" max="30" width="8.5546875" customWidth="1"/>
    <col min="31" max="31" width="12.5546875" style="23" customWidth="1"/>
    <col min="32" max="32" width="8.5546875" customWidth="1"/>
    <col min="33" max="33" width="12.5546875" style="23" customWidth="1"/>
    <col min="34" max="34" width="8.5546875" customWidth="1"/>
    <col min="35" max="35" width="12.5546875" style="23" customWidth="1"/>
    <col min="36" max="36" width="8.5546875" customWidth="1"/>
    <col min="37" max="37" width="12.5546875" style="23" customWidth="1"/>
    <col min="38" max="38" width="8.5546875" customWidth="1"/>
    <col min="39" max="39" width="12.5546875" style="23" customWidth="1"/>
    <col min="40" max="40" width="8.5546875" customWidth="1"/>
    <col min="41" max="41" width="15.5546875" style="23" customWidth="1"/>
    <col min="42" max="42" width="8.5546875" customWidth="1"/>
    <col min="43" max="43" width="15.5546875" style="23" customWidth="1"/>
    <col min="44" max="44" width="8.5546875" customWidth="1"/>
    <col min="45" max="45" width="15.6640625" style="23" customWidth="1"/>
    <col min="46" max="46" width="8.5546875" customWidth="1"/>
    <col min="47" max="47" width="15.5546875" style="23" customWidth="1"/>
    <col min="48" max="48" width="8.5546875" customWidth="1"/>
    <col min="49" max="50" width="13" hidden="1" customWidth="1"/>
  </cols>
  <sheetData>
    <row r="1" spans="1:50" x14ac:dyDescent="0.3">
      <c r="A1" s="40" t="s">
        <v>0</v>
      </c>
      <c r="B1" s="40" t="s">
        <v>1</v>
      </c>
      <c r="C1" s="40" t="s">
        <v>2</v>
      </c>
      <c r="D1" s="40" t="s">
        <v>3</v>
      </c>
      <c r="E1" s="37" t="s">
        <v>4</v>
      </c>
      <c r="F1" s="39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324</v>
      </c>
      <c r="AT1" s="39"/>
      <c r="AU1" s="37" t="s">
        <v>24</v>
      </c>
      <c r="AV1" s="39"/>
      <c r="AW1" s="2" t="s">
        <v>25</v>
      </c>
      <c r="AX1" s="2" t="s">
        <v>26</v>
      </c>
    </row>
    <row r="2" spans="1:50" x14ac:dyDescent="0.3">
      <c r="A2" s="41"/>
      <c r="B2" s="42"/>
      <c r="C2" s="41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38" t="s">
        <v>29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4"/>
      <c r="AW3" s="7"/>
      <c r="AX3" s="7"/>
    </row>
    <row r="4" spans="1:50" ht="20.100000000000001" customHeight="1" x14ac:dyDescent="0.3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00000000000001" customHeight="1" x14ac:dyDescent="0.3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00000000000001" customHeight="1" x14ac:dyDescent="0.3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00000000000001" customHeight="1" x14ac:dyDescent="0.3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8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00000000000001" customHeight="1" x14ac:dyDescent="0.3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00000000000001" customHeight="1" x14ac:dyDescent="0.3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">
      <c r="A31" s="9">
        <v>1.875</v>
      </c>
      <c r="B31" s="18" t="s">
        <v>89</v>
      </c>
      <c r="C31" s="10"/>
      <c r="D31" s="1" t="s">
        <v>90</v>
      </c>
      <c r="E31" s="10" t="s">
        <v>33</v>
      </c>
      <c r="F31" s="11" t="str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/>
      </c>
      <c r="G31" s="10" t="s">
        <v>36</v>
      </c>
      <c r="H31" s="11" t="str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/>
      </c>
      <c r="I31" s="10" t="s">
        <v>36</v>
      </c>
      <c r="J31" s="11" t="str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/>
      </c>
      <c r="K31" s="10" t="s">
        <v>91</v>
      </c>
      <c r="L31" s="11" t="str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/>
      </c>
      <c r="M31" s="10" t="s">
        <v>61</v>
      </c>
      <c r="N31" s="11" t="str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/>
      </c>
      <c r="O31" s="10" t="s">
        <v>36</v>
      </c>
      <c r="P31" s="11" t="str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/>
      </c>
      <c r="Q31" s="10" t="s">
        <v>38</v>
      </c>
      <c r="R31" s="11" t="str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/>
      </c>
      <c r="S31" s="10" t="s">
        <v>63</v>
      </c>
      <c r="T31" s="11" t="str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/>
      </c>
      <c r="U31" s="10" t="s">
        <v>33</v>
      </c>
      <c r="V31" s="11" t="str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/>
      </c>
      <c r="W31" s="10" t="s">
        <v>33</v>
      </c>
      <c r="X31" s="11" t="str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/>
      </c>
      <c r="Y31" s="10" t="s">
        <v>33</v>
      </c>
      <c r="Z31" s="11" t="str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/>
      </c>
      <c r="AA31" s="10" t="s">
        <v>61</v>
      </c>
      <c r="AB31" s="11" t="str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/>
      </c>
      <c r="AC31" s="10" t="s">
        <v>91</v>
      </c>
      <c r="AD31" s="11" t="str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/>
      </c>
      <c r="AE31" s="10" t="s">
        <v>34</v>
      </c>
      <c r="AF31" s="11" t="str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/>
      </c>
      <c r="AG31" s="10" t="s">
        <v>34</v>
      </c>
      <c r="AH31" s="11" t="str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/>
      </c>
      <c r="AI31" s="10" t="s">
        <v>38</v>
      </c>
      <c r="AJ31" s="11" t="str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/>
      </c>
      <c r="AK31" s="10" t="s">
        <v>34</v>
      </c>
      <c r="AL31" s="11" t="str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/>
      </c>
      <c r="AM31" s="10" t="s">
        <v>61</v>
      </c>
      <c r="AN31" s="11" t="str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/>
      </c>
      <c r="AO31" s="10" t="s">
        <v>34</v>
      </c>
      <c r="AP31" s="11" t="str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/>
      </c>
      <c r="AQ31" s="10" t="s">
        <v>43</v>
      </c>
      <c r="AR31" s="11" t="str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/>
      </c>
      <c r="AS31" s="10" t="s">
        <v>36</v>
      </c>
      <c r="AT31" s="11" t="str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/>
      </c>
      <c r="AU31" s="10" t="s">
        <v>33</v>
      </c>
      <c r="AV31" s="11" t="str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/>
      </c>
      <c r="AW31" s="11" t="str">
        <f>IF($C31="","",IFERROR(--LEFT($C31,FIND("-",$C31)-1),""))</f>
        <v/>
      </c>
      <c r="AX31" s="11" t="str">
        <f>IF($C31="","",IFERROR(--MID($C31,FIND("-",$C31)+1,99),""))</f>
        <v/>
      </c>
    </row>
    <row r="32" spans="1:50" ht="18" customHeight="1" x14ac:dyDescent="0.3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00000000000001" customHeight="1" x14ac:dyDescent="0.3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">
      <c r="A34" s="9">
        <v>1</v>
      </c>
      <c r="B34" s="18" t="s">
        <v>93</v>
      </c>
      <c r="C34" s="10"/>
      <c r="D34" s="1" t="s">
        <v>94</v>
      </c>
      <c r="E34" s="10" t="s">
        <v>48</v>
      </c>
      <c r="F34" s="11" t="str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/>
      </c>
      <c r="G34" s="10" t="s">
        <v>57</v>
      </c>
      <c r="H34" s="11" t="str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/>
      </c>
      <c r="I34" s="10" t="s">
        <v>48</v>
      </c>
      <c r="J34" s="11" t="str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/>
      </c>
      <c r="K34" s="10" t="s">
        <v>48</v>
      </c>
      <c r="L34" s="11" t="str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/>
      </c>
      <c r="M34" s="10" t="s">
        <v>48</v>
      </c>
      <c r="N34" s="11" t="str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/>
      </c>
      <c r="O34" s="10" t="s">
        <v>56</v>
      </c>
      <c r="P34" s="11" t="str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/>
      </c>
      <c r="Q34" s="10" t="s">
        <v>57</v>
      </c>
      <c r="R34" s="11" t="str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/>
      </c>
      <c r="S34" s="10" t="s">
        <v>37</v>
      </c>
      <c r="T34" s="11" t="str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/>
      </c>
      <c r="U34" s="10" t="s">
        <v>48</v>
      </c>
      <c r="V34" s="11" t="str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/>
      </c>
      <c r="W34" s="10" t="s">
        <v>48</v>
      </c>
      <c r="X34" s="11" t="str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/>
      </c>
      <c r="Y34" s="10" t="s">
        <v>48</v>
      </c>
      <c r="Z34" s="11" t="str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/>
      </c>
      <c r="AA34" s="10" t="s">
        <v>48</v>
      </c>
      <c r="AB34" s="11" t="str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/>
      </c>
      <c r="AC34" s="10" t="s">
        <v>37</v>
      </c>
      <c r="AD34" s="11" t="str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/>
      </c>
      <c r="AE34" s="10" t="s">
        <v>45</v>
      </c>
      <c r="AF34" s="11" t="str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/>
      </c>
      <c r="AG34" s="10" t="s">
        <v>37</v>
      </c>
      <c r="AH34" s="11" t="str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/>
      </c>
      <c r="AI34" s="10" t="s">
        <v>48</v>
      </c>
      <c r="AJ34" s="11" t="str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/>
      </c>
      <c r="AK34" s="10" t="s">
        <v>57</v>
      </c>
      <c r="AL34" s="11" t="str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/>
      </c>
      <c r="AM34" s="10" t="s">
        <v>48</v>
      </c>
      <c r="AN34" s="11" t="str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/>
      </c>
      <c r="AO34" s="10" t="s">
        <v>35</v>
      </c>
      <c r="AP34" s="11" t="str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/>
      </c>
      <c r="AQ34" s="10" t="s">
        <v>35</v>
      </c>
      <c r="AR34" s="11" t="str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/>
      </c>
      <c r="AS34" s="10" t="s">
        <v>57</v>
      </c>
      <c r="AT34" s="11" t="str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/>
      </c>
      <c r="AU34" s="10" t="s">
        <v>45</v>
      </c>
      <c r="AV34" s="11" t="str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/>
      </c>
      <c r="AW34" s="11" t="str">
        <f>IF($C34="","",IFERROR(--LEFT($C34,FIND("-",$C34)-1),""))</f>
        <v/>
      </c>
      <c r="AX34" s="11" t="str">
        <f>IF($C34="","",IFERROR(--MID($C34,FIND("-",$C34)+1,99),""))</f>
        <v/>
      </c>
    </row>
    <row r="35" spans="1:50" ht="18" customHeight="1" x14ac:dyDescent="0.3">
      <c r="A35" s="9">
        <v>1.125</v>
      </c>
      <c r="B35" s="18" t="s">
        <v>95</v>
      </c>
      <c r="C35" s="10"/>
      <c r="D35" s="1" t="s">
        <v>96</v>
      </c>
      <c r="E35" s="10" t="s">
        <v>34</v>
      </c>
      <c r="F35" s="11" t="str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/>
      </c>
      <c r="G35" s="10" t="s">
        <v>33</v>
      </c>
      <c r="H35" s="11" t="str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/>
      </c>
      <c r="I35" s="10" t="s">
        <v>38</v>
      </c>
      <c r="J35" s="11" t="str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/>
      </c>
      <c r="K35" s="10" t="s">
        <v>33</v>
      </c>
      <c r="L35" s="11" t="str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/>
      </c>
      <c r="M35" s="10" t="s">
        <v>34</v>
      </c>
      <c r="N35" s="11" t="str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/>
      </c>
      <c r="O35" s="10" t="s">
        <v>38</v>
      </c>
      <c r="P35" s="11" t="str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/>
      </c>
      <c r="Q35" s="10" t="s">
        <v>33</v>
      </c>
      <c r="R35" s="11" t="str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/>
      </c>
      <c r="S35" s="10" t="s">
        <v>43</v>
      </c>
      <c r="T35" s="11" t="str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/>
      </c>
      <c r="U35" s="10" t="s">
        <v>36</v>
      </c>
      <c r="V35" s="11" t="str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/>
      </c>
      <c r="W35" s="10" t="s">
        <v>36</v>
      </c>
      <c r="X35" s="11" t="str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/>
      </c>
      <c r="Y35" s="10" t="s">
        <v>36</v>
      </c>
      <c r="Z35" s="11" t="str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/>
      </c>
      <c r="AA35" s="10" t="s">
        <v>34</v>
      </c>
      <c r="AB35" s="11" t="str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/>
      </c>
      <c r="AC35" s="10" t="s">
        <v>34</v>
      </c>
      <c r="AD35" s="11" t="str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/>
      </c>
      <c r="AE35" s="10" t="s">
        <v>38</v>
      </c>
      <c r="AF35" s="11" t="str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/>
      </c>
      <c r="AG35" s="10" t="s">
        <v>34</v>
      </c>
      <c r="AH35" s="11" t="str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/>
      </c>
      <c r="AI35" s="10" t="s">
        <v>33</v>
      </c>
      <c r="AJ35" s="11" t="str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/>
      </c>
      <c r="AK35" s="10" t="s">
        <v>36</v>
      </c>
      <c r="AL35" s="11" t="str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/>
      </c>
      <c r="AM35" s="10" t="s">
        <v>39</v>
      </c>
      <c r="AN35" s="11" t="str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/>
      </c>
      <c r="AO35" s="10" t="s">
        <v>33</v>
      </c>
      <c r="AP35" s="11" t="str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/>
      </c>
      <c r="AQ35" s="10" t="s">
        <v>33</v>
      </c>
      <c r="AR35" s="11" t="str">
        <f t="shared" si="2"/>
        <v/>
      </c>
      <c r="AS35" s="10" t="s">
        <v>39</v>
      </c>
      <c r="AT35" s="11" t="str">
        <f t="shared" si="3"/>
        <v/>
      </c>
      <c r="AU35" s="10" t="s">
        <v>36</v>
      </c>
      <c r="AV35" s="11" t="str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/>
      </c>
      <c r="AW35" s="11" t="str">
        <f>IF($C35="","",IFERROR(--LEFT($C35,FIND("-",$C35)-1),""))</f>
        <v/>
      </c>
      <c r="AX35" s="11" t="str">
        <f>IF($C35="","",IFERROR(--MID($C35,FIND("-",$C35)+1,99),""))</f>
        <v/>
      </c>
    </row>
    <row r="36" spans="1:50" ht="18" customHeight="1" x14ac:dyDescent="0.3">
      <c r="A36" s="9">
        <v>1.25</v>
      </c>
      <c r="B36" s="18" t="s">
        <v>97</v>
      </c>
      <c r="C36" s="10"/>
      <c r="D36" s="1" t="s">
        <v>98</v>
      </c>
      <c r="E36" s="10" t="s">
        <v>36</v>
      </c>
      <c r="F36" s="11" t="str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/>
      </c>
      <c r="G36" s="10" t="s">
        <v>33</v>
      </c>
      <c r="H36" s="11" t="str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/>
      </c>
      <c r="I36" s="10" t="s">
        <v>37</v>
      </c>
      <c r="J36" s="11" t="str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/>
      </c>
      <c r="K36" s="10" t="s">
        <v>35</v>
      </c>
      <c r="L36" s="11" t="str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/>
      </c>
      <c r="M36" s="10" t="s">
        <v>35</v>
      </c>
      <c r="N36" s="11" t="str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/>
      </c>
      <c r="O36" s="10" t="s">
        <v>36</v>
      </c>
      <c r="P36" s="11" t="str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/>
      </c>
      <c r="Q36" s="10" t="s">
        <v>36</v>
      </c>
      <c r="R36" s="11" t="str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/>
      </c>
      <c r="S36" s="10" t="s">
        <v>49</v>
      </c>
      <c r="T36" s="11" t="str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/>
      </c>
      <c r="U36" s="10" t="s">
        <v>36</v>
      </c>
      <c r="V36" s="11" t="str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/>
      </c>
      <c r="W36" s="10" t="s">
        <v>36</v>
      </c>
      <c r="X36" s="11" t="str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/>
      </c>
      <c r="Y36" s="10" t="s">
        <v>36</v>
      </c>
      <c r="Z36" s="11" t="str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/>
      </c>
      <c r="AA36" s="10" t="s">
        <v>36</v>
      </c>
      <c r="AB36" s="11" t="str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/>
      </c>
      <c r="AC36" s="10" t="s">
        <v>61</v>
      </c>
      <c r="AD36" s="11" t="str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/>
      </c>
      <c r="AE36" s="10" t="s">
        <v>36</v>
      </c>
      <c r="AF36" s="11" t="str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/>
      </c>
      <c r="AG36" s="10" t="s">
        <v>39</v>
      </c>
      <c r="AH36" s="11" t="str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/>
      </c>
      <c r="AI36" s="10" t="s">
        <v>38</v>
      </c>
      <c r="AJ36" s="11" t="str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/>
      </c>
      <c r="AK36" s="10" t="s">
        <v>36</v>
      </c>
      <c r="AL36" s="11" t="str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/>
      </c>
      <c r="AM36" s="10" t="s">
        <v>35</v>
      </c>
      <c r="AN36" s="11" t="str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/>
      </c>
      <c r="AO36" s="10" t="s">
        <v>36</v>
      </c>
      <c r="AP36" s="11" t="str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/>
      </c>
      <c r="AQ36" s="10" t="s">
        <v>37</v>
      </c>
      <c r="AR36" s="11" t="str">
        <f t="shared" si="2"/>
        <v/>
      </c>
      <c r="AS36" s="10" t="s">
        <v>39</v>
      </c>
      <c r="AT36" s="11" t="str">
        <f t="shared" si="3"/>
        <v/>
      </c>
      <c r="AU36" s="10" t="s">
        <v>38</v>
      </c>
      <c r="AV36" s="11" t="str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/>
      </c>
      <c r="AW36" s="11" t="str">
        <f>IF($C36="","",IFERROR(--LEFT($C36,FIND("-",$C36)-1),""))</f>
        <v/>
      </c>
      <c r="AX36" s="11" t="str">
        <f>IF($C36="","",IFERROR(--MID($C36,FIND("-",$C36)+1,99),""))</f>
        <v/>
      </c>
    </row>
    <row r="37" spans="1:50" ht="18" customHeight="1" x14ac:dyDescent="0.3">
      <c r="A37" s="9">
        <v>1.791666666666667</v>
      </c>
      <c r="B37" s="18" t="s">
        <v>99</v>
      </c>
      <c r="C37" s="10"/>
      <c r="D37" s="1" t="s">
        <v>100</v>
      </c>
      <c r="E37" s="10" t="s">
        <v>38</v>
      </c>
      <c r="F37" s="11" t="str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/>
      </c>
      <c r="G37" s="10" t="s">
        <v>62</v>
      </c>
      <c r="H37" s="11" t="str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/>
      </c>
      <c r="I37" s="10" t="s">
        <v>38</v>
      </c>
      <c r="J37" s="11" t="str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/>
      </c>
      <c r="K37" s="10" t="s">
        <v>34</v>
      </c>
      <c r="L37" s="11" t="str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/>
      </c>
      <c r="M37" s="10" t="s">
        <v>38</v>
      </c>
      <c r="N37" s="11" t="str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/>
      </c>
      <c r="O37" s="10" t="s">
        <v>63</v>
      </c>
      <c r="P37" s="11" t="str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/>
      </c>
      <c r="Q37" s="10" t="s">
        <v>38</v>
      </c>
      <c r="R37" s="11" t="str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/>
      </c>
      <c r="S37" s="10" t="s">
        <v>43</v>
      </c>
      <c r="T37" s="11" t="str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/>
      </c>
      <c r="U37" s="10" t="s">
        <v>36</v>
      </c>
      <c r="V37" s="11" t="str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/>
      </c>
      <c r="W37" s="10" t="s">
        <v>36</v>
      </c>
      <c r="X37" s="11" t="str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/>
      </c>
      <c r="Y37" s="10" t="s">
        <v>36</v>
      </c>
      <c r="Z37" s="11" t="str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/>
      </c>
      <c r="AA37" s="10" t="s">
        <v>72</v>
      </c>
      <c r="AB37" s="11" t="str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/>
      </c>
      <c r="AC37" s="10" t="s">
        <v>36</v>
      </c>
      <c r="AD37" s="11" t="str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/>
      </c>
      <c r="AE37" s="10" t="s">
        <v>34</v>
      </c>
      <c r="AF37" s="11" t="str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/>
      </c>
      <c r="AG37" s="10" t="s">
        <v>34</v>
      </c>
      <c r="AH37" s="11" t="str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/>
      </c>
      <c r="AI37" s="10" t="s">
        <v>36</v>
      </c>
      <c r="AJ37" s="11" t="str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/>
      </c>
      <c r="AK37" s="10" t="s">
        <v>34</v>
      </c>
      <c r="AL37" s="11" t="str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/>
      </c>
      <c r="AM37" s="10" t="s">
        <v>36</v>
      </c>
      <c r="AN37" s="11" t="str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/>
      </c>
      <c r="AO37" s="10" t="s">
        <v>38</v>
      </c>
      <c r="AP37" s="11" t="str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/>
      </c>
      <c r="AQ37" s="10" t="s">
        <v>39</v>
      </c>
      <c r="AR37" s="11" t="str">
        <f t="shared" si="2"/>
        <v/>
      </c>
      <c r="AS37" s="10" t="s">
        <v>39</v>
      </c>
      <c r="AT37" s="11" t="str">
        <f t="shared" si="3"/>
        <v/>
      </c>
      <c r="AU37" s="10" t="s">
        <v>43</v>
      </c>
      <c r="AV37" s="11" t="str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/>
      </c>
      <c r="AW37" s="11" t="str">
        <f>IF($C37="","",IFERROR(--LEFT($C37,FIND("-",$C37)-1),""))</f>
        <v/>
      </c>
      <c r="AX37" s="11" t="str">
        <f>IF($C37="","",IFERROR(--MID($C37,FIND("-",$C37)+1,99),""))</f>
        <v/>
      </c>
    </row>
    <row r="38" spans="1:50" ht="18" customHeight="1" x14ac:dyDescent="0.3">
      <c r="A38" s="9">
        <v>1.916666666666667</v>
      </c>
      <c r="B38" s="18" t="s">
        <v>101</v>
      </c>
      <c r="C38" s="10"/>
      <c r="D38" s="1" t="s">
        <v>102</v>
      </c>
      <c r="E38" s="10" t="s">
        <v>35</v>
      </c>
      <c r="F38" s="11" t="str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/>
      </c>
      <c r="G38" s="10" t="s">
        <v>49</v>
      </c>
      <c r="H38" s="11" t="str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/>
      </c>
      <c r="I38" s="10" t="s">
        <v>33</v>
      </c>
      <c r="J38" s="11" t="str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/>
      </c>
      <c r="K38" s="10" t="s">
        <v>61</v>
      </c>
      <c r="L38" s="11" t="str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/>
      </c>
      <c r="M38" s="10" t="s">
        <v>49</v>
      </c>
      <c r="N38" s="11" t="str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/>
      </c>
      <c r="O38" s="10" t="s">
        <v>33</v>
      </c>
      <c r="P38" s="11" t="str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/>
      </c>
      <c r="Q38" s="10" t="s">
        <v>49</v>
      </c>
      <c r="R38" s="11" t="str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/>
      </c>
      <c r="S38" s="10" t="s">
        <v>63</v>
      </c>
      <c r="T38" s="11" t="str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/>
      </c>
      <c r="U38" s="10" t="s">
        <v>35</v>
      </c>
      <c r="V38" s="11" t="str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/>
      </c>
      <c r="W38" s="10" t="s">
        <v>35</v>
      </c>
      <c r="X38" s="11" t="str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/>
      </c>
      <c r="Y38" s="10" t="s">
        <v>35</v>
      </c>
      <c r="Z38" s="11" t="str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/>
      </c>
      <c r="AA38" s="10" t="s">
        <v>34</v>
      </c>
      <c r="AB38" s="11" t="str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/>
      </c>
      <c r="AC38" s="10" t="s">
        <v>38</v>
      </c>
      <c r="AD38" s="11" t="str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/>
      </c>
      <c r="AE38" s="10" t="s">
        <v>33</v>
      </c>
      <c r="AF38" s="11" t="str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/>
      </c>
      <c r="AG38" s="10" t="s">
        <v>33</v>
      </c>
      <c r="AH38" s="11" t="str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/>
      </c>
      <c r="AI38" s="10" t="s">
        <v>33</v>
      </c>
      <c r="AJ38" s="11" t="str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/>
      </c>
      <c r="AK38" s="10" t="s">
        <v>33</v>
      </c>
      <c r="AL38" s="11" t="str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/>
      </c>
      <c r="AM38" s="10" t="s">
        <v>33</v>
      </c>
      <c r="AN38" s="11" t="str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/>
      </c>
      <c r="AO38" s="10" t="s">
        <v>49</v>
      </c>
      <c r="AP38" s="11" t="str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/>
      </c>
      <c r="AQ38" s="10" t="s">
        <v>61</v>
      </c>
      <c r="AR38" s="11" t="str">
        <f t="shared" si="2"/>
        <v/>
      </c>
      <c r="AS38" s="10" t="s">
        <v>39</v>
      </c>
      <c r="AT38" s="11" t="str">
        <f t="shared" si="3"/>
        <v/>
      </c>
      <c r="AU38" s="10" t="s">
        <v>49</v>
      </c>
      <c r="AV38" s="11" t="str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/>
      </c>
      <c r="AW38" s="11" t="str">
        <f>IF($C38="","",IFERROR(--LEFT($C38,FIND("-",$C38)-1),""))</f>
        <v/>
      </c>
      <c r="AX38" s="11" t="str">
        <f>IF($C38="","",IFERROR(--MID($C38,FIND("-",$C38)+1,99),""))</f>
        <v/>
      </c>
    </row>
    <row r="39" spans="1:50" ht="18" customHeight="1" x14ac:dyDescent="0.3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00000000000001" customHeight="1" x14ac:dyDescent="0.3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">
      <c r="A41" s="9">
        <v>1.041666666666667</v>
      </c>
      <c r="B41" s="18" t="s">
        <v>104</v>
      </c>
      <c r="C41" s="10"/>
      <c r="D41" s="1" t="s">
        <v>105</v>
      </c>
      <c r="E41" s="10" t="s">
        <v>36</v>
      </c>
      <c r="F41" s="11" t="str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/>
      </c>
      <c r="G41" s="10" t="s">
        <v>106</v>
      </c>
      <c r="H41" s="11" t="str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/>
      </c>
      <c r="I41" s="10" t="s">
        <v>39</v>
      </c>
      <c r="J41" s="11" t="str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/>
      </c>
      <c r="K41" s="10" t="s">
        <v>49</v>
      </c>
      <c r="L41" s="11" t="str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/>
      </c>
      <c r="M41" s="10" t="s">
        <v>36</v>
      </c>
      <c r="N41" s="11" t="str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/>
      </c>
      <c r="O41" s="10" t="s">
        <v>38</v>
      </c>
      <c r="P41" s="11" t="str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/>
      </c>
      <c r="Q41" s="10" t="s">
        <v>35</v>
      </c>
      <c r="R41" s="11" t="str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/>
      </c>
      <c r="S41" s="10" t="s">
        <v>49</v>
      </c>
      <c r="T41" s="11" t="str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/>
      </c>
      <c r="U41" s="10" t="s">
        <v>33</v>
      </c>
      <c r="V41" s="11" t="str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/>
      </c>
      <c r="W41" s="10" t="s">
        <v>36</v>
      </c>
      <c r="X41" s="11" t="str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/>
      </c>
      <c r="Y41" s="10" t="s">
        <v>36</v>
      </c>
      <c r="Z41" s="11" t="str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/>
      </c>
      <c r="AA41" s="10" t="s">
        <v>39</v>
      </c>
      <c r="AB41" s="11" t="str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/>
      </c>
      <c r="AC41" s="10" t="s">
        <v>49</v>
      </c>
      <c r="AD41" s="11" t="str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/>
      </c>
      <c r="AE41" s="10" t="s">
        <v>33</v>
      </c>
      <c r="AF41" s="11" t="str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/>
      </c>
      <c r="AG41" s="10" t="s">
        <v>45</v>
      </c>
      <c r="AH41" s="11" t="str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/>
      </c>
      <c r="AI41" s="10" t="s">
        <v>39</v>
      </c>
      <c r="AJ41" s="11" t="str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/>
      </c>
      <c r="AK41" s="10" t="s">
        <v>36</v>
      </c>
      <c r="AL41" s="11" t="str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/>
      </c>
      <c r="AM41" s="10" t="s">
        <v>36</v>
      </c>
      <c r="AN41" s="11" t="str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/>
      </c>
      <c r="AO41" s="10" t="s">
        <v>39</v>
      </c>
      <c r="AP41" s="11" t="str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/>
      </c>
      <c r="AQ41" s="10" t="s">
        <v>37</v>
      </c>
      <c r="AR41" s="11" t="str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/>
      </c>
      <c r="AS41" s="10" t="s">
        <v>49</v>
      </c>
      <c r="AT41" s="11" t="str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/>
      </c>
      <c r="AU41" s="10" t="s">
        <v>39</v>
      </c>
      <c r="AV41" s="11" t="str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/>
      </c>
      <c r="AW41" s="11" t="str">
        <f>IF($C41="","",IFERROR(--LEFT($C41,FIND("-",$C41)-1),""))</f>
        <v/>
      </c>
      <c r="AX41" s="11" t="str">
        <f>IF($C41="","",IFERROR(--MID($C41,FIND("-",$C41)+1,99),""))</f>
        <v/>
      </c>
    </row>
    <row r="42" spans="1:50" ht="18" customHeight="1" x14ac:dyDescent="0.3">
      <c r="A42" s="9">
        <v>1.166666666666667</v>
      </c>
      <c r="B42" s="18" t="s">
        <v>107</v>
      </c>
      <c r="C42" s="10"/>
      <c r="D42" s="1" t="s">
        <v>108</v>
      </c>
      <c r="E42" s="10" t="s">
        <v>37</v>
      </c>
      <c r="F42" s="11" t="str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/>
      </c>
      <c r="G42" s="10" t="s">
        <v>37</v>
      </c>
      <c r="H42" s="11" t="str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/>
      </c>
      <c r="I42" s="10" t="s">
        <v>35</v>
      </c>
      <c r="J42" s="11" t="str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/>
      </c>
      <c r="K42" s="10" t="s">
        <v>33</v>
      </c>
      <c r="L42" s="11" t="str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/>
      </c>
      <c r="M42" s="10" t="s">
        <v>57</v>
      </c>
      <c r="N42" s="11" t="str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/>
      </c>
      <c r="O42" s="10" t="s">
        <v>56</v>
      </c>
      <c r="P42" s="11" t="str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/>
      </c>
      <c r="Q42" s="10" t="s">
        <v>109</v>
      </c>
      <c r="R42" s="11" t="str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/>
      </c>
      <c r="S42" s="10" t="s">
        <v>35</v>
      </c>
      <c r="T42" s="11" t="str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/>
      </c>
      <c r="U42" s="10" t="s">
        <v>45</v>
      </c>
      <c r="V42" s="11" t="str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/>
      </c>
      <c r="W42" s="10" t="s">
        <v>48</v>
      </c>
      <c r="X42" s="11" t="str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/>
      </c>
      <c r="Y42" s="10" t="s">
        <v>37</v>
      </c>
      <c r="Z42" s="11" t="str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/>
      </c>
      <c r="AA42" s="10" t="s">
        <v>35</v>
      </c>
      <c r="AB42" s="11" t="str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/>
      </c>
      <c r="AC42" s="10" t="s">
        <v>33</v>
      </c>
      <c r="AD42" s="11" t="str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/>
      </c>
      <c r="AE42" s="10" t="s">
        <v>48</v>
      </c>
      <c r="AF42" s="11" t="str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/>
      </c>
      <c r="AG42" s="10" t="s">
        <v>37</v>
      </c>
      <c r="AH42" s="11" t="str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/>
      </c>
      <c r="AI42" s="10" t="s">
        <v>48</v>
      </c>
      <c r="AJ42" s="11" t="str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/>
      </c>
      <c r="AK42" s="10" t="s">
        <v>48</v>
      </c>
      <c r="AL42" s="11" t="str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/>
      </c>
      <c r="AM42" s="10" t="s">
        <v>35</v>
      </c>
      <c r="AN42" s="11" t="str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/>
      </c>
      <c r="AO42" s="10" t="s">
        <v>37</v>
      </c>
      <c r="AP42" s="11" t="str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/>
      </c>
      <c r="AQ42" s="10" t="s">
        <v>35</v>
      </c>
      <c r="AR42" s="11" t="str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/>
      </c>
      <c r="AS42" s="10" t="s">
        <v>39</v>
      </c>
      <c r="AT42" s="11" t="str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/>
      </c>
      <c r="AU42" s="10" t="s">
        <v>37</v>
      </c>
      <c r="AV42" s="11" t="str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/>
      </c>
      <c r="AW42" s="11" t="str">
        <f>IF($C42="","",IFERROR(--LEFT($C42,FIND("-",$C42)-1),""))</f>
        <v/>
      </c>
      <c r="AX42" s="11" t="str">
        <f>IF($C42="","",IFERROR(--MID($C42,FIND("-",$C42)+1,99),""))</f>
        <v/>
      </c>
    </row>
    <row r="43" spans="1:50" ht="18" customHeight="1" x14ac:dyDescent="0.3">
      <c r="A43" s="9">
        <v>1.75</v>
      </c>
      <c r="B43" s="18" t="s">
        <v>42</v>
      </c>
      <c r="C43" s="10"/>
      <c r="D43" s="1" t="s">
        <v>32</v>
      </c>
      <c r="E43" s="10" t="s">
        <v>36</v>
      </c>
      <c r="F43" s="11" t="str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/>
      </c>
      <c r="G43" s="10" t="s">
        <v>35</v>
      </c>
      <c r="H43" s="11" t="str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/>
      </c>
      <c r="I43" s="10" t="s">
        <v>33</v>
      </c>
      <c r="J43" s="11" t="str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/>
      </c>
      <c r="K43" s="10" t="s">
        <v>37</v>
      </c>
      <c r="L43" s="11" t="str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/>
      </c>
      <c r="M43" s="10" t="s">
        <v>33</v>
      </c>
      <c r="N43" s="11" t="str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/>
      </c>
      <c r="O43" s="10" t="s">
        <v>33</v>
      </c>
      <c r="P43" s="11" t="str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/>
      </c>
      <c r="Q43" s="10" t="s">
        <v>33</v>
      </c>
      <c r="R43" s="11" t="str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/>
      </c>
      <c r="S43" s="10" t="s">
        <v>35</v>
      </c>
      <c r="T43" s="11" t="str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/>
      </c>
      <c r="U43" s="10" t="s">
        <v>36</v>
      </c>
      <c r="V43" s="11" t="str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/>
      </c>
      <c r="W43" s="10" t="s">
        <v>33</v>
      </c>
      <c r="X43" s="11" t="str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/>
      </c>
      <c r="Y43" s="10" t="s">
        <v>36</v>
      </c>
      <c r="Z43" s="11" t="str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/>
      </c>
      <c r="AA43" s="10" t="s">
        <v>49</v>
      </c>
      <c r="AB43" s="11" t="str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/>
      </c>
      <c r="AC43" s="10" t="s">
        <v>49</v>
      </c>
      <c r="AD43" s="11" t="str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/>
      </c>
      <c r="AE43" s="10" t="s">
        <v>36</v>
      </c>
      <c r="AF43" s="11" t="str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/>
      </c>
      <c r="AG43" s="10" t="s">
        <v>39</v>
      </c>
      <c r="AH43" s="11" t="str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/>
      </c>
      <c r="AI43" s="10" t="s">
        <v>36</v>
      </c>
      <c r="AJ43" s="11" t="str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/>
      </c>
      <c r="AK43" s="10" t="s">
        <v>39</v>
      </c>
      <c r="AL43" s="11" t="str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/>
      </c>
      <c r="AM43" s="10" t="s">
        <v>39</v>
      </c>
      <c r="AN43" s="11" t="str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/>
      </c>
      <c r="AO43" s="10" t="s">
        <v>50</v>
      </c>
      <c r="AP43" s="11" t="str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/>
      </c>
      <c r="AQ43" s="10" t="s">
        <v>37</v>
      </c>
      <c r="AR43" s="11" t="str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/>
      </c>
      <c r="AS43" s="10" t="s">
        <v>36</v>
      </c>
      <c r="AT43" s="11" t="str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/>
      </c>
      <c r="AU43" s="10" t="s">
        <v>36</v>
      </c>
      <c r="AV43" s="11" t="str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/>
      </c>
      <c r="AW43" s="11" t="str">
        <f>IF($C43="","",IFERROR(--LEFT($C43,FIND("-",$C43)-1),""))</f>
        <v/>
      </c>
      <c r="AX43" s="11" t="str">
        <f>IF($C43="","",IFERROR(--MID($C43,FIND("-",$C43)+1,99),""))</f>
        <v/>
      </c>
    </row>
    <row r="44" spans="1:50" ht="18" customHeight="1" x14ac:dyDescent="0.3">
      <c r="A44" s="9">
        <v>1.875</v>
      </c>
      <c r="B44" s="18" t="s">
        <v>55</v>
      </c>
      <c r="C44" s="10"/>
      <c r="D44" s="1" t="s">
        <v>47</v>
      </c>
      <c r="E44" s="10" t="s">
        <v>36</v>
      </c>
      <c r="F44" s="11" t="str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/>
      </c>
      <c r="G44" s="10" t="s">
        <v>45</v>
      </c>
      <c r="H44" s="11" t="str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/>
      </c>
      <c r="I44" s="10" t="s">
        <v>33</v>
      </c>
      <c r="J44" s="11" t="str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/>
      </c>
      <c r="K44" s="10" t="s">
        <v>33</v>
      </c>
      <c r="L44" s="11" t="str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/>
      </c>
      <c r="M44" s="10" t="s">
        <v>49</v>
      </c>
      <c r="N44" s="11" t="str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/>
      </c>
      <c r="O44" s="10" t="s">
        <v>36</v>
      </c>
      <c r="P44" s="11" t="str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/>
      </c>
      <c r="Q44" s="10" t="s">
        <v>49</v>
      </c>
      <c r="R44" s="11" t="str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/>
      </c>
      <c r="S44" s="10" t="s">
        <v>49</v>
      </c>
      <c r="T44" s="11" t="str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/>
      </c>
      <c r="U44" s="10" t="s">
        <v>33</v>
      </c>
      <c r="V44" s="11" t="str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/>
      </c>
      <c r="W44" s="10" t="s">
        <v>35</v>
      </c>
      <c r="X44" s="11" t="str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/>
      </c>
      <c r="Y44" s="10" t="s">
        <v>33</v>
      </c>
      <c r="Z44" s="11" t="str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/>
      </c>
      <c r="AA44" s="10" t="s">
        <v>37</v>
      </c>
      <c r="AB44" s="11" t="str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/>
      </c>
      <c r="AC44" s="10" t="s">
        <v>33</v>
      </c>
      <c r="AD44" s="11" t="str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/>
      </c>
      <c r="AE44" s="10" t="s">
        <v>33</v>
      </c>
      <c r="AF44" s="11" t="str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/>
      </c>
      <c r="AG44" s="10" t="s">
        <v>33</v>
      </c>
      <c r="AH44" s="11" t="str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/>
      </c>
      <c r="AI44" s="10" t="s">
        <v>39</v>
      </c>
      <c r="AJ44" s="11" t="str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/>
      </c>
      <c r="AK44" s="10" t="s">
        <v>39</v>
      </c>
      <c r="AL44" s="11" t="str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/>
      </c>
      <c r="AM44" s="10" t="s">
        <v>39</v>
      </c>
      <c r="AN44" s="11" t="str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/>
      </c>
      <c r="AO44" s="10" t="s">
        <v>39</v>
      </c>
      <c r="AP44" s="11" t="str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/>
      </c>
      <c r="AQ44" s="10" t="s">
        <v>33</v>
      </c>
      <c r="AR44" s="11" t="str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/>
      </c>
      <c r="AS44" s="10" t="s">
        <v>35</v>
      </c>
      <c r="AT44" s="11" t="str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/>
      </c>
      <c r="AU44" s="10" t="s">
        <v>39</v>
      </c>
      <c r="AV44" s="11" t="str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/>
      </c>
      <c r="AW44" s="11" t="str">
        <f>IF($C44="","",IFERROR(--LEFT($C44,FIND("-",$C44)-1),""))</f>
        <v/>
      </c>
      <c r="AX44" s="11" t="str">
        <f>IF($C44="","",IFERROR(--MID($C44,FIND("-",$C44)+1,99),""))</f>
        <v/>
      </c>
    </row>
    <row r="45" spans="1:50" ht="18" customHeight="1" x14ac:dyDescent="0.3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00000000000001" customHeight="1" x14ac:dyDescent="0.3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">
      <c r="A47" s="9">
        <v>1</v>
      </c>
      <c r="B47" s="18" t="s">
        <v>46</v>
      </c>
      <c r="C47" s="10"/>
      <c r="D47" s="1" t="s">
        <v>54</v>
      </c>
      <c r="E47" s="10" t="s">
        <v>33</v>
      </c>
      <c r="F47" s="11" t="str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/>
      </c>
      <c r="G47" s="10" t="s">
        <v>61</v>
      </c>
      <c r="H47" s="11" t="str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/>
      </c>
      <c r="I47" s="10" t="s">
        <v>39</v>
      </c>
      <c r="J47" s="11" t="str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/>
      </c>
      <c r="K47" s="10" t="s">
        <v>36</v>
      </c>
      <c r="L47" s="11" t="str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/>
      </c>
      <c r="M47" s="10" t="s">
        <v>36</v>
      </c>
      <c r="N47" s="11" t="str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/>
      </c>
      <c r="O47" s="10" t="s">
        <v>36</v>
      </c>
      <c r="P47" s="11" t="str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/>
      </c>
      <c r="Q47" s="10" t="s">
        <v>38</v>
      </c>
      <c r="R47" s="11" t="str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/>
      </c>
      <c r="S47" s="10" t="s">
        <v>37</v>
      </c>
      <c r="T47" s="11" t="str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/>
      </c>
      <c r="U47" s="10" t="s">
        <v>36</v>
      </c>
      <c r="V47" s="11" t="str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/>
      </c>
      <c r="W47" s="10" t="s">
        <v>33</v>
      </c>
      <c r="X47" s="11" t="str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/>
      </c>
      <c r="Y47" s="10" t="s">
        <v>38</v>
      </c>
      <c r="Z47" s="11" t="str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/>
      </c>
      <c r="AA47" s="10" t="s">
        <v>50</v>
      </c>
      <c r="AB47" s="11" t="str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/>
      </c>
      <c r="AC47" s="10" t="s">
        <v>33</v>
      </c>
      <c r="AD47" s="11" t="str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/>
      </c>
      <c r="AE47" s="10" t="s">
        <v>35</v>
      </c>
      <c r="AF47" s="11" t="str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/>
      </c>
      <c r="AG47" s="10" t="s">
        <v>34</v>
      </c>
      <c r="AH47" s="11" t="str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/>
      </c>
      <c r="AI47" s="10" t="s">
        <v>35</v>
      </c>
      <c r="AJ47" s="11" t="str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/>
      </c>
      <c r="AK47" s="10" t="s">
        <v>35</v>
      </c>
      <c r="AL47" s="11" t="str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/>
      </c>
      <c r="AM47" s="10" t="s">
        <v>49</v>
      </c>
      <c r="AN47" s="11" t="str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/>
      </c>
      <c r="AO47" s="10" t="s">
        <v>35</v>
      </c>
      <c r="AP47" s="11" t="str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/>
      </c>
      <c r="AQ47" s="10" t="s">
        <v>37</v>
      </c>
      <c r="AR47" s="11" t="str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/>
      </c>
      <c r="AS47" s="10" t="s">
        <v>50</v>
      </c>
      <c r="AT47" s="11" t="str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/>
      </c>
      <c r="AU47" s="10" t="s">
        <v>33</v>
      </c>
      <c r="AV47" s="11" t="str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/>
      </c>
      <c r="AW47" s="11" t="str">
        <f>IF($C47="","",IFERROR(--LEFT($C47,FIND("-",$C47)-1),""))</f>
        <v/>
      </c>
      <c r="AX47" s="11" t="str">
        <f>IF($C47="","",IFERROR(--MID($C47,FIND("-",$C47)+1,99),""))</f>
        <v/>
      </c>
    </row>
    <row r="48" spans="1:50" ht="18" customHeight="1" x14ac:dyDescent="0.3">
      <c r="A48" s="9">
        <v>1.125</v>
      </c>
      <c r="B48" s="18" t="s">
        <v>31</v>
      </c>
      <c r="C48" s="10"/>
      <c r="D48" s="1" t="s">
        <v>41</v>
      </c>
      <c r="E48" s="10" t="s">
        <v>39</v>
      </c>
      <c r="F48" s="11" t="str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/>
      </c>
      <c r="G48" s="10" t="s">
        <v>37</v>
      </c>
      <c r="H48" s="11" t="str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/>
      </c>
      <c r="I48" s="10" t="s">
        <v>33</v>
      </c>
      <c r="J48" s="11" t="str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/>
      </c>
      <c r="K48" s="10" t="s">
        <v>38</v>
      </c>
      <c r="L48" s="11" t="str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/>
      </c>
      <c r="M48" s="10" t="s">
        <v>49</v>
      </c>
      <c r="N48" s="11" t="str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/>
      </c>
      <c r="O48" s="10" t="s">
        <v>33</v>
      </c>
      <c r="P48" s="11" t="str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/>
      </c>
      <c r="Q48" s="10" t="s">
        <v>44</v>
      </c>
      <c r="R48" s="11" t="str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/>
      </c>
      <c r="S48" s="10" t="s">
        <v>38</v>
      </c>
      <c r="T48" s="11" t="str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/>
      </c>
      <c r="U48" s="10" t="s">
        <v>33</v>
      </c>
      <c r="V48" s="11" t="str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/>
      </c>
      <c r="W48" s="10" t="s">
        <v>35</v>
      </c>
      <c r="X48" s="11" t="str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/>
      </c>
      <c r="Y48" s="10" t="s">
        <v>33</v>
      </c>
      <c r="Z48" s="11" t="str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/>
      </c>
      <c r="AA48" s="10" t="s">
        <v>49</v>
      </c>
      <c r="AB48" s="11" t="str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/>
      </c>
      <c r="AC48" s="10" t="s">
        <v>33</v>
      </c>
      <c r="AD48" s="11" t="str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/>
      </c>
      <c r="AE48" s="10" t="s">
        <v>33</v>
      </c>
      <c r="AF48" s="11" t="str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/>
      </c>
      <c r="AG48" s="10" t="s">
        <v>39</v>
      </c>
      <c r="AH48" s="11" t="str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/>
      </c>
      <c r="AI48" s="10" t="s">
        <v>49</v>
      </c>
      <c r="AJ48" s="11" t="str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/>
      </c>
      <c r="AK48" s="10" t="s">
        <v>33</v>
      </c>
      <c r="AL48" s="11" t="str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/>
      </c>
      <c r="AM48" s="10" t="s">
        <v>61</v>
      </c>
      <c r="AN48" s="11" t="str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/>
      </c>
      <c r="AO48" s="10" t="s">
        <v>36</v>
      </c>
      <c r="AP48" s="11" t="str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/>
      </c>
      <c r="AQ48" s="10" t="s">
        <v>33</v>
      </c>
      <c r="AR48" s="11" t="str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/>
      </c>
      <c r="AS48" s="10" t="s">
        <v>49</v>
      </c>
      <c r="AT48" s="11" t="str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/>
      </c>
      <c r="AU48" s="10" t="s">
        <v>35</v>
      </c>
      <c r="AV48" s="11" t="str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/>
      </c>
      <c r="AW48" s="11" t="str">
        <f>IF($C48="","",IFERROR(--LEFT($C48,FIND("-",$C48)-1),""))</f>
        <v/>
      </c>
      <c r="AX48" s="11" t="str">
        <f>IF($C48="","",IFERROR(--MID($C48,FIND("-",$C48)+1,99),""))</f>
        <v/>
      </c>
    </row>
    <row r="49" spans="1:50" ht="18" customHeight="1" x14ac:dyDescent="0.3">
      <c r="A49" s="9">
        <v>1.875</v>
      </c>
      <c r="B49" s="18" t="s">
        <v>52</v>
      </c>
      <c r="C49" s="10"/>
      <c r="D49" s="1" t="s">
        <v>67</v>
      </c>
      <c r="E49" s="10" t="s">
        <v>33</v>
      </c>
      <c r="F49" s="11" t="str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/>
      </c>
      <c r="G49" s="10" t="s">
        <v>39</v>
      </c>
      <c r="H49" s="11" t="str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/>
      </c>
      <c r="I49" s="10" t="s">
        <v>39</v>
      </c>
      <c r="J49" s="11" t="str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/>
      </c>
      <c r="K49" s="10" t="s">
        <v>33</v>
      </c>
      <c r="L49" s="11" t="str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/>
      </c>
      <c r="M49" s="10" t="s">
        <v>37</v>
      </c>
      <c r="N49" s="11" t="str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/>
      </c>
      <c r="O49" s="10" t="s">
        <v>33</v>
      </c>
      <c r="P49" s="11" t="str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/>
      </c>
      <c r="Q49" s="10" t="s">
        <v>35</v>
      </c>
      <c r="R49" s="11" t="str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/>
      </c>
      <c r="S49" s="10" t="s">
        <v>34</v>
      </c>
      <c r="T49" s="11" t="str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/>
      </c>
      <c r="U49" s="10" t="s">
        <v>36</v>
      </c>
      <c r="V49" s="11" t="str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/>
      </c>
      <c r="W49" s="10" t="s">
        <v>33</v>
      </c>
      <c r="X49" s="11" t="str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/>
      </c>
      <c r="Y49" s="10" t="s">
        <v>36</v>
      </c>
      <c r="Z49" s="11" t="str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/>
      </c>
      <c r="AA49" s="10" t="s">
        <v>34</v>
      </c>
      <c r="AB49" s="11" t="str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/>
      </c>
      <c r="AC49" s="10" t="s">
        <v>48</v>
      </c>
      <c r="AD49" s="11" t="str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/>
      </c>
      <c r="AE49" s="10" t="s">
        <v>33</v>
      </c>
      <c r="AF49" s="11" t="str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/>
      </c>
      <c r="AG49" s="10" t="s">
        <v>33</v>
      </c>
      <c r="AH49" s="11" t="str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/>
      </c>
      <c r="AI49" s="10" t="s">
        <v>35</v>
      </c>
      <c r="AJ49" s="11" t="str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/>
      </c>
      <c r="AK49" s="10" t="s">
        <v>39</v>
      </c>
      <c r="AL49" s="11" t="str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/>
      </c>
      <c r="AM49" s="10" t="s">
        <v>39</v>
      </c>
      <c r="AN49" s="11" t="str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/>
      </c>
      <c r="AO49" s="10" t="s">
        <v>39</v>
      </c>
      <c r="AP49" s="11" t="str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/>
      </c>
      <c r="AQ49" s="10" t="s">
        <v>49</v>
      </c>
      <c r="AR49" s="11" t="str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/>
      </c>
      <c r="AS49" s="10" t="s">
        <v>37</v>
      </c>
      <c r="AT49" s="11" t="str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/>
      </c>
      <c r="AU49" s="10" t="s">
        <v>50</v>
      </c>
      <c r="AV49" s="11" t="str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/>
      </c>
      <c r="AW49" s="11" t="str">
        <f>IF($C49="","",IFERROR(--LEFT($C49,FIND("-",$C49)-1),""))</f>
        <v/>
      </c>
      <c r="AX49" s="11" t="str">
        <f>IF($C49="","",IFERROR(--MID($C49,FIND("-",$C49)+1,99),""))</f>
        <v/>
      </c>
    </row>
    <row r="50" spans="1:50" ht="18" customHeight="1" x14ac:dyDescent="0.3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00000000000001" customHeight="1" x14ac:dyDescent="0.3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">
      <c r="A52" s="9">
        <v>1</v>
      </c>
      <c r="B52" s="18" t="s">
        <v>65</v>
      </c>
      <c r="C52" s="10"/>
      <c r="D52" s="1" t="s">
        <v>60</v>
      </c>
      <c r="E52" s="10" t="s">
        <v>37</v>
      </c>
      <c r="F52" s="11" t="str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/>
      </c>
      <c r="G52" s="10" t="s">
        <v>57</v>
      </c>
      <c r="H52" s="11" t="str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/>
      </c>
      <c r="I52" s="10" t="s">
        <v>48</v>
      </c>
      <c r="J52" s="11" t="str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/>
      </c>
      <c r="K52" s="10" t="s">
        <v>49</v>
      </c>
      <c r="L52" s="11" t="str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/>
      </c>
      <c r="M52" s="10" t="s">
        <v>57</v>
      </c>
      <c r="N52" s="11" t="str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/>
      </c>
      <c r="O52" s="10" t="s">
        <v>37</v>
      </c>
      <c r="P52" s="11" t="str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/>
      </c>
      <c r="Q52" s="10" t="s">
        <v>36</v>
      </c>
      <c r="R52" s="11" t="str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/>
      </c>
      <c r="S52" s="10" t="s">
        <v>49</v>
      </c>
      <c r="T52" s="11" t="str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/>
      </c>
      <c r="U52" s="10" t="s">
        <v>35</v>
      </c>
      <c r="V52" s="11" t="str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/>
      </c>
      <c r="W52" s="10" t="s">
        <v>45</v>
      </c>
      <c r="X52" s="11" t="str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/>
      </c>
      <c r="Y52" s="10" t="s">
        <v>56</v>
      </c>
      <c r="Z52" s="11" t="str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/>
      </c>
      <c r="AA52" s="10" t="s">
        <v>48</v>
      </c>
      <c r="AB52" s="11" t="str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/>
      </c>
      <c r="AC52" s="10" t="s">
        <v>57</v>
      </c>
      <c r="AD52" s="11" t="str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/>
      </c>
      <c r="AE52" s="10" t="s">
        <v>35</v>
      </c>
      <c r="AF52" s="11" t="str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/>
      </c>
      <c r="AG52" s="10" t="s">
        <v>37</v>
      </c>
      <c r="AH52" s="11" t="str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/>
      </c>
      <c r="AI52" s="10" t="s">
        <v>39</v>
      </c>
      <c r="AJ52" s="11" t="str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/>
      </c>
      <c r="AK52" s="10" t="s">
        <v>63</v>
      </c>
      <c r="AL52" s="11" t="str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/>
      </c>
      <c r="AM52" s="10" t="s">
        <v>57</v>
      </c>
      <c r="AN52" s="11" t="str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/>
      </c>
      <c r="AO52" s="10" t="s">
        <v>57</v>
      </c>
      <c r="AP52" s="11" t="str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/>
      </c>
      <c r="AQ52" s="10" t="s">
        <v>57</v>
      </c>
      <c r="AR52" s="11" t="str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/>
      </c>
      <c r="AS52" s="10" t="s">
        <v>35</v>
      </c>
      <c r="AT52" s="11" t="str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/>
      </c>
      <c r="AU52" s="10" t="s">
        <v>35</v>
      </c>
      <c r="AV52" s="11" t="str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/>
      </c>
      <c r="AW52" s="11" t="str">
        <f>IF($C52="","",IFERROR(--LEFT($C52,FIND("-",$C52)-1),""))</f>
        <v/>
      </c>
      <c r="AX52" s="11" t="str">
        <f>IF($C52="","",IFERROR(--MID($C52,FIND("-",$C52)+1,99),""))</f>
        <v/>
      </c>
    </row>
    <row r="53" spans="1:50" ht="18" customHeight="1" x14ac:dyDescent="0.3">
      <c r="A53" s="9">
        <v>1.125</v>
      </c>
      <c r="B53" s="18" t="s">
        <v>59</v>
      </c>
      <c r="C53" s="10"/>
      <c r="D53" s="1" t="s">
        <v>64</v>
      </c>
      <c r="E53" s="10" t="s">
        <v>63</v>
      </c>
      <c r="F53" s="11" t="str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/>
      </c>
      <c r="G53" s="10" t="s">
        <v>112</v>
      </c>
      <c r="H53" s="11" t="str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/>
      </c>
      <c r="I53" s="10" t="s">
        <v>36</v>
      </c>
      <c r="J53" s="11" t="str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/>
      </c>
      <c r="K53" s="10" t="s">
        <v>71</v>
      </c>
      <c r="L53" s="11" t="str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/>
      </c>
      <c r="M53" s="10" t="s">
        <v>38</v>
      </c>
      <c r="N53" s="11" t="str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/>
      </c>
      <c r="O53" s="10" t="s">
        <v>38</v>
      </c>
      <c r="P53" s="11" t="str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/>
      </c>
      <c r="Q53" s="10" t="s">
        <v>63</v>
      </c>
      <c r="R53" s="11" t="str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/>
      </c>
      <c r="S53" s="10" t="s">
        <v>63</v>
      </c>
      <c r="T53" s="11" t="str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/>
      </c>
      <c r="U53" s="10" t="s">
        <v>38</v>
      </c>
      <c r="V53" s="11" t="str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/>
      </c>
      <c r="W53" s="10" t="s">
        <v>38</v>
      </c>
      <c r="X53" s="11" t="str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/>
      </c>
      <c r="Y53" s="10" t="s">
        <v>38</v>
      </c>
      <c r="Z53" s="11" t="str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/>
      </c>
      <c r="AA53" s="10" t="s">
        <v>63</v>
      </c>
      <c r="AB53" s="11" t="str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/>
      </c>
      <c r="AC53" s="10" t="s">
        <v>38</v>
      </c>
      <c r="AD53" s="11" t="str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/>
      </c>
      <c r="AE53" s="10" t="s">
        <v>63</v>
      </c>
      <c r="AF53" s="11" t="str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/>
      </c>
      <c r="AG53" s="10" t="s">
        <v>38</v>
      </c>
      <c r="AH53" s="11" t="str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/>
      </c>
      <c r="AI53" s="10" t="s">
        <v>63</v>
      </c>
      <c r="AJ53" s="11" t="str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/>
      </c>
      <c r="AK53" s="10" t="s">
        <v>34</v>
      </c>
      <c r="AL53" s="11" t="str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/>
      </c>
      <c r="AM53" s="10" t="s">
        <v>38</v>
      </c>
      <c r="AN53" s="11" t="str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/>
      </c>
      <c r="AO53" s="10" t="s">
        <v>38</v>
      </c>
      <c r="AP53" s="11" t="str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/>
      </c>
      <c r="AQ53" s="10" t="s">
        <v>61</v>
      </c>
      <c r="AR53" s="11" t="str">
        <f t="shared" si="4"/>
        <v/>
      </c>
      <c r="AS53" s="10" t="s">
        <v>71</v>
      </c>
      <c r="AT53" s="11" t="str">
        <f t="shared" si="5"/>
        <v/>
      </c>
      <c r="AU53" s="10" t="s">
        <v>43</v>
      </c>
      <c r="AV53" s="11" t="str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/>
      </c>
      <c r="AW53" s="11" t="str">
        <f>IF($C53="","",IFERROR(--LEFT($C53,FIND("-",$C53)-1),""))</f>
        <v/>
      </c>
      <c r="AX53" s="11" t="str">
        <f>IF($C53="","",IFERROR(--MID($C53,FIND("-",$C53)+1,99),""))</f>
        <v/>
      </c>
    </row>
    <row r="54" spans="1:50" ht="18" customHeight="1" x14ac:dyDescent="0.3">
      <c r="A54" s="9">
        <v>1.25</v>
      </c>
      <c r="B54" s="18" t="s">
        <v>68</v>
      </c>
      <c r="C54" s="10"/>
      <c r="D54" s="1" t="s">
        <v>53</v>
      </c>
      <c r="E54" s="10" t="s">
        <v>33</v>
      </c>
      <c r="F54" s="11" t="str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/>
      </c>
      <c r="G54" s="10" t="s">
        <v>33</v>
      </c>
      <c r="H54" s="11" t="str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/>
      </c>
      <c r="I54" s="10" t="s">
        <v>33</v>
      </c>
      <c r="J54" s="11" t="str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/>
      </c>
      <c r="K54" s="10" t="s">
        <v>37</v>
      </c>
      <c r="L54" s="11" t="str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/>
      </c>
      <c r="M54" s="10" t="s">
        <v>49</v>
      </c>
      <c r="N54" s="11" t="str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/>
      </c>
      <c r="O54" s="10" t="s">
        <v>35</v>
      </c>
      <c r="P54" s="11" t="str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/>
      </c>
      <c r="Q54" s="10" t="s">
        <v>43</v>
      </c>
      <c r="R54" s="11" t="str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/>
      </c>
      <c r="S54" s="10" t="s">
        <v>49</v>
      </c>
      <c r="T54" s="11" t="str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/>
      </c>
      <c r="U54" s="10" t="s">
        <v>35</v>
      </c>
      <c r="V54" s="11" t="str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/>
      </c>
      <c r="W54" s="10" t="s">
        <v>35</v>
      </c>
      <c r="X54" s="11" t="str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/>
      </c>
      <c r="Y54" s="10" t="s">
        <v>35</v>
      </c>
      <c r="Z54" s="11" t="str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/>
      </c>
      <c r="AA54" s="10" t="s">
        <v>33</v>
      </c>
      <c r="AB54" s="11" t="str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/>
      </c>
      <c r="AC54" s="10" t="s">
        <v>36</v>
      </c>
      <c r="AD54" s="11" t="str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/>
      </c>
      <c r="AE54" s="10" t="s">
        <v>35</v>
      </c>
      <c r="AF54" s="11" t="str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/>
      </c>
      <c r="AG54" s="10" t="s">
        <v>39</v>
      </c>
      <c r="AH54" s="11" t="str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/>
      </c>
      <c r="AI54" s="10" t="s">
        <v>36</v>
      </c>
      <c r="AJ54" s="11" t="str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/>
      </c>
      <c r="AK54" s="10" t="s">
        <v>33</v>
      </c>
      <c r="AL54" s="11" t="str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/>
      </c>
      <c r="AM54" s="10" t="s">
        <v>39</v>
      </c>
      <c r="AN54" s="11" t="str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/>
      </c>
      <c r="AO54" s="10" t="s">
        <v>35</v>
      </c>
      <c r="AP54" s="11" t="str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/>
      </c>
      <c r="AQ54" s="10" t="s">
        <v>35</v>
      </c>
      <c r="AR54" s="11" t="str">
        <f t="shared" si="4"/>
        <v/>
      </c>
      <c r="AS54" s="10" t="s">
        <v>36</v>
      </c>
      <c r="AT54" s="11" t="str">
        <f t="shared" si="5"/>
        <v/>
      </c>
      <c r="AU54" s="10" t="s">
        <v>45</v>
      </c>
      <c r="AV54" s="11" t="str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/>
      </c>
      <c r="AW54" s="11" t="str">
        <f>IF($C54="","",IFERROR(--LEFT($C54,FIND("-",$C54)-1),""))</f>
        <v/>
      </c>
      <c r="AX54" s="11" t="str">
        <f>IF($C54="","",IFERROR(--MID($C54,FIND("-",$C54)+1,99),""))</f>
        <v/>
      </c>
    </row>
    <row r="55" spans="1:50" ht="18" customHeight="1" x14ac:dyDescent="0.3">
      <c r="A55" s="9">
        <v>1.791666666666667</v>
      </c>
      <c r="B55" s="18" t="s">
        <v>73</v>
      </c>
      <c r="C55" s="10"/>
      <c r="D55" s="1" t="s">
        <v>78</v>
      </c>
      <c r="E55" s="10" t="s">
        <v>33</v>
      </c>
      <c r="F55" s="11" t="str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/>
      </c>
      <c r="G55" s="10" t="s">
        <v>39</v>
      </c>
      <c r="H55" s="11" t="str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/>
      </c>
      <c r="I55" s="10" t="s">
        <v>33</v>
      </c>
      <c r="J55" s="11" t="str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/>
      </c>
      <c r="K55" s="10" t="s">
        <v>34</v>
      </c>
      <c r="L55" s="11" t="str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/>
      </c>
      <c r="M55" s="10" t="s">
        <v>33</v>
      </c>
      <c r="N55" s="11" t="str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/>
      </c>
      <c r="O55" s="10" t="s">
        <v>33</v>
      </c>
      <c r="P55" s="11" t="str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/>
      </c>
      <c r="Q55" s="10" t="s">
        <v>49</v>
      </c>
      <c r="R55" s="11" t="str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/>
      </c>
      <c r="S55" s="10" t="s">
        <v>63</v>
      </c>
      <c r="T55" s="11" t="str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/>
      </c>
      <c r="U55" s="10" t="s">
        <v>33</v>
      </c>
      <c r="V55" s="11" t="str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/>
      </c>
      <c r="W55" s="10" t="s">
        <v>36</v>
      </c>
      <c r="X55" s="11" t="str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/>
      </c>
      <c r="Y55" s="10" t="s">
        <v>33</v>
      </c>
      <c r="Z55" s="11" t="str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/>
      </c>
      <c r="AA55" s="10" t="s">
        <v>34</v>
      </c>
      <c r="AB55" s="11" t="str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/>
      </c>
      <c r="AC55" s="10" t="s">
        <v>33</v>
      </c>
      <c r="AD55" s="11" t="str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/>
      </c>
      <c r="AE55" s="10" t="s">
        <v>35</v>
      </c>
      <c r="AF55" s="11" t="str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/>
      </c>
      <c r="AG55" s="10" t="s">
        <v>33</v>
      </c>
      <c r="AH55" s="11" t="str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/>
      </c>
      <c r="AI55" s="10" t="s">
        <v>35</v>
      </c>
      <c r="AJ55" s="11" t="str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/>
      </c>
      <c r="AK55" s="10" t="s">
        <v>36</v>
      </c>
      <c r="AL55" s="11" t="str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/>
      </c>
      <c r="AM55" s="10" t="s">
        <v>36</v>
      </c>
      <c r="AN55" s="11" t="str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/>
      </c>
      <c r="AO55" s="10" t="s">
        <v>36</v>
      </c>
      <c r="AP55" s="11" t="str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/>
      </c>
      <c r="AQ55" s="10" t="s">
        <v>37</v>
      </c>
      <c r="AR55" s="11" t="str">
        <f t="shared" si="4"/>
        <v/>
      </c>
      <c r="AS55" s="10" t="s">
        <v>39</v>
      </c>
      <c r="AT55" s="11" t="str">
        <f t="shared" si="5"/>
        <v/>
      </c>
      <c r="AU55" s="10" t="s">
        <v>33</v>
      </c>
      <c r="AV55" s="11" t="str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/>
      </c>
      <c r="AW55" s="11" t="str">
        <f>IF($C55="","",IFERROR(--LEFT($C55,FIND("-",$C55)-1),""))</f>
        <v/>
      </c>
      <c r="AX55" s="11" t="str">
        <f>IF($C55="","",IFERROR(--MID($C55,FIND("-",$C55)+1,99),""))</f>
        <v/>
      </c>
    </row>
    <row r="56" spans="1:50" ht="18" customHeight="1" x14ac:dyDescent="0.3">
      <c r="A56" s="9">
        <v>1.916666666666667</v>
      </c>
      <c r="B56" s="18" t="s">
        <v>69</v>
      </c>
      <c r="C56" s="10"/>
      <c r="D56" s="1" t="s">
        <v>76</v>
      </c>
      <c r="E56" s="10" t="s">
        <v>33</v>
      </c>
      <c r="F56" s="11" t="str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/>
      </c>
      <c r="G56" s="10" t="s">
        <v>63</v>
      </c>
      <c r="H56" s="11" t="str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/>
      </c>
      <c r="I56" s="10" t="s">
        <v>33</v>
      </c>
      <c r="J56" s="11" t="str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/>
      </c>
      <c r="K56" s="10" t="s">
        <v>43</v>
      </c>
      <c r="L56" s="11" t="str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/>
      </c>
      <c r="M56" s="10" t="s">
        <v>34</v>
      </c>
      <c r="N56" s="11" t="str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/>
      </c>
      <c r="O56" s="10" t="s">
        <v>34</v>
      </c>
      <c r="P56" s="11" t="str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/>
      </c>
      <c r="Q56" s="10" t="s">
        <v>113</v>
      </c>
      <c r="R56" s="11" t="str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/>
      </c>
      <c r="S56" s="10" t="s">
        <v>63</v>
      </c>
      <c r="T56" s="11" t="str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/>
      </c>
      <c r="U56" s="10" t="s">
        <v>36</v>
      </c>
      <c r="V56" s="11" t="str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/>
      </c>
      <c r="W56" s="10" t="s">
        <v>33</v>
      </c>
      <c r="X56" s="11" t="str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/>
      </c>
      <c r="Y56" s="10" t="s">
        <v>33</v>
      </c>
      <c r="Z56" s="11" t="str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/>
      </c>
      <c r="AA56" s="10" t="s">
        <v>34</v>
      </c>
      <c r="AB56" s="11" t="str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/>
      </c>
      <c r="AC56" s="10" t="s">
        <v>61</v>
      </c>
      <c r="AD56" s="11" t="str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/>
      </c>
      <c r="AE56" s="10" t="s">
        <v>33</v>
      </c>
      <c r="AF56" s="11" t="str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/>
      </c>
      <c r="AG56" s="10" t="s">
        <v>36</v>
      </c>
      <c r="AH56" s="11" t="str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/>
      </c>
      <c r="AI56" s="10" t="s">
        <v>38</v>
      </c>
      <c r="AJ56" s="11" t="str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/>
      </c>
      <c r="AK56" s="10" t="s">
        <v>36</v>
      </c>
      <c r="AL56" s="11" t="str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/>
      </c>
      <c r="AM56" s="10" t="s">
        <v>34</v>
      </c>
      <c r="AN56" s="11" t="str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/>
      </c>
      <c r="AO56" s="10" t="s">
        <v>36</v>
      </c>
      <c r="AP56" s="11" t="str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/>
      </c>
      <c r="AQ56" s="10" t="s">
        <v>34</v>
      </c>
      <c r="AR56" s="11" t="str">
        <f t="shared" si="4"/>
        <v/>
      </c>
      <c r="AS56" s="10" t="s">
        <v>38</v>
      </c>
      <c r="AT56" s="11" t="str">
        <f t="shared" si="5"/>
        <v/>
      </c>
      <c r="AU56" s="10" t="s">
        <v>38</v>
      </c>
      <c r="AV56" s="11" t="str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/>
      </c>
      <c r="AW56" s="11" t="str">
        <f>IF($C56="","",IFERROR(--LEFT($C56,FIND("-",$C56)-1),""))</f>
        <v/>
      </c>
      <c r="AX56" s="11" t="str">
        <f>IF($C56="","",IFERROR(--MID($C56,FIND("-",$C56)+1,99),""))</f>
        <v/>
      </c>
    </row>
    <row r="57" spans="1:50" ht="18" customHeight="1" x14ac:dyDescent="0.3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00000000000001" customHeight="1" x14ac:dyDescent="0.3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">
      <c r="A59" s="9">
        <v>1.083333333333333</v>
      </c>
      <c r="B59" s="18" t="s">
        <v>77</v>
      </c>
      <c r="C59" s="10"/>
      <c r="D59" s="1" t="s">
        <v>70</v>
      </c>
      <c r="E59" s="10" t="s">
        <v>38</v>
      </c>
      <c r="F59" s="11" t="str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/>
      </c>
      <c r="G59" s="10" t="s">
        <v>45</v>
      </c>
      <c r="H59" s="11" t="str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/>
      </c>
      <c r="I59" s="10" t="s">
        <v>38</v>
      </c>
      <c r="J59" s="11" t="str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/>
      </c>
      <c r="K59" s="10" t="s">
        <v>33</v>
      </c>
      <c r="L59" s="11" t="str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/>
      </c>
      <c r="M59" s="10" t="s">
        <v>37</v>
      </c>
      <c r="N59" s="11" t="str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/>
      </c>
      <c r="O59" s="10" t="s">
        <v>38</v>
      </c>
      <c r="P59" s="11" t="str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/>
      </c>
      <c r="Q59" s="10" t="s">
        <v>45</v>
      </c>
      <c r="R59" s="11" t="str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/>
      </c>
      <c r="S59" s="10" t="s">
        <v>33</v>
      </c>
      <c r="T59" s="11" t="str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/>
      </c>
      <c r="U59" s="10" t="s">
        <v>36</v>
      </c>
      <c r="V59" s="11" t="str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/>
      </c>
      <c r="W59" s="10" t="s">
        <v>36</v>
      </c>
      <c r="X59" s="11" t="str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/>
      </c>
      <c r="Y59" s="10" t="s">
        <v>36</v>
      </c>
      <c r="Z59" s="11" t="str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/>
      </c>
      <c r="AA59" s="10" t="s">
        <v>34</v>
      </c>
      <c r="AB59" s="11" t="str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/>
      </c>
      <c r="AC59" s="10" t="s">
        <v>36</v>
      </c>
      <c r="AD59" s="11" t="str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/>
      </c>
      <c r="AE59" s="10" t="s">
        <v>38</v>
      </c>
      <c r="AF59" s="11" t="str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/>
      </c>
      <c r="AG59" s="10" t="s">
        <v>36</v>
      </c>
      <c r="AH59" s="11" t="str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/>
      </c>
      <c r="AI59" s="10" t="s">
        <v>39</v>
      </c>
      <c r="AJ59" s="11" t="str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/>
      </c>
      <c r="AK59" s="10" t="s">
        <v>36</v>
      </c>
      <c r="AL59" s="11" t="str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/>
      </c>
      <c r="AM59" s="10" t="s">
        <v>36</v>
      </c>
      <c r="AN59" s="11" t="str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/>
      </c>
      <c r="AO59" s="10" t="s">
        <v>35</v>
      </c>
      <c r="AP59" s="11" t="str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/>
      </c>
      <c r="AQ59" s="10" t="s">
        <v>37</v>
      </c>
      <c r="AR59" s="11" t="str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/>
      </c>
      <c r="AS59" s="10" t="s">
        <v>34</v>
      </c>
      <c r="AT59" s="11" t="str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/>
      </c>
      <c r="AU59" s="10" t="s">
        <v>45</v>
      </c>
      <c r="AV59" s="11" t="str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/>
      </c>
      <c r="AW59" s="11" t="str">
        <f>IF($C59="","",IFERROR(--LEFT($C59,FIND("-",$C59)-1),""))</f>
        <v/>
      </c>
      <c r="AX59" s="11" t="str">
        <f>IF($C59="","",IFERROR(--MID($C59,FIND("-",$C59)+1,99),""))</f>
        <v/>
      </c>
    </row>
    <row r="60" spans="1:50" ht="18" customHeight="1" x14ac:dyDescent="0.3">
      <c r="A60" s="9">
        <v>1.25</v>
      </c>
      <c r="B60" s="18" t="s">
        <v>79</v>
      </c>
      <c r="C60" s="10"/>
      <c r="D60" s="1" t="s">
        <v>74</v>
      </c>
      <c r="E60" s="10" t="s">
        <v>48</v>
      </c>
      <c r="F60" s="11" t="str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/>
      </c>
      <c r="G60" s="10" t="s">
        <v>57</v>
      </c>
      <c r="H60" s="11" t="str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/>
      </c>
      <c r="I60" s="10" t="s">
        <v>45</v>
      </c>
      <c r="J60" s="11" t="str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/>
      </c>
      <c r="K60" s="10" t="s">
        <v>33</v>
      </c>
      <c r="L60" s="11" t="str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/>
      </c>
      <c r="M60" s="10" t="s">
        <v>48</v>
      </c>
      <c r="N60" s="11" t="str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/>
      </c>
      <c r="O60" s="10" t="s">
        <v>35</v>
      </c>
      <c r="P60" s="11" t="str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/>
      </c>
      <c r="Q60" s="10" t="s">
        <v>57</v>
      </c>
      <c r="R60" s="11" t="str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/>
      </c>
      <c r="S60" s="10" t="s">
        <v>49</v>
      </c>
      <c r="T60" s="11" t="str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/>
      </c>
      <c r="U60" s="10" t="s">
        <v>48</v>
      </c>
      <c r="V60" s="11" t="str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/>
      </c>
      <c r="W60" s="10" t="s">
        <v>45</v>
      </c>
      <c r="X60" s="11" t="str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/>
      </c>
      <c r="Y60" s="10" t="s">
        <v>48</v>
      </c>
      <c r="Z60" s="11" t="str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/>
      </c>
      <c r="AA60" s="10" t="s">
        <v>115</v>
      </c>
      <c r="AB60" s="11" t="str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/>
      </c>
      <c r="AC60" s="10" t="s">
        <v>57</v>
      </c>
      <c r="AD60" s="11" t="str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/>
      </c>
      <c r="AE60" s="10" t="s">
        <v>45</v>
      </c>
      <c r="AF60" s="11" t="str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/>
      </c>
      <c r="AG60" s="10" t="s">
        <v>37</v>
      </c>
      <c r="AH60" s="11" t="str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/>
      </c>
      <c r="AI60" s="10" t="s">
        <v>45</v>
      </c>
      <c r="AJ60" s="11" t="str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/>
      </c>
      <c r="AK60" s="10" t="s">
        <v>33</v>
      </c>
      <c r="AL60" s="11" t="str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/>
      </c>
      <c r="AM60" s="10" t="s">
        <v>45</v>
      </c>
      <c r="AN60" s="11" t="str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/>
      </c>
      <c r="AO60" s="10" t="s">
        <v>48</v>
      </c>
      <c r="AP60" s="11" t="str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/>
      </c>
      <c r="AQ60" s="10" t="s">
        <v>49</v>
      </c>
      <c r="AR60" s="11" t="str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/>
      </c>
      <c r="AS60" s="10" t="s">
        <v>37</v>
      </c>
      <c r="AT60" s="11" t="str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/>
      </c>
      <c r="AU60" s="10" t="s">
        <v>45</v>
      </c>
      <c r="AV60" s="11" t="str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/>
      </c>
      <c r="AW60" s="11" t="str">
        <f>IF($C60="","",IFERROR(--LEFT($C60,FIND("-",$C60)-1),""))</f>
        <v/>
      </c>
      <c r="AX60" s="11" t="str">
        <f>IF($C60="","",IFERROR(--MID($C60,FIND("-",$C60)+1,99),""))</f>
        <v/>
      </c>
    </row>
    <row r="61" spans="1:50" ht="18" customHeight="1" x14ac:dyDescent="0.3">
      <c r="A61" s="9">
        <v>1.75</v>
      </c>
      <c r="B61" s="18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/>
      </c>
      <c r="G61" s="10" t="s">
        <v>62</v>
      </c>
      <c r="H61" s="11" t="str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/>
      </c>
      <c r="I61" s="10" t="s">
        <v>36</v>
      </c>
      <c r="J61" s="11" t="str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/>
      </c>
      <c r="K61" s="10" t="s">
        <v>43</v>
      </c>
      <c r="L61" s="11" t="str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/>
      </c>
      <c r="M61" s="10" t="s">
        <v>34</v>
      </c>
      <c r="N61" s="11" t="str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/>
      </c>
      <c r="O61" s="10" t="s">
        <v>36</v>
      </c>
      <c r="P61" s="11" t="str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/>
      </c>
      <c r="Q61" s="10" t="s">
        <v>63</v>
      </c>
      <c r="R61" s="11" t="str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/>
      </c>
      <c r="S61" s="10" t="s">
        <v>43</v>
      </c>
      <c r="T61" s="11" t="str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/>
      </c>
      <c r="U61" s="10" t="s">
        <v>38</v>
      </c>
      <c r="V61" s="11" t="str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/>
      </c>
      <c r="W61" s="10" t="s">
        <v>36</v>
      </c>
      <c r="X61" s="11" t="str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/>
      </c>
      <c r="Y61" s="10" t="s">
        <v>36</v>
      </c>
      <c r="Z61" s="11" t="str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/>
      </c>
      <c r="AA61" s="10" t="s">
        <v>62</v>
      </c>
      <c r="AB61" s="11" t="str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/>
      </c>
      <c r="AC61" s="10" t="s">
        <v>38</v>
      </c>
      <c r="AD61" s="11" t="str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/>
      </c>
      <c r="AE61" s="10" t="s">
        <v>38</v>
      </c>
      <c r="AF61" s="11" t="str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/>
      </c>
      <c r="AG61" s="10" t="s">
        <v>38</v>
      </c>
      <c r="AH61" s="11" t="str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/>
      </c>
      <c r="AI61" s="10" t="s">
        <v>36</v>
      </c>
      <c r="AJ61" s="11" t="str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/>
      </c>
      <c r="AK61" s="10" t="s">
        <v>36</v>
      </c>
      <c r="AL61" s="11" t="str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/>
      </c>
      <c r="AM61" s="10" t="s">
        <v>63</v>
      </c>
      <c r="AN61" s="11" t="str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/>
      </c>
      <c r="AO61" s="10" t="s">
        <v>63</v>
      </c>
      <c r="AP61" s="11" t="str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/>
      </c>
      <c r="AQ61" s="10" t="s">
        <v>34</v>
      </c>
      <c r="AR61" s="11" t="str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/>
      </c>
      <c r="AS61" s="10" t="s">
        <v>63</v>
      </c>
      <c r="AT61" s="11" t="str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/>
      </c>
      <c r="AU61" s="10" t="s">
        <v>33</v>
      </c>
      <c r="AV61" s="11" t="str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/>
      </c>
      <c r="AW61" s="11" t="str">
        <f>IF($C61="","",IFERROR(--LEFT($C61,FIND("-",$C61)-1),""))</f>
        <v/>
      </c>
      <c r="AX61" s="11" t="str">
        <f>IF($C61="","",IFERROR(--MID($C61,FIND("-",$C61)+1,99),""))</f>
        <v/>
      </c>
    </row>
    <row r="62" spans="1:50" ht="18" customHeight="1" x14ac:dyDescent="0.3">
      <c r="A62" s="9">
        <v>1.875</v>
      </c>
      <c r="B62" s="18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/>
      </c>
      <c r="G62" s="10" t="s">
        <v>36</v>
      </c>
      <c r="H62" s="11" t="str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/>
      </c>
      <c r="I62" s="10" t="s">
        <v>39</v>
      </c>
      <c r="J62" s="11" t="str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/>
      </c>
      <c r="K62" s="10" t="s">
        <v>63</v>
      </c>
      <c r="L62" s="11" t="str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/>
      </c>
      <c r="M62" s="10" t="s">
        <v>36</v>
      </c>
      <c r="N62" s="11" t="str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/>
      </c>
      <c r="O62" s="10" t="s">
        <v>34</v>
      </c>
      <c r="P62" s="11" t="str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/>
      </c>
      <c r="Q62" s="10" t="s">
        <v>38</v>
      </c>
      <c r="R62" s="11" t="str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/>
      </c>
      <c r="S62" s="10" t="s">
        <v>43</v>
      </c>
      <c r="T62" s="11" t="str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/>
      </c>
      <c r="U62" s="10" t="s">
        <v>36</v>
      </c>
      <c r="V62" s="11" t="str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/>
      </c>
      <c r="W62" s="10" t="s">
        <v>36</v>
      </c>
      <c r="X62" s="11" t="str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/>
      </c>
      <c r="Y62" s="10" t="s">
        <v>33</v>
      </c>
      <c r="Z62" s="11" t="str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/>
      </c>
      <c r="AA62" s="10" t="s">
        <v>36</v>
      </c>
      <c r="AB62" s="11" t="str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/>
      </c>
      <c r="AC62" s="10" t="s">
        <v>36</v>
      </c>
      <c r="AD62" s="11" t="str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/>
      </c>
      <c r="AE62" s="10" t="s">
        <v>36</v>
      </c>
      <c r="AF62" s="11" t="str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/>
      </c>
      <c r="AG62" s="10" t="s">
        <v>36</v>
      </c>
      <c r="AH62" s="11" t="str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/>
      </c>
      <c r="AI62" s="10" t="s">
        <v>38</v>
      </c>
      <c r="AJ62" s="11" t="str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/>
      </c>
      <c r="AK62" s="10" t="s">
        <v>36</v>
      </c>
      <c r="AL62" s="11" t="str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/>
      </c>
      <c r="AM62" s="10" t="s">
        <v>35</v>
      </c>
      <c r="AN62" s="11" t="str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/>
      </c>
      <c r="AO62" s="10" t="s">
        <v>35</v>
      </c>
      <c r="AP62" s="11" t="str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/>
      </c>
      <c r="AQ62" s="10" t="s">
        <v>33</v>
      </c>
      <c r="AR62" s="11" t="str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/>
      </c>
      <c r="AS62" s="10" t="s">
        <v>45</v>
      </c>
      <c r="AT62" s="11" t="str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/>
      </c>
      <c r="AU62" s="10" t="s">
        <v>36</v>
      </c>
      <c r="AV62" s="11" t="str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/>
      </c>
      <c r="AW62" s="11" t="str">
        <f>IF($C62="","",IFERROR(--LEFT($C62,FIND("-",$C62)-1),""))</f>
        <v/>
      </c>
      <c r="AX62" s="11" t="str">
        <f>IF($C62="","",IFERROR(--MID($C62,FIND("-",$C62)+1,99),""))</f>
        <v/>
      </c>
    </row>
    <row r="63" spans="1:50" ht="18" customHeight="1" x14ac:dyDescent="0.3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00000000000001" customHeight="1" x14ac:dyDescent="0.3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">
      <c r="A65" s="9">
        <v>1</v>
      </c>
      <c r="B65" s="18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/>
      </c>
      <c r="G65" s="10" t="s">
        <v>61</v>
      </c>
      <c r="H65" s="11" t="str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/>
      </c>
      <c r="I65" s="10" t="s">
        <v>36</v>
      </c>
      <c r="J65" s="11" t="str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/>
      </c>
      <c r="K65" s="10" t="s">
        <v>33</v>
      </c>
      <c r="L65" s="11" t="str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/>
      </c>
      <c r="M65" s="10" t="s">
        <v>33</v>
      </c>
      <c r="N65" s="11" t="str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/>
      </c>
      <c r="O65" s="10" t="s">
        <v>38</v>
      </c>
      <c r="P65" s="11" t="str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/>
      </c>
      <c r="Q65" s="10" t="s">
        <v>39</v>
      </c>
      <c r="R65" s="11" t="str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/>
      </c>
      <c r="S65" s="10" t="s">
        <v>37</v>
      </c>
      <c r="T65" s="11" t="str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/>
      </c>
      <c r="U65" s="10" t="s">
        <v>39</v>
      </c>
      <c r="V65" s="11" t="str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/>
      </c>
      <c r="W65" s="10" t="s">
        <v>36</v>
      </c>
      <c r="X65" s="11" t="str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/>
      </c>
      <c r="Y65" s="10" t="s">
        <v>36</v>
      </c>
      <c r="Z65" s="11" t="str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/>
      </c>
      <c r="AA65" s="10" t="s">
        <v>50</v>
      </c>
      <c r="AB65" s="11" t="str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/>
      </c>
      <c r="AC65" s="10" t="s">
        <v>36</v>
      </c>
      <c r="AD65" s="11" t="str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/>
      </c>
      <c r="AE65" s="10" t="s">
        <v>36</v>
      </c>
      <c r="AF65" s="11" t="str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/>
      </c>
      <c r="AG65" s="10" t="s">
        <v>36</v>
      </c>
      <c r="AH65" s="11" t="str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/>
      </c>
      <c r="AI65" s="10" t="s">
        <v>39</v>
      </c>
      <c r="AJ65" s="11" t="str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/>
      </c>
      <c r="AK65" s="10" t="s">
        <v>34</v>
      </c>
      <c r="AL65" s="11" t="str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/>
      </c>
      <c r="AM65" s="10" t="s">
        <v>35</v>
      </c>
      <c r="AN65" s="11" t="str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/>
      </c>
      <c r="AO65" s="10" t="s">
        <v>36</v>
      </c>
      <c r="AP65" s="11" t="str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/>
      </c>
      <c r="AQ65" s="10" t="s">
        <v>35</v>
      </c>
      <c r="AR65" s="11" t="str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/>
      </c>
      <c r="AS65" s="10" t="s">
        <v>38</v>
      </c>
      <c r="AT65" s="11" t="str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/>
      </c>
      <c r="AU65" s="10" t="s">
        <v>36</v>
      </c>
      <c r="AV65" s="11" t="str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/>
      </c>
      <c r="AW65" s="11" t="str">
        <f>IF($C65="","",IFERROR(--LEFT($C65,FIND("-",$C65)-1),""))</f>
        <v/>
      </c>
      <c r="AX65" s="11" t="str">
        <f>IF($C65="","",IFERROR(--MID($C65,FIND("-",$C65)+1,99),""))</f>
        <v/>
      </c>
    </row>
    <row r="66" spans="1:50" ht="18" customHeight="1" x14ac:dyDescent="0.3">
      <c r="A66" s="9">
        <v>1.125</v>
      </c>
      <c r="B66" s="18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/>
      </c>
      <c r="G66" s="10" t="s">
        <v>48</v>
      </c>
      <c r="H66" s="11" t="str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/>
      </c>
      <c r="I66" s="10" t="s">
        <v>45</v>
      </c>
      <c r="J66" s="11" t="str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/>
      </c>
      <c r="K66" s="10" t="s">
        <v>37</v>
      </c>
      <c r="L66" s="11" t="str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/>
      </c>
      <c r="M66" s="10" t="s">
        <v>37</v>
      </c>
      <c r="N66" s="11" t="str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/>
      </c>
      <c r="O66" s="10" t="s">
        <v>37</v>
      </c>
      <c r="P66" s="11" t="str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/>
      </c>
      <c r="Q66" s="10" t="s">
        <v>33</v>
      </c>
      <c r="R66" s="11" t="str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/>
      </c>
      <c r="S66" s="10" t="s">
        <v>33</v>
      </c>
      <c r="T66" s="11" t="str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/>
      </c>
      <c r="U66" s="10" t="s">
        <v>48</v>
      </c>
      <c r="V66" s="11" t="str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/>
      </c>
      <c r="W66" s="10" t="s">
        <v>48</v>
      </c>
      <c r="X66" s="11" t="str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/>
      </c>
      <c r="Y66" s="10" t="s">
        <v>45</v>
      </c>
      <c r="Z66" s="11" t="str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/>
      </c>
      <c r="AA66" s="10" t="s">
        <v>37</v>
      </c>
      <c r="AB66" s="11" t="str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/>
      </c>
      <c r="AC66" s="10" t="s">
        <v>37</v>
      </c>
      <c r="AD66" s="11" t="str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/>
      </c>
      <c r="AE66" s="10" t="s">
        <v>35</v>
      </c>
      <c r="AF66" s="11" t="str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/>
      </c>
      <c r="AG66" s="10" t="s">
        <v>37</v>
      </c>
      <c r="AH66" s="11" t="str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/>
      </c>
      <c r="AI66" s="10" t="s">
        <v>37</v>
      </c>
      <c r="AJ66" s="11" t="str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/>
      </c>
      <c r="AK66" s="10" t="s">
        <v>57</v>
      </c>
      <c r="AL66" s="11" t="str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/>
      </c>
      <c r="AM66" s="10" t="s">
        <v>48</v>
      </c>
      <c r="AN66" s="11" t="str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/>
      </c>
      <c r="AO66" s="10" t="s">
        <v>45</v>
      </c>
      <c r="AP66" s="11" t="str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/>
      </c>
      <c r="AQ66" s="10" t="s">
        <v>37</v>
      </c>
      <c r="AR66" s="11" t="str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/>
      </c>
      <c r="AS66" s="10" t="s">
        <v>35</v>
      </c>
      <c r="AT66" s="11" t="str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/>
      </c>
      <c r="AU66" s="10" t="s">
        <v>50</v>
      </c>
      <c r="AV66" s="11" t="str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/>
      </c>
      <c r="AW66" s="11" t="str">
        <f>IF($C66="","",IFERROR(--LEFT($C66,FIND("-",$C66)-1),""))</f>
        <v/>
      </c>
      <c r="AX66" s="11" t="str">
        <f>IF($C66="","",IFERROR(--MID($C66,FIND("-",$C66)+1,99),""))</f>
        <v/>
      </c>
    </row>
    <row r="67" spans="1:50" ht="18" customHeight="1" x14ac:dyDescent="0.3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/>
      </c>
      <c r="G67" s="10" t="s">
        <v>33</v>
      </c>
      <c r="H67" s="11" t="str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/>
      </c>
      <c r="I67" s="10" t="s">
        <v>36</v>
      </c>
      <c r="J67" s="11" t="str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/>
      </c>
      <c r="K67" s="10" t="s">
        <v>43</v>
      </c>
      <c r="L67" s="11" t="str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/>
      </c>
      <c r="M67" s="10" t="s">
        <v>49</v>
      </c>
      <c r="N67" s="11" t="str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/>
      </c>
      <c r="O67" s="10" t="s">
        <v>33</v>
      </c>
      <c r="P67" s="11" t="str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/>
      </c>
      <c r="Q67" s="10" t="s">
        <v>61</v>
      </c>
      <c r="R67" s="11" t="str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/>
      </c>
      <c r="S67" s="10" t="s">
        <v>63</v>
      </c>
      <c r="T67" s="11" t="str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/>
      </c>
      <c r="U67" s="10" t="s">
        <v>39</v>
      </c>
      <c r="V67" s="11" t="str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/>
      </c>
      <c r="W67" s="10" t="s">
        <v>33</v>
      </c>
      <c r="X67" s="11" t="str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/>
      </c>
      <c r="Y67" s="10" t="s">
        <v>35</v>
      </c>
      <c r="Z67" s="11" t="str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/>
      </c>
      <c r="AA67" s="10" t="s">
        <v>36</v>
      </c>
      <c r="AB67" s="11" t="str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/>
      </c>
      <c r="AC67" s="10" t="s">
        <v>34</v>
      </c>
      <c r="AD67" s="11" t="str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/>
      </c>
      <c r="AE67" s="10" t="s">
        <v>36</v>
      </c>
      <c r="AF67" s="11" t="str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/>
      </c>
      <c r="AG67" s="10" t="s">
        <v>38</v>
      </c>
      <c r="AH67" s="11" t="str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/>
      </c>
      <c r="AI67" s="10" t="s">
        <v>35</v>
      </c>
      <c r="AJ67" s="11" t="str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/>
      </c>
      <c r="AK67" s="10" t="s">
        <v>36</v>
      </c>
      <c r="AL67" s="11" t="str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/>
      </c>
      <c r="AM67" s="10" t="s">
        <v>36</v>
      </c>
      <c r="AN67" s="11" t="str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/>
      </c>
      <c r="AO67" s="10" t="s">
        <v>34</v>
      </c>
      <c r="AP67" s="11" t="str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/>
      </c>
      <c r="AQ67" s="10" t="s">
        <v>49</v>
      </c>
      <c r="AR67" s="11" t="str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/>
      </c>
      <c r="AS67" s="10" t="s">
        <v>35</v>
      </c>
      <c r="AT67" s="11" t="str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/>
      </c>
      <c r="AU67" s="10" t="s">
        <v>34</v>
      </c>
      <c r="AV67" s="11" t="str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/>
      </c>
      <c r="AW67" s="11" t="str">
        <f>IF($C67="","",IFERROR(--LEFT($C67,FIND("-",$C67)-1),""))</f>
        <v/>
      </c>
      <c r="AX67" s="11" t="str">
        <f>IF($C67="","",IFERROR(--MID($C67,FIND("-",$C67)+1,99),""))</f>
        <v/>
      </c>
    </row>
    <row r="68" spans="1:50" ht="18" customHeight="1" x14ac:dyDescent="0.3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/>
      </c>
      <c r="G68" s="10" t="s">
        <v>63</v>
      </c>
      <c r="H68" s="11" t="str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/>
      </c>
      <c r="I68" s="10" t="s">
        <v>36</v>
      </c>
      <c r="J68" s="11" t="str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/>
      </c>
      <c r="K68" s="10" t="s">
        <v>71</v>
      </c>
      <c r="L68" s="11" t="str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/>
      </c>
      <c r="M68" s="10" t="s">
        <v>38</v>
      </c>
      <c r="N68" s="11" t="str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/>
      </c>
      <c r="O68" s="10" t="s">
        <v>63</v>
      </c>
      <c r="P68" s="11" t="str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/>
      </c>
      <c r="Q68" s="10" t="s">
        <v>71</v>
      </c>
      <c r="R68" s="11" t="str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/>
      </c>
      <c r="S68" s="10" t="s">
        <v>63</v>
      </c>
      <c r="T68" s="11" t="str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/>
      </c>
      <c r="U68" s="10" t="s">
        <v>38</v>
      </c>
      <c r="V68" s="11" t="str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/>
      </c>
      <c r="W68" s="10" t="s">
        <v>36</v>
      </c>
      <c r="X68" s="11" t="str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/>
      </c>
      <c r="Y68" s="10" t="s">
        <v>38</v>
      </c>
      <c r="Z68" s="11" t="str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/>
      </c>
      <c r="AA68" s="10" t="s">
        <v>38</v>
      </c>
      <c r="AB68" s="11" t="str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/>
      </c>
      <c r="AC68" s="10" t="s">
        <v>38</v>
      </c>
      <c r="AD68" s="11" t="str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/>
      </c>
      <c r="AE68" s="10" t="s">
        <v>38</v>
      </c>
      <c r="AF68" s="11" t="str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/>
      </c>
      <c r="AG68" s="10" t="s">
        <v>38</v>
      </c>
      <c r="AH68" s="11" t="str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/>
      </c>
      <c r="AI68" s="10" t="s">
        <v>38</v>
      </c>
      <c r="AJ68" s="11" t="str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/>
      </c>
      <c r="AK68" s="10" t="s">
        <v>36</v>
      </c>
      <c r="AL68" s="11" t="str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/>
      </c>
      <c r="AM68" s="10" t="s">
        <v>36</v>
      </c>
      <c r="AN68" s="11" t="str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/>
      </c>
      <c r="AO68" s="10" t="s">
        <v>36</v>
      </c>
      <c r="AP68" s="11" t="str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/>
      </c>
      <c r="AQ68" s="10" t="s">
        <v>34</v>
      </c>
      <c r="AR68" s="11" t="str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/>
      </c>
      <c r="AS68" s="10" t="s">
        <v>38</v>
      </c>
      <c r="AT68" s="11" t="str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/>
      </c>
      <c r="AU68" s="10" t="s">
        <v>63</v>
      </c>
      <c r="AV68" s="11" t="str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/>
      </c>
      <c r="AW68" s="11" t="str">
        <f>IF($C68="","",IFERROR(--LEFT($C68,FIND("-",$C68)-1),""))</f>
        <v/>
      </c>
      <c r="AX68" s="11" t="str">
        <f>IF($C68="","",IFERROR(--MID($C68,FIND("-",$C68)+1,99),""))</f>
        <v/>
      </c>
    </row>
    <row r="69" spans="1:50" ht="18" customHeight="1" x14ac:dyDescent="0.3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00000000000001" customHeight="1" x14ac:dyDescent="0.3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/>
      </c>
      <c r="G71" s="10" t="s">
        <v>36</v>
      </c>
      <c r="H71" s="11" t="str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/>
      </c>
      <c r="I71" s="10" t="s">
        <v>35</v>
      </c>
      <c r="J71" s="11" t="str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/>
      </c>
      <c r="K71" s="10" t="s">
        <v>34</v>
      </c>
      <c r="L71" s="11" t="str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/>
      </c>
      <c r="M71" s="10" t="s">
        <v>49</v>
      </c>
      <c r="N71" s="11" t="str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/>
      </c>
      <c r="O71" s="10" t="s">
        <v>35</v>
      </c>
      <c r="P71" s="11" t="str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/>
      </c>
      <c r="Q71" s="10" t="s">
        <v>38</v>
      </c>
      <c r="R71" s="11" t="str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/>
      </c>
      <c r="S71" s="10" t="s">
        <v>49</v>
      </c>
      <c r="T71" s="11" t="str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/>
      </c>
      <c r="U71" s="10" t="s">
        <v>35</v>
      </c>
      <c r="V71" s="11" t="str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/>
      </c>
      <c r="W71" s="10" t="s">
        <v>35</v>
      </c>
      <c r="X71" s="11" t="str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/>
      </c>
      <c r="Y71" s="10" t="s">
        <v>35</v>
      </c>
      <c r="Z71" s="11" t="str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/>
      </c>
      <c r="AA71" s="10" t="s">
        <v>49</v>
      </c>
      <c r="AB71" s="11" t="str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/>
      </c>
      <c r="AC71" s="10" t="s">
        <v>33</v>
      </c>
      <c r="AD71" s="11" t="str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/>
      </c>
      <c r="AE71" s="10" t="s">
        <v>35</v>
      </c>
      <c r="AF71" s="11" t="str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/>
      </c>
      <c r="AG71" s="10" t="s">
        <v>35</v>
      </c>
      <c r="AH71" s="11" t="str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/>
      </c>
      <c r="AI71" s="10" t="s">
        <v>36</v>
      </c>
      <c r="AJ71" s="11" t="str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/>
      </c>
      <c r="AK71" s="10" t="s">
        <v>33</v>
      </c>
      <c r="AL71" s="11" t="str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/>
      </c>
      <c r="AM71" s="10" t="s">
        <v>34</v>
      </c>
      <c r="AN71" s="11" t="str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/>
      </c>
      <c r="AO71" s="10" t="s">
        <v>39</v>
      </c>
      <c r="AP71" s="11" t="str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/>
      </c>
      <c r="AQ71" s="10" t="s">
        <v>33</v>
      </c>
      <c r="AR71" s="11" t="str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/>
      </c>
      <c r="AS71" s="10" t="s">
        <v>36</v>
      </c>
      <c r="AT71" s="11" t="str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/>
      </c>
      <c r="AU71" s="10" t="s">
        <v>45</v>
      </c>
      <c r="AV71" s="11" t="str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/>
      </c>
      <c r="AW71" s="11" t="str">
        <f>IF($C71="","",IFERROR(--LEFT($C71,FIND("-",$C71)-1),""))</f>
        <v/>
      </c>
      <c r="AX71" s="11" t="str">
        <f>IF($C71="","",IFERROR(--MID($C71,FIND("-",$C71)+1,99),""))</f>
        <v/>
      </c>
    </row>
    <row r="72" spans="1:50" ht="18" customHeight="1" x14ac:dyDescent="0.3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/>
      </c>
      <c r="G72" s="10" t="s">
        <v>48</v>
      </c>
      <c r="H72" s="11" t="str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/>
      </c>
      <c r="I72" s="10" t="s">
        <v>45</v>
      </c>
      <c r="J72" s="11" t="str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/>
      </c>
      <c r="K72" s="10" t="s">
        <v>35</v>
      </c>
      <c r="L72" s="11" t="str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/>
      </c>
      <c r="M72" s="10" t="s">
        <v>57</v>
      </c>
      <c r="N72" s="11" t="str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/>
      </c>
      <c r="O72" s="10" t="s">
        <v>49</v>
      </c>
      <c r="P72" s="11" t="str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/>
      </c>
      <c r="Q72" s="10" t="s">
        <v>35</v>
      </c>
      <c r="R72" s="11" t="str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/>
      </c>
      <c r="S72" s="10" t="s">
        <v>33</v>
      </c>
      <c r="T72" s="11" t="str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/>
      </c>
      <c r="U72" s="10" t="s">
        <v>37</v>
      </c>
      <c r="V72" s="11" t="str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/>
      </c>
      <c r="W72" s="10" t="s">
        <v>45</v>
      </c>
      <c r="X72" s="11" t="str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/>
      </c>
      <c r="Y72" s="10" t="s">
        <v>37</v>
      </c>
      <c r="Z72" s="11" t="str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/>
      </c>
      <c r="AA72" s="10" t="s">
        <v>50</v>
      </c>
      <c r="AB72" s="11" t="str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/>
      </c>
      <c r="AC72" s="10" t="s">
        <v>36</v>
      </c>
      <c r="AD72" s="11" t="str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/>
      </c>
      <c r="AE72" s="10" t="s">
        <v>48</v>
      </c>
      <c r="AF72" s="11" t="str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/>
      </c>
      <c r="AG72" s="10" t="s">
        <v>48</v>
      </c>
      <c r="AH72" s="11" t="str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/>
      </c>
      <c r="AI72" s="10" t="s">
        <v>50</v>
      </c>
      <c r="AJ72" s="11" t="str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/>
      </c>
      <c r="AK72" s="10" t="s">
        <v>37</v>
      </c>
      <c r="AL72" s="11" t="str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/>
      </c>
      <c r="AM72" s="10" t="s">
        <v>50</v>
      </c>
      <c r="AN72" s="11" t="str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/>
      </c>
      <c r="AO72" s="10" t="s">
        <v>48</v>
      </c>
      <c r="AP72" s="11" t="str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/>
      </c>
      <c r="AQ72" s="10" t="s">
        <v>35</v>
      </c>
      <c r="AR72" s="11" t="str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/>
      </c>
      <c r="AS72" s="10" t="s">
        <v>35</v>
      </c>
      <c r="AT72" s="11" t="str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/>
      </c>
      <c r="AU72" s="10" t="s">
        <v>45</v>
      </c>
      <c r="AV72" s="11" t="str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/>
      </c>
      <c r="AW72" s="11" t="str">
        <f>IF($C72="","",IFERROR(--LEFT($C72,FIND("-",$C72)-1),""))</f>
        <v/>
      </c>
      <c r="AX72" s="11" t="str">
        <f>IF($C72="","",IFERROR(--MID($C72,FIND("-",$C72)+1,99),""))</f>
        <v/>
      </c>
    </row>
    <row r="73" spans="1:50" ht="18" customHeight="1" x14ac:dyDescent="0.3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3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3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00000000000001" customHeight="1" x14ac:dyDescent="0.3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8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3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8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3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8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3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8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3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00000000000001" customHeight="1" x14ac:dyDescent="0.3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8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3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8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3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8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3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8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3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8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3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8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3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00000000000001" customHeight="1" x14ac:dyDescent="0.3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3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8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3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8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3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8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3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00000000000001" customHeight="1" x14ac:dyDescent="0.3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00000000000001" customHeight="1" x14ac:dyDescent="0.3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00000000000001" customHeight="1" x14ac:dyDescent="0.3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00000000000001" customHeight="1" x14ac:dyDescent="0.3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00000000000001" customHeight="1" x14ac:dyDescent="0.3">
      <c r="A117" s="33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00000000000001" customHeight="1" x14ac:dyDescent="0.3">
      <c r="A121" s="33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00000000000001" customHeight="1" x14ac:dyDescent="0.3">
      <c r="A126" s="33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00000000000001" customHeight="1" x14ac:dyDescent="0.3">
      <c r="A131" s="33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00000000000001" customHeight="1" x14ac:dyDescent="0.3">
      <c r="A135" s="33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00000000000001" customHeight="1" x14ac:dyDescent="0.3">
      <c r="A140" s="33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00000000000001" customHeight="1" x14ac:dyDescent="0.3">
      <c r="A145" s="38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00000000000001" customHeight="1" x14ac:dyDescent="0.3">
      <c r="A146" s="33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00000000000001" customHeight="1" x14ac:dyDescent="0.3">
      <c r="A150" s="33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00000000000001" customHeight="1" x14ac:dyDescent="0.3">
      <c r="A153" s="33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00000000000001" customHeight="1" x14ac:dyDescent="0.3">
      <c r="A157" s="33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00000000000001" customHeight="1" x14ac:dyDescent="0.3">
      <c r="A163" s="38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00000000000001" customHeight="1" x14ac:dyDescent="0.3">
      <c r="A164" s="33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00000000000001" customHeight="1" x14ac:dyDescent="0.3">
      <c r="A167" s="33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00000000000001" customHeight="1" x14ac:dyDescent="0.3">
      <c r="A170" s="33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00000000000001" customHeight="1" x14ac:dyDescent="0.3">
      <c r="A173" s="33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00000000000001" customHeight="1" x14ac:dyDescent="0.3">
      <c r="A177" s="38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00000000000001" customHeight="1" x14ac:dyDescent="0.3">
      <c r="A178" s="33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00000000000001" customHeight="1" x14ac:dyDescent="0.3">
      <c r="A181" s="33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00000000000001" customHeight="1" x14ac:dyDescent="0.3">
      <c r="A185" s="38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00000000000001" customHeight="1" x14ac:dyDescent="0.3">
      <c r="A186" s="33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00000000000001" customHeight="1" x14ac:dyDescent="0.3">
      <c r="A190" s="38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00000000000001" customHeight="1" x14ac:dyDescent="0.3">
      <c r="A191" s="33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B19" sqref="B19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3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3" customWidth="1"/>
    <col min="15" max="15" width="10.5546875" customWidth="1"/>
    <col min="16" max="16" width="12.5546875" style="23" customWidth="1"/>
    <col min="17" max="17" width="10.5546875" customWidth="1"/>
    <col min="18" max="18" width="12.5546875" style="23" customWidth="1"/>
    <col min="19" max="19" width="10.5546875" customWidth="1"/>
    <col min="20" max="20" width="12.5546875" customWidth="1"/>
    <col min="21" max="21" width="10.5546875" customWidth="1"/>
    <col min="22" max="22" width="12.5546875" style="23" customWidth="1"/>
    <col min="23" max="23" width="10.5546875" customWidth="1"/>
    <col min="24" max="24" width="12.5546875" style="23" customWidth="1"/>
    <col min="25" max="25" width="10.5546875" customWidth="1"/>
    <col min="26" max="26" width="12.5546875" style="23" customWidth="1"/>
    <col min="27" max="27" width="10.5546875" customWidth="1"/>
    <col min="28" max="28" width="12.5546875" style="23" customWidth="1"/>
    <col min="29" max="29" width="10.5546875" customWidth="1"/>
    <col min="30" max="30" width="12.5546875" style="23" customWidth="1"/>
    <col min="31" max="31" width="10.5546875" customWidth="1"/>
    <col min="32" max="32" width="12.5546875" style="23" customWidth="1"/>
    <col min="33" max="33" width="10.5546875" customWidth="1"/>
    <col min="34" max="34" width="12.5546875" style="23" customWidth="1"/>
    <col min="35" max="35" width="10.5546875" customWidth="1"/>
    <col min="36" max="36" width="12.5546875" style="23" customWidth="1"/>
    <col min="37" max="37" width="10.5546875" customWidth="1"/>
    <col min="38" max="38" width="12.5546875" style="23" customWidth="1"/>
    <col min="39" max="39" width="10.5546875" customWidth="1"/>
    <col min="40" max="40" width="12.5546875" style="23" customWidth="1"/>
    <col min="41" max="41" width="10.5546875" customWidth="1"/>
    <col min="42" max="42" width="12.5546875" customWidth="1"/>
    <col min="43" max="43" width="10.5546875" customWidth="1"/>
    <col min="44" max="44" width="12.5546875" style="23" customWidth="1"/>
    <col min="45" max="45" width="10.5546875" customWidth="1"/>
    <col min="46" max="46" width="12.5546875" style="23" customWidth="1"/>
    <col min="47" max="47" width="10.5546875" customWidth="1"/>
  </cols>
  <sheetData>
    <row r="1" spans="1:47" x14ac:dyDescent="0.3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39"/>
      <c r="AT1" s="37" t="str">
        <f>Wedstrijden_beheer!AU1</f>
        <v>Raymond</v>
      </c>
      <c r="AU1" s="39"/>
    </row>
    <row r="2" spans="1:47" s="32" customFormat="1" ht="14.4" customHeight="1" x14ac:dyDescent="0.3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4" customHeight="1" x14ac:dyDescent="0.3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" customHeight="1" x14ac:dyDescent="0.3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" customHeight="1" x14ac:dyDescent="0.3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A8" sqref="A8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7" t="s">
        <v>284</v>
      </c>
      <c r="B1" s="17"/>
      <c r="C1" s="17"/>
      <c r="D1" s="17"/>
      <c r="E1" s="17"/>
    </row>
    <row r="2" spans="1:5" ht="18" customHeight="1" x14ac:dyDescent="0.3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3">
      <c r="A3" s="11">
        <f>_xlfn.RANK.EQ(E3,$E$3:$E$90,0)</f>
        <v>1</v>
      </c>
      <c r="B3" s="1" t="str">
        <f>Wedstrijden_beheer!AA1</f>
        <v>Ivo</v>
      </c>
      <c r="C3" s="11">
        <f>SUM(Wedstrijden_beheer!AB3:'Wedstrijden_beheer'!AB194)</f>
        <v>66</v>
      </c>
      <c r="D3" s="11">
        <f>Bonus_beheer!AA17</f>
        <v>0</v>
      </c>
      <c r="E3" s="11">
        <f>C3+D3</f>
        <v>66</v>
      </c>
    </row>
    <row r="4" spans="1:5" ht="18" customHeight="1" x14ac:dyDescent="0.3">
      <c r="A4" s="11">
        <f>_xlfn.RANK.EQ(E4,$E$3:$E$90,0)</f>
        <v>2</v>
      </c>
      <c r="B4" s="1" t="str">
        <f>Wedstrijden_beheer!O1</f>
        <v>Maik</v>
      </c>
      <c r="C4" s="11">
        <f>SUM(Wedstrijden_beheer!P3:'Wedstrijden_beheer'!P194)</f>
        <v>65</v>
      </c>
      <c r="D4" s="11">
        <f>Bonus_beheer!O17</f>
        <v>0</v>
      </c>
      <c r="E4" s="11">
        <f>C4+D4</f>
        <v>65</v>
      </c>
    </row>
    <row r="5" spans="1:5" ht="18" customHeight="1" x14ac:dyDescent="0.3">
      <c r="A5" s="11">
        <f>_xlfn.RANK.EQ(E5,$E$3:$E$90,0)</f>
        <v>3</v>
      </c>
      <c r="B5" s="1" t="str">
        <f>Wedstrijden_beheer!M1</f>
        <v>Bas</v>
      </c>
      <c r="C5" s="11">
        <f>SUM(Wedstrijden_beheer!N3:'Wedstrijden_beheer'!N194)</f>
        <v>58</v>
      </c>
      <c r="D5" s="11">
        <f>Bonus_beheer!M17</f>
        <v>0</v>
      </c>
      <c r="E5" s="11">
        <f>C5+D5</f>
        <v>58</v>
      </c>
    </row>
    <row r="6" spans="1:5" ht="18" customHeight="1" x14ac:dyDescent="0.3">
      <c r="A6" s="11">
        <f>_xlfn.RANK.EQ(E6,$E$3:$E$90,0)</f>
        <v>4</v>
      </c>
      <c r="B6" s="1" t="str">
        <f>Wedstrijden_beheer!I1</f>
        <v>Abdussamed</v>
      </c>
      <c r="C6" s="11">
        <f>SUM(Wedstrijden_beheer!J3:'Wedstrijden_beheer'!J194)</f>
        <v>57</v>
      </c>
      <c r="D6" s="11">
        <f>Bonus_beheer!I17</f>
        <v>0</v>
      </c>
      <c r="E6" s="11">
        <f>C6+D6</f>
        <v>57</v>
      </c>
    </row>
    <row r="7" spans="1:5" ht="18" customHeight="1" x14ac:dyDescent="0.3">
      <c r="A7" s="11">
        <f>_xlfn.RANK.EQ(E7,$E$3:$E$90,0)</f>
        <v>4</v>
      </c>
      <c r="B7" s="1" t="str">
        <f>Wedstrijden_beheer!G1</f>
        <v>Nikki</v>
      </c>
      <c r="C7" s="11">
        <f>SUM(Wedstrijden_beheer!H3:'Wedstrijden_beheer'!H194)</f>
        <v>57</v>
      </c>
      <c r="D7" s="11">
        <f>Bonus_beheer!G17</f>
        <v>0</v>
      </c>
      <c r="E7" s="11">
        <f>C7+D7</f>
        <v>57</v>
      </c>
    </row>
    <row r="8" spans="1:5" ht="18" customHeight="1" x14ac:dyDescent="0.3">
      <c r="A8" s="11">
        <f>_xlfn.RANK.EQ(E8,$E$3:$E$90,0)</f>
        <v>6</v>
      </c>
      <c r="B8" s="1" t="str">
        <f>Wedstrijden_beheer!AE1</f>
        <v>Jeroen</v>
      </c>
      <c r="C8" s="11">
        <f>SUM(Wedstrijden_beheer!AF3:'Wedstrijden_beheer'!AF194)</f>
        <v>56</v>
      </c>
      <c r="D8" s="11">
        <f>Bonus_beheer!AE17</f>
        <v>0</v>
      </c>
      <c r="E8" s="11">
        <f>C8+D8</f>
        <v>56</v>
      </c>
    </row>
    <row r="9" spans="1:5" ht="18" customHeight="1" x14ac:dyDescent="0.3">
      <c r="A9" s="11">
        <f>_xlfn.RANK.EQ(E9,$E$3:$E$90,0)</f>
        <v>7</v>
      </c>
      <c r="B9" s="1" t="str">
        <f>Wedstrijden_beheer!U1</f>
        <v>Tom</v>
      </c>
      <c r="C9" s="11">
        <f>SUM(Wedstrijden_beheer!V3:'Wedstrijden_beheer'!V194)</f>
        <v>55</v>
      </c>
      <c r="D9" s="11">
        <f>Bonus_beheer!U17</f>
        <v>0</v>
      </c>
      <c r="E9" s="11">
        <f>C9+D9</f>
        <v>55</v>
      </c>
    </row>
    <row r="10" spans="1:5" ht="18" customHeight="1" x14ac:dyDescent="0.3">
      <c r="A10" s="11">
        <f>_xlfn.RANK.EQ(E10,$E$3:$E$90,0)</f>
        <v>7</v>
      </c>
      <c r="B10" s="1" t="str">
        <f>Wedstrijden_beheer!S1</f>
        <v>Marc</v>
      </c>
      <c r="C10" s="11">
        <f>SUM(Wedstrijden_beheer!T3:'Wedstrijden_beheer'!T194)</f>
        <v>55</v>
      </c>
      <c r="D10" s="11">
        <f>Bonus_beheer!S17</f>
        <v>0</v>
      </c>
      <c r="E10" s="11">
        <f>C10+D10</f>
        <v>55</v>
      </c>
    </row>
    <row r="11" spans="1:5" ht="18" customHeight="1" x14ac:dyDescent="0.3">
      <c r="A11" s="11">
        <f>_xlfn.RANK.EQ(E11,$E$3:$E$90,0)</f>
        <v>9</v>
      </c>
      <c r="B11" s="1" t="str">
        <f>Wedstrijden_beheer!Y1</f>
        <v>Lesley</v>
      </c>
      <c r="C11" s="11">
        <f>SUM(Wedstrijden_beheer!Z3:'Wedstrijden_beheer'!Z194)</f>
        <v>53</v>
      </c>
      <c r="D11" s="11">
        <f>Bonus_beheer!Y17</f>
        <v>0</v>
      </c>
      <c r="E11" s="11">
        <f>C11+D11</f>
        <v>53</v>
      </c>
    </row>
    <row r="12" spans="1:5" ht="18" customHeight="1" x14ac:dyDescent="0.3">
      <c r="A12" s="11">
        <f>_xlfn.RANK.EQ(E12,$E$3:$E$90,0)</f>
        <v>10</v>
      </c>
      <c r="B12" s="1" t="str">
        <f>Wedstrijden_beheer!AK1</f>
        <v>Kim</v>
      </c>
      <c r="C12" s="11">
        <f>SUM(Wedstrijden_beheer!AL3:'Wedstrijden_beheer'!AL194)</f>
        <v>52</v>
      </c>
      <c r="D12" s="11">
        <f>Bonus_beheer!AK17</f>
        <v>0</v>
      </c>
      <c r="E12" s="11">
        <f>C12+D12</f>
        <v>52</v>
      </c>
    </row>
    <row r="13" spans="1:5" ht="18" customHeight="1" x14ac:dyDescent="0.3">
      <c r="A13" s="11">
        <f>_xlfn.RANK.EQ(E13,$E$3:$E$90,0)</f>
        <v>11</v>
      </c>
      <c r="B13" s="1" t="str">
        <f>Wedstrijden_beheer!AQ1</f>
        <v>Jeno</v>
      </c>
      <c r="C13" s="11">
        <f>SUM(Wedstrijden_beheer!AV4:'Wedstrijden_beheer'!AV195)</f>
        <v>51</v>
      </c>
      <c r="D13" s="11">
        <f>Bonus_beheer!AU18</f>
        <v>0</v>
      </c>
      <c r="E13" s="11">
        <f>C13+D13</f>
        <v>51</v>
      </c>
    </row>
    <row r="14" spans="1:5" ht="18" customHeight="1" x14ac:dyDescent="0.3">
      <c r="A14" s="11">
        <f>_xlfn.RANK.EQ(E14,$E$3:$E$90,0)</f>
        <v>11</v>
      </c>
      <c r="B14" s="1" t="str">
        <f>Wedstrijden_beheer!AU1</f>
        <v>Raymond</v>
      </c>
      <c r="C14" s="11">
        <f>SUM(Wedstrijden_beheer!AV3:'Wedstrijden_beheer'!AV194)</f>
        <v>51</v>
      </c>
      <c r="D14" s="11">
        <f>Bonus_beheer!AU17</f>
        <v>0</v>
      </c>
      <c r="E14" s="11">
        <f>C14+D14</f>
        <v>51</v>
      </c>
    </row>
    <row r="15" spans="1:5" ht="18" customHeight="1" x14ac:dyDescent="0.3">
      <c r="A15" s="11">
        <f>_xlfn.RANK.EQ(E15,$E$3:$E$90,0)</f>
        <v>13</v>
      </c>
      <c r="B15" s="1" t="str">
        <f>Wedstrijden_beheer!E1</f>
        <v>Roland</v>
      </c>
      <c r="C15" s="11">
        <f>SUM(Wedstrijden_beheer!F3:'Wedstrijden_beheer'!F194)</f>
        <v>50</v>
      </c>
      <c r="D15" s="11">
        <f>Bonus_beheer!E17</f>
        <v>0</v>
      </c>
      <c r="E15" s="11">
        <f>C15+D15</f>
        <v>50</v>
      </c>
    </row>
    <row r="16" spans="1:5" ht="18" customHeight="1" x14ac:dyDescent="0.3">
      <c r="A16" s="11">
        <f>_xlfn.RANK.EQ(E16,$E$3:$E$90,0)</f>
        <v>14</v>
      </c>
      <c r="B16" s="1" t="str">
        <f>Wedstrijden_beheer!AO1</f>
        <v>Patrick</v>
      </c>
      <c r="C16" s="11">
        <f>SUM(Wedstrijden_beheer!AP3:'Wedstrijden_beheer'!AP194)</f>
        <v>49</v>
      </c>
      <c r="D16" s="11">
        <f>Bonus_beheer!AO17</f>
        <v>0</v>
      </c>
      <c r="E16" s="11">
        <f>C16+D16</f>
        <v>49</v>
      </c>
    </row>
    <row r="17" spans="1:5" ht="18" customHeight="1" x14ac:dyDescent="0.3">
      <c r="A17" s="11">
        <f>_xlfn.RANK.EQ(E17,$E$3:$E$90,0)</f>
        <v>14</v>
      </c>
      <c r="B17" s="1" t="str">
        <f>Wedstrijden_beheer!AS1</f>
        <v>Andre</v>
      </c>
      <c r="C17" s="11">
        <f>SUM(Wedstrijden_beheer!R4:'Wedstrijden_beheer'!R195)</f>
        <v>49</v>
      </c>
      <c r="D17" s="11">
        <f>Bonus_beheer!Q18</f>
        <v>0</v>
      </c>
      <c r="E17" s="11">
        <f>C17+D17</f>
        <v>49</v>
      </c>
    </row>
    <row r="18" spans="1:5" ht="18" customHeight="1" x14ac:dyDescent="0.3">
      <c r="A18" s="11">
        <f>_xlfn.RANK.EQ(E18,$E$3:$E$90,0)</f>
        <v>14</v>
      </c>
      <c r="B18" s="1" t="str">
        <f>Wedstrijden_beheer!Q1</f>
        <v>Simone</v>
      </c>
      <c r="C18" s="11">
        <f>SUM(Wedstrijden_beheer!R3:'Wedstrijden_beheer'!R194)</f>
        <v>49</v>
      </c>
      <c r="D18" s="11">
        <f>Bonus_beheer!Q17</f>
        <v>0</v>
      </c>
      <c r="E18" s="11">
        <f>C18+D18</f>
        <v>49</v>
      </c>
    </row>
    <row r="19" spans="1:5" ht="18" customHeight="1" x14ac:dyDescent="0.3">
      <c r="A19" s="11">
        <f>_xlfn.RANK.EQ(E19,$E$3:$E$90,0)</f>
        <v>17</v>
      </c>
      <c r="B19" s="1" t="str">
        <f>Wedstrijden_beheer!AG1</f>
        <v>Erwin</v>
      </c>
      <c r="C19" s="11">
        <f>SUM(Wedstrijden_beheer!AH3:'Wedstrijden_beheer'!AH194)</f>
        <v>47</v>
      </c>
      <c r="D19" s="11">
        <f>Bonus_beheer!AG17</f>
        <v>0</v>
      </c>
      <c r="E19" s="11">
        <f>C19+D19</f>
        <v>47</v>
      </c>
    </row>
    <row r="20" spans="1:5" ht="18" customHeight="1" x14ac:dyDescent="0.3">
      <c r="A20" s="11">
        <f>_xlfn.RANK.EQ(E20,$E$3:$E$90,0)</f>
        <v>18</v>
      </c>
      <c r="B20" s="1" t="str">
        <f>Wedstrijden_beheer!W1</f>
        <v>Jos</v>
      </c>
      <c r="C20" s="11">
        <f>SUM(Wedstrijden_beheer!X3:'Wedstrijden_beheer'!X194)</f>
        <v>46</v>
      </c>
      <c r="D20" s="11">
        <f>Bonus_beheer!W17</f>
        <v>0</v>
      </c>
      <c r="E20" s="11">
        <f>C20+D20</f>
        <v>46</v>
      </c>
    </row>
    <row r="21" spans="1:5" ht="18" customHeight="1" x14ac:dyDescent="0.3">
      <c r="A21" s="11">
        <f>_xlfn.RANK.EQ(E21,$E$3:$E$90,0)</f>
        <v>18</v>
      </c>
      <c r="B21" s="1" t="str">
        <f>Wedstrijden_beheer!AI1</f>
        <v>Tim</v>
      </c>
      <c r="C21" s="11">
        <f>SUM(Wedstrijden_beheer!AJ3:'Wedstrijden_beheer'!AJ194)</f>
        <v>46</v>
      </c>
      <c r="D21" s="11">
        <f>Bonus_beheer!AI17</f>
        <v>0</v>
      </c>
      <c r="E21" s="11">
        <f>C21+D21</f>
        <v>46</v>
      </c>
    </row>
    <row r="22" spans="1:5" ht="18" customHeight="1" x14ac:dyDescent="0.3">
      <c r="A22" s="11">
        <f>_xlfn.RANK.EQ(E22,$E$3:$E$90,0)</f>
        <v>20</v>
      </c>
      <c r="B22" s="1" t="str">
        <f>Wedstrijden_beheer!AC1</f>
        <v>Ron</v>
      </c>
      <c r="C22" s="11">
        <f>SUM(Wedstrijden_beheer!AD3:'Wedstrijden_beheer'!AD194)</f>
        <v>42</v>
      </c>
      <c r="D22" s="11">
        <f>Bonus_beheer!AC17</f>
        <v>0</v>
      </c>
      <c r="E22" s="11">
        <f>C22+D22</f>
        <v>42</v>
      </c>
    </row>
    <row r="23" spans="1:5" x14ac:dyDescent="0.3">
      <c r="A23" s="11">
        <f>_xlfn.RANK.EQ(E23,$E$3:$E$90,0)</f>
        <v>20</v>
      </c>
      <c r="B23" s="1" t="str">
        <f>Wedstrijden_beheer!AM1</f>
        <v>Kristel</v>
      </c>
      <c r="C23" s="11">
        <f>SUM(Wedstrijden_beheer!AN3:'Wedstrijden_beheer'!AN194)</f>
        <v>42</v>
      </c>
      <c r="D23" s="11">
        <f>Bonus_beheer!AM17</f>
        <v>0</v>
      </c>
      <c r="E23" s="11">
        <f>C23+D23</f>
        <v>42</v>
      </c>
    </row>
    <row r="24" spans="1:5" x14ac:dyDescent="0.3">
      <c r="A24" s="11">
        <f>_xlfn.RANK.EQ(E24,$E$3:$E$90,0)</f>
        <v>22</v>
      </c>
      <c r="B24" s="1" t="str">
        <f>Wedstrijden_beheer!K1</f>
        <v>Karsten</v>
      </c>
      <c r="C24" s="11">
        <f>SUM(Wedstrijden_beheer!L3:'Wedstrijden_beheer'!L194)</f>
        <v>40</v>
      </c>
      <c r="D24" s="11">
        <f>Bonus_beheer!K17</f>
        <v>0</v>
      </c>
      <c r="E24" s="11">
        <f>C24+D24</f>
        <v>40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7" t="s">
        <v>290</v>
      </c>
      <c r="B1" s="17"/>
    </row>
    <row r="2" spans="1:2" ht="18" customHeight="1" x14ac:dyDescent="0.3">
      <c r="A2" s="16" t="s">
        <v>291</v>
      </c>
      <c r="B2" s="16" t="s">
        <v>292</v>
      </c>
    </row>
    <row r="3" spans="1:2" ht="18" customHeight="1" x14ac:dyDescent="0.3">
      <c r="A3" s="1" t="s">
        <v>293</v>
      </c>
      <c r="B3" s="1" t="s">
        <v>294</v>
      </c>
    </row>
    <row r="4" spans="1:2" ht="18" customHeight="1" x14ac:dyDescent="0.3">
      <c r="A4" s="1" t="s">
        <v>295</v>
      </c>
      <c r="B4" s="1" t="s">
        <v>294</v>
      </c>
    </row>
    <row r="5" spans="1:2" ht="18" customHeight="1" x14ac:dyDescent="0.3">
      <c r="A5" s="1" t="s">
        <v>296</v>
      </c>
      <c r="B5" s="1" t="s">
        <v>297</v>
      </c>
    </row>
    <row r="6" spans="1:2" ht="18" customHeight="1" x14ac:dyDescent="0.3">
      <c r="A6" s="1" t="s">
        <v>298</v>
      </c>
      <c r="B6" s="1" t="s">
        <v>299</v>
      </c>
    </row>
    <row r="7" spans="1:2" ht="18" customHeight="1" x14ac:dyDescent="0.3">
      <c r="A7" s="1" t="s">
        <v>300</v>
      </c>
      <c r="B7" s="1" t="s">
        <v>301</v>
      </c>
    </row>
    <row r="8" spans="1:2" ht="18" customHeight="1" x14ac:dyDescent="0.3">
      <c r="A8" s="1" t="s">
        <v>302</v>
      </c>
      <c r="B8" s="1" t="s">
        <v>303</v>
      </c>
    </row>
    <row r="9" spans="1:2" ht="18" customHeight="1" x14ac:dyDescent="0.3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16" t="s">
        <v>291</v>
      </c>
      <c r="B2" s="16" t="s">
        <v>28</v>
      </c>
      <c r="C2" s="16" t="s">
        <v>307</v>
      </c>
    </row>
    <row r="3" spans="1:44" ht="18" customHeight="1" x14ac:dyDescent="0.3">
      <c r="A3" s="1" t="s">
        <v>308</v>
      </c>
      <c r="B3" s="1">
        <v>10</v>
      </c>
      <c r="C3" s="1" t="s">
        <v>309</v>
      </c>
    </row>
    <row r="4" spans="1:44" ht="18" customHeight="1" x14ac:dyDescent="0.3">
      <c r="A4" s="1" t="s">
        <v>310</v>
      </c>
      <c r="B4" s="1">
        <v>5</v>
      </c>
      <c r="C4" s="1" t="s">
        <v>311</v>
      </c>
    </row>
    <row r="5" spans="1:44" ht="18" customHeight="1" x14ac:dyDescent="0.3">
      <c r="A5" s="1" t="s">
        <v>312</v>
      </c>
      <c r="B5" s="1">
        <v>2</v>
      </c>
      <c r="C5" s="1" t="s">
        <v>313</v>
      </c>
    </row>
    <row r="6" spans="1:44" ht="18" customHeight="1" x14ac:dyDescent="0.3">
      <c r="A6" s="1" t="s">
        <v>314</v>
      </c>
      <c r="B6" s="1">
        <v>2</v>
      </c>
      <c r="C6" s="1" t="s">
        <v>315</v>
      </c>
    </row>
    <row r="7" spans="1:44" ht="18" customHeight="1" x14ac:dyDescent="0.3">
      <c r="A7" s="1" t="s">
        <v>316</v>
      </c>
      <c r="B7" s="1">
        <v>2</v>
      </c>
      <c r="C7" s="1" t="s">
        <v>317</v>
      </c>
    </row>
    <row r="8" spans="1:44" ht="18" customHeight="1" x14ac:dyDescent="0.3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topLeftCell="A10" zoomScale="190" zoomScaleNormal="190" workbookViewId="0">
      <selection activeCell="B2" sqref="B2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6" t="s">
        <v>319</v>
      </c>
      <c r="B1" s="26" t="s">
        <v>320</v>
      </c>
      <c r="C1" s="26" t="s">
        <v>321</v>
      </c>
    </row>
    <row r="2" spans="1:3" x14ac:dyDescent="0.3">
      <c r="A2" t="s">
        <v>322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323</v>
      </c>
      <c r="C5" t="s">
        <v>324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367818C-8D56-468A-9A53-C7AB90E97273}">
  <ds:schemaRefs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http://www.w3.org/XML/1998/namespace"/>
    <ds:schemaRef ds:uri="7c2036e6-2c6c-4cc0-93d3-66cc911cb074"/>
    <ds:schemaRef ds:uri="http://schemas.microsoft.com/office/2006/metadata/properties"/>
    <ds:schemaRef ds:uri="http://purl.org/dc/dcmitype/"/>
    <ds:schemaRef ds:uri="http://purl.org/dc/terms/"/>
    <ds:schemaRef ds:uri="http://purl.org/dc/elements/1.1/"/>
    <ds:schemaRef ds:uri="7b90d758-d430-4ffd-9227-0f539ac48821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2026-06-16T04:15:54Z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