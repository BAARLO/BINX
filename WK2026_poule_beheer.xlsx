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24" documentId="8_{E82BF418-5EC5-4A9D-9227-B9F99AE92E74}" xr6:coauthVersionLast="47" xr6:coauthVersionMax="47" xr10:uidLastSave="{A6BE7B67-E03A-4C7E-8077-B1D72D3C745A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X124" i="1"/>
  <c r="AW124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X123" i="1"/>
  <c r="AW123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X122" i="1"/>
  <c r="AW122" i="1"/>
  <c r="AV122" i="1"/>
  <c r="AT122" i="1"/>
  <c r="AR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F122" i="1"/>
  <c r="AX119" i="1"/>
  <c r="AW119" i="1"/>
  <c r="AV119" i="1"/>
  <c r="AT119" i="1"/>
  <c r="AR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F119" i="1"/>
  <c r="AX118" i="1"/>
  <c r="AW118" i="1"/>
  <c r="AV118" i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F118" i="1"/>
  <c r="AX115" i="1"/>
  <c r="AW115" i="1"/>
  <c r="Z115" i="1" s="1"/>
  <c r="AV115" i="1"/>
  <c r="AT115" i="1"/>
  <c r="AR115" i="1"/>
  <c r="AP115" i="1"/>
  <c r="AN115" i="1"/>
  <c r="AL115" i="1"/>
  <c r="AJ115" i="1"/>
  <c r="AH115" i="1"/>
  <c r="AF115" i="1"/>
  <c r="AD115" i="1"/>
  <c r="AB115" i="1"/>
  <c r="L115" i="1"/>
  <c r="J115" i="1"/>
  <c r="H115" i="1"/>
  <c r="F115" i="1"/>
  <c r="N115" i="1" l="1"/>
  <c r="P115" i="1"/>
  <c r="R115" i="1"/>
  <c r="T115" i="1"/>
  <c r="V115" i="1"/>
  <c r="X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H110" i="1" l="1"/>
  <c r="J110" i="1"/>
  <c r="AF110" i="1"/>
  <c r="AH110" i="1"/>
  <c r="AJ110" i="1"/>
  <c r="AL110" i="1"/>
  <c r="AX110" i="1"/>
  <c r="V110" i="1" s="1"/>
  <c r="AW110" i="1"/>
  <c r="L110" i="1" s="1"/>
  <c r="AV110" i="1"/>
  <c r="AT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4" i="3"/>
  <c r="B14" i="3"/>
  <c r="B24" i="3"/>
  <c r="B12" i="3"/>
  <c r="B16" i="3"/>
  <c r="B3" i="3"/>
  <c r="B6" i="3"/>
  <c r="B21" i="3"/>
  <c r="B20" i="3"/>
  <c r="B13" i="3"/>
  <c r="B15" i="3"/>
  <c r="D15" i="3"/>
  <c r="B10" i="3"/>
  <c r="B8" i="3"/>
  <c r="B18" i="3"/>
  <c r="B19" i="3"/>
  <c r="B5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10" i="1" l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3" i="3" s="1"/>
  <c r="AI17" i="2"/>
  <c r="D20" i="3" s="1"/>
  <c r="AO17" i="2"/>
  <c r="D6" i="3" s="1"/>
  <c r="AA17" i="2"/>
  <c r="D8" i="3" s="1"/>
  <c r="AC17" i="2"/>
  <c r="D19" i="3" s="1"/>
  <c r="AE17" i="2"/>
  <c r="D5" i="3" s="1"/>
  <c r="AG17" i="2"/>
  <c r="D12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4" i="3" s="1"/>
  <c r="W17" i="2"/>
  <c r="D14" i="3" s="1"/>
  <c r="Y17" i="2"/>
  <c r="D10" i="3" s="1"/>
  <c r="C16" i="3" l="1"/>
  <c r="E16" i="3" s="1"/>
  <c r="C15" i="3"/>
  <c r="E15" i="3" s="1"/>
  <c r="C23" i="3"/>
  <c r="E23" i="3" s="1"/>
  <c r="C22" i="3"/>
  <c r="E22" i="3" s="1"/>
  <c r="C6" i="3"/>
  <c r="E6" i="3" s="1"/>
  <c r="C19" i="3"/>
  <c r="E19" i="3" s="1"/>
  <c r="C24" i="3"/>
  <c r="E24" i="3" s="1"/>
  <c r="C5" i="3"/>
  <c r="E5" i="3" s="1"/>
  <c r="C11" i="3"/>
  <c r="E11" i="3" s="1"/>
  <c r="C18" i="3"/>
  <c r="E18" i="3" s="1"/>
  <c r="C20" i="3"/>
  <c r="E20" i="3" s="1"/>
  <c r="C3" i="3"/>
  <c r="E3" i="3" s="1"/>
  <c r="C14" i="3"/>
  <c r="E14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3" i="3"/>
  <c r="E13" i="3" s="1"/>
  <c r="C4" i="3"/>
  <c r="E4" i="3" s="1"/>
  <c r="C12" i="3"/>
  <c r="E12" i="3" s="1"/>
  <c r="A22" i="3" l="1"/>
  <c r="A13" i="3"/>
  <c r="A7" i="3"/>
  <c r="A15" i="3"/>
  <c r="A12" i="3"/>
  <c r="A3" i="3"/>
  <c r="A10" i="3"/>
  <c r="A21" i="3"/>
  <c r="A11" i="3"/>
  <c r="A6" i="3"/>
  <c r="A20" i="3"/>
  <c r="A4" i="3"/>
  <c r="A18" i="3"/>
  <c r="A17" i="3"/>
  <c r="A23" i="3"/>
  <c r="A24" i="3"/>
  <c r="A14" i="3"/>
  <c r="A9" i="3"/>
  <c r="A5" i="3"/>
  <c r="A19" i="3"/>
  <c r="A8" i="3"/>
  <c r="A16" i="3"/>
</calcChain>
</file>

<file path=xl/sharedStrings.xml><?xml version="1.0" encoding="utf-8"?>
<sst xmlns="http://schemas.openxmlformats.org/spreadsheetml/2006/main" count="2670" uniqueCount="299">
  <si>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</si>
  <si>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</si>
  <si>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</si>
  <si>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</si>
  <si>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</si>
  <si>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</si>
  <si>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</si>
  <si>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</si>
  <si>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</si>
  <si>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</si>
  <si>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</si>
  <si>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</si>
  <si>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</si>
  <si>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</si>
  <si>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</si>
  <si>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</si>
  <si>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</si>
  <si>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</si>
  <si>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</si>
  <si>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</si>
  <si>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</si>
  <si>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</si>
  <si>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</si>
  <si>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</si>
  <si>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</si>
  <si>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</si>
  <si>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</si>
  <si>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</si>
  <si>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</si>
  <si>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</si>
  <si>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</si>
  <si>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</si>
  <si>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</si>
  <si>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</si>
  <si>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</si>
  <si>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</si>
  <si>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</si>
  <si>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</si>
  <si>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</si>
  <si>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</si>
  <si>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</si>
  <si>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</si>
  <si>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</si>
  <si>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</si>
  <si>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</si>
  <si>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</si>
  <si>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</si>
  <si>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</si>
  <si>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</si>
  <si>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</si>
  <si>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</si>
  <si>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</si>
  <si>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</si>
  <si>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</si>
  <si>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</si>
  <si>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</si>
  <si>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</si>
  <si>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</si>
  <si>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</si>
  <si>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</si>
  <si>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</si>
  <si>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</si>
  <si>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</si>
  <si>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</si>
  <si>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</si>
  <si>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</si>
  <si>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</si>
  <si>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</si>
  <si>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</si>
  <si>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</si>
  <si>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</si>
  <si>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</si>
  <si>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</si>
  <si>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</si>
  <si>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</si>
  <si>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</si>
  <si>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</si>
  <si>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</si>
  <si>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</si>
  <si>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</si>
  <si>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</si>
  <si>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</si>
  <si>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</si>
  <si>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</si>
  <si>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</si>
  <si>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</si>
  <si>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</si>
  <si>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</si>
  <si>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</si>
  <si>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</si>
  <si>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</si>
  <si>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</si>
  <si>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</si>
  <si>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</si>
  <si>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</si>
  <si>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</si>
  <si>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</si>
  <si>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</si>
  <si>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</si>
  <si>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</si>
  <si>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</si>
  <si>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</si>
  <si>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</si>
  <si>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</si>
  <si>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</si>
  <si>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</si>
  <si>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</si>
  <si>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</si>
  <si>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</si>
  <si>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</si>
  <si>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</si>
  <si>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</si>
  <si>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</si>
  <si>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</si>
  <si>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</si>
  <si>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</si>
  <si>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</si>
  <si>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</si>
  <si>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</si>
  <si>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</si>
  <si>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</si>
  <si>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</si>
  <si>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</si>
  <si>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</si>
  <si>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</si>
  <si>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</si>
  <si>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</si>
  <si>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</si>
  <si>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</si>
  <si>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</si>
  <si>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</si>
  <si>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</si>
  <si>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</si>
  <si>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</si>
  <si>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</si>
  <si>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</si>
  <si>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</si>
  <si>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</si>
  <si>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</si>
  <si>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</si>
  <si>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</si>
  <si>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</si>
  <si>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</si>
  <si>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</si>
  <si>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</si>
  <si>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</si>
  <si>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</si>
  <si>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</si>
  <si>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</si>
  <si>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</si>
  <si>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</si>
  <si>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</si>
  <si>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</si>
  <si>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</si>
  <si>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</si>
  <si>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</si>
  <si>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</si>
  <si>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</si>
  <si>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</si>
  <si>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</si>
  <si>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</si>
  <si>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</si>
  <si>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</si>
  <si>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</si>
  <si>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</si>
  <si>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</si>
  <si>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</si>
  <si>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</si>
  <si>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</si>
  <si>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</si>
  <si>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</si>
  <si>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</si>
  <si>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</si>
  <si>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</si>
  <si>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</si>
  <si>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</si>
  <si>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</si>
  <si>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</si>
  <si>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</si>
  <si>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</si>
  <si>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</si>
  <si>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</si>
  <si>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</si>
  <si>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</si>
  <si>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</si>
  <si>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</si>
  <si>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</si>
  <si>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</si>
  <si>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</si>
  <si>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</si>
  <si>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</si>
  <si>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</si>
  <si>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</si>
  <si>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</si>
  <si>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</si>
  <si>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</si>
  <si>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</si>
  <si>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</si>
  <si>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</si>
  <si>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</si>
  <si>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</si>
  <si>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</si>
  <si>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</si>
  <si>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</si>
  <si>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</si>
  <si>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</si>
  <si>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</si>
  <si>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</si>
  <si>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</si>
  <si>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</si>
  <si>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</si>
  <si>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</si>
  <si>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</si>
  <si>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</si>
  <si>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</si>
  <si>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</si>
  <si>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</si>
  <si>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</si>
  <si>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</si>
  <si>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</si>
  <si>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</si>
  <si>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</si>
  <si>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</si>
  <si>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</si>
  <si>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</si>
  <si>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</si>
  <si>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</si>
  <si>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</si>
  <si>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</si>
  <si>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</si>
  <si>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</si>
  <si>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</si>
  <si>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</si>
  <si>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</si>
  <si>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</si>
  <si>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</si>
  <si>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</si>
  <si>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</si>
  <si>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</si>
  <si>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</si>
  <si>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</si>
  <si>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</si>
  <si>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</si>
  <si>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</si>
  <si>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</si>
  <si>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</si>
  <si>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</si>
  <si>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</si>
  <si>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</si>
  <si>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</si>
  <si>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</si>
  <si>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</si>
  <si>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</si>
  <si>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</si>
  <si>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</si>
  <si>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</si>
  <si>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</si>
  <si>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</si>
  <si>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</si>
  <si>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</si>
  <si>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</si>
  <si>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</si>
  <si>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</si>
  <si>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</si>
  <si>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</si>
  <si>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</si>
  <si>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</si>
  <si>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</si>
  <si>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</si>
  <si>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</si>
  <si>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</si>
  <si>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</si>
  <si>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</si>
  <si>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</si>
  <si>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</si>
  <si>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</si>
  <si>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</si>
  <si>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</si>
  <si>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</si>
  <si>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</si>
  <si>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</si>
  <si>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</si>
  <si>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</si>
  <si>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</si>
  <si>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</si>
  <si>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</si>
  <si>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</si>
  <si>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</si>
  <si>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</si>
  <si>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</si>
  <si>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</si>
  <si>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</si>
  <si>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</si>
  <si>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</si>
  <si>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</si>
  <si>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</si>
  <si>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</si>
  <si>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</si>
  <si>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Maroko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</si>
</sst>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1" activePane="bottomRight" state="frozen"/>
      <selection pane="topRight"/>
      <selection pane="bottomLeft"/>
      <selection pane="bottomRight" activeCell="F118" sqref="F118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292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25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25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25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50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2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/>
      <c r="D118" s="1" t="s">
        <v>74</v>
      </c>
      <c r="E118" s="10" t="s">
        <v>34</v>
      </c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 t="s">
        <v>33</v>
      </c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 t="s">
        <v>33</v>
      </c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 t="s">
        <v>34</v>
      </c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 t="s">
        <v>49</v>
      </c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 t="s">
        <v>33</v>
      </c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 t="s">
        <v>34</v>
      </c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 t="s">
        <v>33</v>
      </c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 t="s">
        <v>61</v>
      </c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 t="s">
        <v>34</v>
      </c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 t="s">
        <v>33</v>
      </c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 t="s">
        <v>36</v>
      </c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 t="s">
        <v>61</v>
      </c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 t="s">
        <v>33</v>
      </c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 t="s">
        <v>33</v>
      </c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 t="s">
        <v>39</v>
      </c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 t="s">
        <v>34</v>
      </c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7" t="s">
        <v>69</v>
      </c>
      <c r="C119" s="10"/>
      <c r="D119" s="1" t="s">
        <v>53</v>
      </c>
      <c r="E119" s="10" t="s">
        <v>34</v>
      </c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 t="s">
        <v>39</v>
      </c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 t="s">
        <v>63</v>
      </c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 t="s">
        <v>43</v>
      </c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 t="s">
        <v>36</v>
      </c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 t="s">
        <v>38</v>
      </c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 t="s">
        <v>36</v>
      </c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 t="s">
        <v>43</v>
      </c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 t="s">
        <v>34</v>
      </c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 t="s">
        <v>38</v>
      </c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 t="s">
        <v>36</v>
      </c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 t="s">
        <v>33</v>
      </c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 t="s">
        <v>39</v>
      </c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 t="s">
        <v>39</v>
      </c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 t="s">
        <v>38</v>
      </c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 t="s">
        <v>36</v>
      </c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/>
      <c r="D122" s="1" t="s">
        <v>298</v>
      </c>
      <c r="E122" s="10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 t="s">
        <v>39</v>
      </c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 t="s">
        <v>34</v>
      </c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 t="s">
        <v>61</v>
      </c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 t="s">
        <v>33</v>
      </c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 t="s">
        <v>33</v>
      </c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 t="s">
        <v>33</v>
      </c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 t="s">
        <v>33</v>
      </c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 t="s">
        <v>61</v>
      </c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 t="s">
        <v>49</v>
      </c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 t="s">
        <v>33</v>
      </c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 t="s">
        <v>38</v>
      </c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 t="s">
        <v>33</v>
      </c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 t="s">
        <v>61</v>
      </c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 t="s">
        <v>33</v>
      </c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 t="s">
        <v>61</v>
      </c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7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7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25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25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25">
      <c r="A147" s="9">
        <v>1.791666666666667</v>
      </c>
      <c r="B147" s="17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44" t="s">
        <v>140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25">
      <c r="A151" s="9">
        <v>1.916666666666667</v>
      </c>
      <c r="B151" s="17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44" t="s">
        <v>143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25">
      <c r="A154" s="9">
        <v>1.083333333333333</v>
      </c>
      <c r="B154" s="17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44" t="s">
        <v>148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25">
      <c r="A158" s="9">
        <v>1.083333333333333</v>
      </c>
      <c r="B158" s="17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155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25">
      <c r="A164" s="44" t="s">
        <v>156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25">
      <c r="A165" s="9">
        <v>1.916666666666667</v>
      </c>
      <c r="B165" s="17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44" t="s">
        <v>159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25">
      <c r="A168" s="9">
        <v>1.875</v>
      </c>
      <c r="B168" s="17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44" t="s">
        <v>162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25">
      <c r="A171" s="9">
        <v>1.958333333333333</v>
      </c>
      <c r="B171" s="17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44" t="s">
        <v>165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25">
      <c r="A174" s="9">
        <v>1.125</v>
      </c>
      <c r="B174" s="17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168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25">
      <c r="A178" s="44" t="s">
        <v>169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25">
      <c r="A179" s="9">
        <v>1.875</v>
      </c>
      <c r="B179" s="17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44" t="s">
        <v>172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25">
      <c r="A182" s="9">
        <v>1.875</v>
      </c>
      <c r="B182" s="17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175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25">
      <c r="A186" s="44" t="s">
        <v>176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25">
      <c r="A187" s="9">
        <v>1.958333333333333</v>
      </c>
      <c r="B187" s="17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179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25">
      <c r="A191" s="44" t="s">
        <v>180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25">
      <c r="A192" s="9">
        <v>1.875</v>
      </c>
      <c r="B192" s="17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5" customHeight="1" x14ac:dyDescent="0.25">
      <c r="A2" s="34"/>
      <c r="B2" s="35" t="s">
        <v>183</v>
      </c>
      <c r="C2" s="34" t="s">
        <v>184</v>
      </c>
      <c r="D2" s="36" t="s">
        <v>185</v>
      </c>
      <c r="E2" s="34" t="s">
        <v>28</v>
      </c>
      <c r="F2" s="34" t="s">
        <v>185</v>
      </c>
      <c r="G2" s="34" t="s">
        <v>28</v>
      </c>
      <c r="H2" s="34" t="s">
        <v>185</v>
      </c>
      <c r="I2" s="34" t="s">
        <v>28</v>
      </c>
      <c r="J2" s="34" t="s">
        <v>185</v>
      </c>
      <c r="K2" s="34" t="s">
        <v>28</v>
      </c>
      <c r="L2" s="34" t="s">
        <v>185</v>
      </c>
      <c r="M2" s="34" t="s">
        <v>28</v>
      </c>
      <c r="N2" s="36" t="s">
        <v>185</v>
      </c>
      <c r="O2" s="34" t="s">
        <v>28</v>
      </c>
      <c r="P2" s="36" t="s">
        <v>185</v>
      </c>
      <c r="Q2" s="34" t="s">
        <v>28</v>
      </c>
      <c r="R2" s="36" t="s">
        <v>185</v>
      </c>
      <c r="S2" s="34" t="s">
        <v>28</v>
      </c>
      <c r="T2" s="34" t="s">
        <v>185</v>
      </c>
      <c r="U2" s="34" t="s">
        <v>28</v>
      </c>
      <c r="V2" s="36" t="s">
        <v>185</v>
      </c>
      <c r="W2" s="34" t="s">
        <v>28</v>
      </c>
      <c r="X2" s="36" t="s">
        <v>185</v>
      </c>
      <c r="Y2" s="34" t="s">
        <v>28</v>
      </c>
      <c r="Z2" s="36" t="s">
        <v>185</v>
      </c>
      <c r="AA2" s="34" t="s">
        <v>28</v>
      </c>
      <c r="AB2" s="36" t="s">
        <v>185</v>
      </c>
      <c r="AC2" s="34" t="s">
        <v>28</v>
      </c>
      <c r="AD2" s="36" t="s">
        <v>185</v>
      </c>
      <c r="AE2" s="34" t="s">
        <v>28</v>
      </c>
      <c r="AF2" s="36" t="s">
        <v>185</v>
      </c>
      <c r="AG2" s="34" t="s">
        <v>28</v>
      </c>
      <c r="AH2" s="36" t="s">
        <v>185</v>
      </c>
      <c r="AI2" s="34" t="s">
        <v>28</v>
      </c>
      <c r="AJ2" s="36" t="s">
        <v>185</v>
      </c>
      <c r="AK2" s="34" t="s">
        <v>28</v>
      </c>
      <c r="AL2" s="37" t="s">
        <v>185</v>
      </c>
      <c r="AM2" s="34" t="s">
        <v>28</v>
      </c>
      <c r="AN2" s="36" t="s">
        <v>185</v>
      </c>
      <c r="AO2" s="34" t="s">
        <v>28</v>
      </c>
      <c r="AP2" s="34" t="s">
        <v>185</v>
      </c>
      <c r="AQ2" s="34" t="s">
        <v>28</v>
      </c>
      <c r="AR2" s="36" t="s">
        <v>185</v>
      </c>
      <c r="AS2" s="34" t="s">
        <v>28</v>
      </c>
      <c r="AT2" s="36" t="s">
        <v>185</v>
      </c>
      <c r="AU2" s="34" t="s">
        <v>28</v>
      </c>
    </row>
    <row r="3" spans="1:47" ht="14.45" customHeight="1" x14ac:dyDescent="0.2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191</v>
      </c>
      <c r="C6" s="1"/>
      <c r="D6" s="24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1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1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1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1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1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1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1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5" t="s">
        <v>248</v>
      </c>
      <c r="AA16" s="11" t="str">
        <f t="shared" si="11"/>
        <v/>
      </c>
      <c r="AB16" s="21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27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45" customHeight="1" x14ac:dyDescent="0.2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252</v>
      </c>
      <c r="B1" s="16"/>
      <c r="C1" s="16"/>
      <c r="D1" s="16"/>
      <c r="E1" s="16"/>
    </row>
    <row r="2" spans="1:5" ht="18" customHeight="1" x14ac:dyDescent="0.25">
      <c r="A2" s="38" t="s">
        <v>253</v>
      </c>
      <c r="B2" s="38" t="s">
        <v>254</v>
      </c>
      <c r="C2" s="38" t="s">
        <v>255</v>
      </c>
      <c r="D2" s="38" t="s">
        <v>256</v>
      </c>
      <c r="E2" s="38" t="s">
        <v>257</v>
      </c>
    </row>
    <row r="3" spans="1:5" ht="18" customHeight="1" x14ac:dyDescent="0.2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377</v>
      </c>
      <c r="D3" s="11">
        <f>Bonus_beheer!E17</f>
        <v>0</v>
      </c>
      <c r="E3" s="11">
        <f t="shared" ref="E3:E24" si="1">C3+D3</f>
        <v>377</v>
      </c>
    </row>
    <row r="4" spans="1:5" ht="18" customHeight="1" x14ac:dyDescent="0.2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368</v>
      </c>
      <c r="D4" s="11">
        <f>Bonus_beheer!U17</f>
        <v>0</v>
      </c>
      <c r="E4" s="11">
        <f t="shared" si="1"/>
        <v>368</v>
      </c>
    </row>
    <row r="5" spans="1:5" ht="18" customHeight="1" x14ac:dyDescent="0.2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367</v>
      </c>
      <c r="D5" s="11">
        <f>Bonus_beheer!AE17</f>
        <v>0</v>
      </c>
      <c r="E5" s="11">
        <f t="shared" si="1"/>
        <v>367</v>
      </c>
    </row>
    <row r="6" spans="1:5" ht="18" customHeight="1" x14ac:dyDescent="0.2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363</v>
      </c>
      <c r="D6" s="11">
        <f>Bonus_beheer!AO17</f>
        <v>0</v>
      </c>
      <c r="E6" s="11">
        <f t="shared" si="1"/>
        <v>363</v>
      </c>
    </row>
    <row r="7" spans="1:5" ht="18" customHeight="1" x14ac:dyDescent="0.2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357</v>
      </c>
      <c r="D7" s="11">
        <f>Bonus_beheer!I17</f>
        <v>0</v>
      </c>
      <c r="E7" s="11">
        <f t="shared" si="1"/>
        <v>357</v>
      </c>
    </row>
    <row r="8" spans="1:5" ht="18" customHeight="1" x14ac:dyDescent="0.25">
      <c r="A8" s="11">
        <f t="shared" si="0"/>
        <v>7</v>
      </c>
      <c r="B8" s="1" t="str">
        <f>Wedstrijden_beheer!AA1</f>
        <v>Ivo</v>
      </c>
      <c r="C8" s="11">
        <f>SUM(Wedstrijden_beheer!AB3:'Wedstrijden_beheer'!AB194)</f>
        <v>356</v>
      </c>
      <c r="D8" s="11">
        <f>Bonus_beheer!AA17</f>
        <v>0</v>
      </c>
      <c r="E8" s="11">
        <f t="shared" si="1"/>
        <v>356</v>
      </c>
    </row>
    <row r="9" spans="1:5" ht="18" customHeight="1" x14ac:dyDescent="0.25">
      <c r="A9" s="11">
        <f t="shared" si="0"/>
        <v>5</v>
      </c>
      <c r="B9" s="1" t="str">
        <f>Wedstrijden_beheer!AK1</f>
        <v>Kim</v>
      </c>
      <c r="C9" s="11">
        <f>SUM(Wedstrijden_beheer!AL3:'Wedstrijden_beheer'!AL194)</f>
        <v>357</v>
      </c>
      <c r="D9" s="11">
        <f>Bonus_beheer!AK17</f>
        <v>0</v>
      </c>
      <c r="E9" s="11">
        <f t="shared" si="1"/>
        <v>357</v>
      </c>
    </row>
    <row r="10" spans="1:5" ht="18" customHeight="1" x14ac:dyDescent="0.2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348</v>
      </c>
      <c r="D10" s="11">
        <f>Bonus_beheer!Y17</f>
        <v>0</v>
      </c>
      <c r="E10" s="11">
        <f t="shared" si="1"/>
        <v>348</v>
      </c>
    </row>
    <row r="11" spans="1:5" ht="18" customHeight="1" x14ac:dyDescent="0.25">
      <c r="A11" s="11">
        <f t="shared" si="0"/>
        <v>10</v>
      </c>
      <c r="B11" s="1" t="str">
        <f>Wedstrijden_beheer!O1</f>
        <v>Maik</v>
      </c>
      <c r="C11" s="11">
        <f>SUM(Wedstrijden_beheer!P3:'Wedstrijden_beheer'!P194)</f>
        <v>342</v>
      </c>
      <c r="D11" s="11">
        <f>Bonus_beheer!O17</f>
        <v>0</v>
      </c>
      <c r="E11" s="11">
        <f t="shared" si="1"/>
        <v>342</v>
      </c>
    </row>
    <row r="12" spans="1:5" ht="18" customHeight="1" x14ac:dyDescent="0.25">
      <c r="A12" s="11">
        <f t="shared" si="0"/>
        <v>9</v>
      </c>
      <c r="B12" s="1" t="str">
        <f>Wedstrijden_beheer!AG1</f>
        <v>Erwin</v>
      </c>
      <c r="C12" s="11">
        <f>SUM(Wedstrijden_beheer!AH3:'Wedstrijden_beheer'!AH194)</f>
        <v>343</v>
      </c>
      <c r="D12" s="11">
        <f>Bonus_beheer!AG17</f>
        <v>0</v>
      </c>
      <c r="E12" s="11">
        <f t="shared" si="1"/>
        <v>343</v>
      </c>
    </row>
    <row r="13" spans="1:5" ht="18" customHeight="1" x14ac:dyDescent="0.25">
      <c r="A13" s="11">
        <f t="shared" si="0"/>
        <v>12</v>
      </c>
      <c r="B13" s="1" t="str">
        <f>Wedstrijden_beheer!AM1</f>
        <v>Kristel</v>
      </c>
      <c r="C13" s="11">
        <f>SUM(Wedstrijden_beheer!AN3:'Wedstrijden_beheer'!AN194)</f>
        <v>332</v>
      </c>
      <c r="D13" s="11">
        <f>Bonus_beheer!AM17</f>
        <v>0</v>
      </c>
      <c r="E13" s="11">
        <f t="shared" si="1"/>
        <v>332</v>
      </c>
    </row>
    <row r="14" spans="1:5" ht="18" customHeight="1" x14ac:dyDescent="0.25">
      <c r="A14" s="11">
        <f t="shared" si="0"/>
        <v>11</v>
      </c>
      <c r="B14" s="1" t="str">
        <f>Wedstrijden_beheer!W1</f>
        <v>Jos</v>
      </c>
      <c r="C14" s="11">
        <f>SUM(Wedstrijden_beheer!X3:'Wedstrijden_beheer'!X194)</f>
        <v>335</v>
      </c>
      <c r="D14" s="11">
        <f>Bonus_beheer!W17</f>
        <v>0</v>
      </c>
      <c r="E14" s="11">
        <f t="shared" si="1"/>
        <v>335</v>
      </c>
    </row>
    <row r="15" spans="1:5" ht="18" customHeight="1" x14ac:dyDescent="0.25">
      <c r="A15" s="11">
        <f t="shared" si="0"/>
        <v>13</v>
      </c>
      <c r="B15" s="1" t="str">
        <f>Wedstrijden_beheer!AQ1</f>
        <v>Jeno</v>
      </c>
      <c r="C15" s="11">
        <f>SUM(Wedstrijden_beheer!AV4:'Wedstrijden_beheer'!AV195)</f>
        <v>328</v>
      </c>
      <c r="D15" s="11">
        <f>Bonus_beheer!AU18</f>
        <v>0</v>
      </c>
      <c r="E15" s="11">
        <f t="shared" si="1"/>
        <v>328</v>
      </c>
    </row>
    <row r="16" spans="1:5" ht="18" customHeight="1" x14ac:dyDescent="0.25">
      <c r="A16" s="11">
        <f t="shared" si="0"/>
        <v>13</v>
      </c>
      <c r="B16" s="1" t="str">
        <f>Wedstrijden_beheer!AU1</f>
        <v>Raymond</v>
      </c>
      <c r="C16" s="11">
        <f>SUM(Wedstrijden_beheer!AV3:'Wedstrijden_beheer'!AV194)</f>
        <v>328</v>
      </c>
      <c r="D16" s="11">
        <f>Bonus_beheer!AU17</f>
        <v>0</v>
      </c>
      <c r="E16" s="11">
        <f t="shared" si="1"/>
        <v>328</v>
      </c>
    </row>
    <row r="17" spans="1:5" ht="18" customHeight="1" x14ac:dyDescent="0.2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311</v>
      </c>
      <c r="D17" s="11">
        <f>Bonus_beheer!G17</f>
        <v>0</v>
      </c>
      <c r="E17" s="11">
        <f t="shared" si="1"/>
        <v>311</v>
      </c>
    </row>
    <row r="18" spans="1:5" ht="18" customHeight="1" x14ac:dyDescent="0.25">
      <c r="A18" s="11">
        <f t="shared" si="0"/>
        <v>17</v>
      </c>
      <c r="B18" s="1" t="str">
        <f>Wedstrijden_beheer!M1</f>
        <v>Bas</v>
      </c>
      <c r="C18" s="11">
        <f>SUM(Wedstrijden_beheer!N3:'Wedstrijden_beheer'!N194)</f>
        <v>301</v>
      </c>
      <c r="D18" s="11">
        <f>Bonus_beheer!M17</f>
        <v>0</v>
      </c>
      <c r="E18" s="11">
        <f t="shared" si="1"/>
        <v>301</v>
      </c>
    </row>
    <row r="19" spans="1:5" ht="18" customHeight="1" x14ac:dyDescent="0.2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303</v>
      </c>
      <c r="D19" s="11">
        <f>Bonus_beheer!AC17</f>
        <v>0</v>
      </c>
      <c r="E19" s="11">
        <f t="shared" si="1"/>
        <v>303</v>
      </c>
    </row>
    <row r="20" spans="1:5" ht="18" customHeight="1" x14ac:dyDescent="0.25">
      <c r="A20" s="11">
        <f t="shared" si="0"/>
        <v>21</v>
      </c>
      <c r="B20" s="1" t="str">
        <f>Wedstrijden_beheer!AI1</f>
        <v>Tim</v>
      </c>
      <c r="C20" s="11">
        <f>SUM(Wedstrijden_beheer!AJ3:'Wedstrijden_beheer'!AJ194)</f>
        <v>281</v>
      </c>
      <c r="D20" s="11">
        <f>Bonus_beheer!AI17</f>
        <v>0</v>
      </c>
      <c r="E20" s="11">
        <f t="shared" si="1"/>
        <v>281</v>
      </c>
    </row>
    <row r="21" spans="1:5" ht="18" customHeight="1" x14ac:dyDescent="0.25">
      <c r="A21" s="11">
        <f t="shared" si="0"/>
        <v>18</v>
      </c>
      <c r="B21" s="1" t="str">
        <f>Wedstrijden_beheer!K1</f>
        <v>Karsten</v>
      </c>
      <c r="C21" s="11">
        <f>SUM(Wedstrijden_beheer!L3:'Wedstrijden_beheer'!L194)</f>
        <v>286</v>
      </c>
      <c r="D21" s="11">
        <f>Bonus_beheer!K17</f>
        <v>0</v>
      </c>
      <c r="E21" s="11">
        <f t="shared" si="1"/>
        <v>286</v>
      </c>
    </row>
    <row r="22" spans="1:5" ht="18" customHeight="1" x14ac:dyDescent="0.25">
      <c r="A22" s="11">
        <f t="shared" si="0"/>
        <v>19</v>
      </c>
      <c r="B22" s="1" t="str">
        <f>Wedstrijden_beheer!AS1</f>
        <v>Andre</v>
      </c>
      <c r="C22" s="11">
        <f>SUM(Wedstrijden_beheer!R4:'Wedstrijden_beheer'!R195)</f>
        <v>282</v>
      </c>
      <c r="D22" s="11">
        <f>Bonus_beheer!Q18</f>
        <v>0</v>
      </c>
      <c r="E22" s="11">
        <f t="shared" si="1"/>
        <v>282</v>
      </c>
    </row>
    <row r="23" spans="1:5" x14ac:dyDescent="0.25">
      <c r="A23" s="11">
        <f t="shared" si="0"/>
        <v>19</v>
      </c>
      <c r="B23" s="1" t="str">
        <f>Wedstrijden_beheer!Q1</f>
        <v>Simone</v>
      </c>
      <c r="C23" s="11">
        <f>SUM(Wedstrijden_beheer!R3:'Wedstrijden_beheer'!R194)</f>
        <v>282</v>
      </c>
      <c r="D23" s="11">
        <f>Bonus_beheer!Q17</f>
        <v>0</v>
      </c>
      <c r="E23" s="11">
        <f t="shared" si="1"/>
        <v>282</v>
      </c>
    </row>
    <row r="24" spans="1:5" x14ac:dyDescent="0.2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278</v>
      </c>
      <c r="D24" s="11">
        <f>Bonus_beheer!S17</f>
        <v>0</v>
      </c>
      <c r="E24" s="11">
        <f t="shared" si="1"/>
        <v>278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258</v>
      </c>
      <c r="B1" s="16"/>
    </row>
    <row r="2" spans="1:2" ht="18" customHeight="1" x14ac:dyDescent="0.25">
      <c r="A2" s="38" t="s">
        <v>259</v>
      </c>
      <c r="B2" s="38" t="s">
        <v>260</v>
      </c>
    </row>
    <row r="3" spans="1:2" ht="18" customHeight="1" x14ac:dyDescent="0.25">
      <c r="A3" s="1" t="s">
        <v>261</v>
      </c>
      <c r="B3" s="1" t="s">
        <v>262</v>
      </c>
    </row>
    <row r="4" spans="1:2" ht="18" customHeight="1" x14ac:dyDescent="0.25">
      <c r="A4" s="1" t="s">
        <v>263</v>
      </c>
      <c r="B4" s="1" t="s">
        <v>262</v>
      </c>
    </row>
    <row r="5" spans="1:2" ht="18" customHeight="1" x14ac:dyDescent="0.25">
      <c r="A5" s="1" t="s">
        <v>264</v>
      </c>
      <c r="B5" s="1" t="s">
        <v>265</v>
      </c>
    </row>
    <row r="6" spans="1:2" ht="18" customHeight="1" x14ac:dyDescent="0.25">
      <c r="A6" s="1" t="s">
        <v>266</v>
      </c>
      <c r="B6" s="1" t="s">
        <v>267</v>
      </c>
    </row>
    <row r="7" spans="1:2" ht="18" customHeight="1" x14ac:dyDescent="0.25">
      <c r="A7" s="1" t="s">
        <v>268</v>
      </c>
      <c r="B7" s="1" t="s">
        <v>269</v>
      </c>
    </row>
    <row r="8" spans="1:2" ht="18" customHeight="1" x14ac:dyDescent="0.25">
      <c r="A8" s="1" t="s">
        <v>270</v>
      </c>
      <c r="B8" s="1" t="s">
        <v>271</v>
      </c>
    </row>
    <row r="9" spans="1:2" ht="18" customHeight="1" x14ac:dyDescent="0.2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274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259</v>
      </c>
      <c r="B2" s="38" t="s">
        <v>28</v>
      </c>
      <c r="C2" s="38" t="s">
        <v>275</v>
      </c>
    </row>
    <row r="3" spans="1:44" ht="18" customHeight="1" x14ac:dyDescent="0.25">
      <c r="A3" s="1" t="s">
        <v>276</v>
      </c>
      <c r="B3" s="1">
        <v>10</v>
      </c>
      <c r="C3" s="1" t="s">
        <v>277</v>
      </c>
    </row>
    <row r="4" spans="1:44" ht="18" customHeight="1" x14ac:dyDescent="0.25">
      <c r="A4" s="1" t="s">
        <v>278</v>
      </c>
      <c r="B4" s="1">
        <v>5</v>
      </c>
      <c r="C4" s="1" t="s">
        <v>279</v>
      </c>
    </row>
    <row r="5" spans="1:44" ht="18" customHeight="1" x14ac:dyDescent="0.25">
      <c r="A5" s="1" t="s">
        <v>280</v>
      </c>
      <c r="B5" s="1">
        <v>2</v>
      </c>
      <c r="C5" s="1" t="s">
        <v>281</v>
      </c>
    </row>
    <row r="6" spans="1:44" ht="18" customHeight="1" x14ac:dyDescent="0.25">
      <c r="A6" s="1" t="s">
        <v>282</v>
      </c>
      <c r="B6" s="1">
        <v>2</v>
      </c>
      <c r="C6" s="1" t="s">
        <v>283</v>
      </c>
    </row>
    <row r="7" spans="1:44" ht="18" customHeight="1" x14ac:dyDescent="0.25">
      <c r="A7" s="1" t="s">
        <v>284</v>
      </c>
      <c r="B7" s="1">
        <v>2</v>
      </c>
      <c r="C7" s="1" t="s">
        <v>285</v>
      </c>
    </row>
    <row r="8" spans="1:44" ht="18" customHeight="1" x14ac:dyDescent="0.2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287</v>
      </c>
      <c r="B1" s="22" t="s">
        <v>288</v>
      </c>
      <c r="C1" s="22" t="s">
        <v>289</v>
      </c>
    </row>
    <row r="2" spans="1:3" x14ac:dyDescent="0.25">
      <c r="A2" t="s">
        <v>290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291</v>
      </c>
      <c r="C5" t="s">
        <v>292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2026-06-29T06:46:00Z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