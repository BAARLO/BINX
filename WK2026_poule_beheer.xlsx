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24" documentId="8_{E82BF418-5EC5-4A9D-9227-B9F99AE92E74}" xr6:coauthVersionLast="47" xr6:coauthVersionMax="47" xr10:uidLastSave="{DB8BFCB3-93B1-4E30-B728-6B204BCDDFE4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4" i="3"/>
  <c r="B3" i="3"/>
  <c r="B12" i="3"/>
  <c r="B9" i="3"/>
  <c r="B16" i="3"/>
  <c r="B18" i="3"/>
  <c r="B10" i="3"/>
  <c r="B15" i="3"/>
  <c r="B13" i="3"/>
  <c r="B11" i="3"/>
  <c r="B21" i="3"/>
  <c r="B22" i="3"/>
  <c r="B20" i="3"/>
  <c r="B14" i="3"/>
  <c r="D14" i="3"/>
  <c r="B5" i="3"/>
  <c r="B4" i="3"/>
  <c r="B17" i="3"/>
  <c r="B19" i="3"/>
  <c r="B7" i="3"/>
  <c r="B8" i="3"/>
  <c r="B6" i="3"/>
  <c r="AR6" i="1"/>
  <c r="AR10" i="1"/>
  <c r="AR14" i="1"/>
  <c r="AR21" i="1"/>
  <c r="AR27" i="1"/>
  <c r="AR32" i="1"/>
  <c r="AR39" i="1"/>
  <c r="AR45" i="1"/>
  <c r="AR50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H9" i="1" s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L24" i="1" s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P43" i="1" s="1"/>
  <c r="AW44" i="1"/>
  <c r="AX44" i="1"/>
  <c r="AT44" i="1" s="1"/>
  <c r="AW47" i="1"/>
  <c r="AX47" i="1"/>
  <c r="P47" i="1" s="1"/>
  <c r="AW48" i="1"/>
  <c r="AX48" i="1"/>
  <c r="AW49" i="1"/>
  <c r="AX49" i="1"/>
  <c r="AW52" i="1"/>
  <c r="AX52" i="1"/>
  <c r="F52" i="1" s="1"/>
  <c r="AW53" i="1"/>
  <c r="AX53" i="1"/>
  <c r="X53" i="1" s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P17" i="1" l="1"/>
  <c r="H19" i="1"/>
  <c r="N42" i="1"/>
  <c r="J20" i="1"/>
  <c r="H16" i="1"/>
  <c r="J16" i="1"/>
  <c r="AH31" i="1"/>
  <c r="AP53" i="1"/>
  <c r="AP42" i="1"/>
  <c r="AF20" i="1"/>
  <c r="Z53" i="1"/>
  <c r="AV8" i="1"/>
  <c r="AB53" i="1"/>
  <c r="AF53" i="1"/>
  <c r="AH53" i="1"/>
  <c r="AP19" i="1"/>
  <c r="AN34" i="1"/>
  <c r="AV12" i="1"/>
  <c r="AV20" i="1"/>
  <c r="AR47" i="1"/>
  <c r="H20" i="1"/>
  <c r="J41" i="1"/>
  <c r="AN20" i="1"/>
  <c r="AJ37" i="1"/>
  <c r="AP20" i="1"/>
  <c r="F36" i="1"/>
  <c r="L16" i="1"/>
  <c r="L41" i="1"/>
  <c r="N41" i="1"/>
  <c r="F35" i="1"/>
  <c r="P13" i="1"/>
  <c r="P41" i="1"/>
  <c r="R41" i="1"/>
  <c r="F34" i="1"/>
  <c r="F12" i="1"/>
  <c r="AT19" i="1"/>
  <c r="T41" i="1"/>
  <c r="AN53" i="1"/>
  <c r="AN31" i="1"/>
  <c r="AL42" i="1"/>
  <c r="F20" i="1"/>
  <c r="AL31" i="1"/>
  <c r="AL34" i="1"/>
  <c r="J35" i="1"/>
  <c r="Z41" i="1"/>
  <c r="N19" i="1"/>
  <c r="P38" i="1"/>
  <c r="P48" i="1"/>
  <c r="AP24" i="1"/>
  <c r="AR44" i="1"/>
  <c r="AT53" i="1"/>
  <c r="AN42" i="1"/>
  <c r="R35" i="1"/>
  <c r="R13" i="1"/>
  <c r="F53" i="1"/>
  <c r="L31" i="1"/>
  <c r="AJ53" i="1"/>
  <c r="F48" i="1"/>
  <c r="P30" i="1"/>
  <c r="AT8" i="1"/>
  <c r="V43" i="1"/>
  <c r="J43" i="1"/>
  <c r="AH23" i="1"/>
  <c r="X43" i="1"/>
  <c r="L20" i="1"/>
  <c r="L35" i="1"/>
  <c r="Z43" i="1"/>
  <c r="P20" i="1"/>
  <c r="N35" i="1"/>
  <c r="AB43" i="1"/>
  <c r="R20" i="1"/>
  <c r="P35" i="1"/>
  <c r="AD43" i="1"/>
  <c r="V41" i="1"/>
  <c r="T20" i="1"/>
  <c r="AH35" i="1"/>
  <c r="AF43" i="1"/>
  <c r="V20" i="1"/>
  <c r="AJ35" i="1"/>
  <c r="AJ43" i="1"/>
  <c r="AR38" i="1"/>
  <c r="Z20" i="1"/>
  <c r="AL43" i="1"/>
  <c r="AB20" i="1"/>
  <c r="H41" i="1"/>
  <c r="X48" i="1"/>
  <c r="T17" i="1"/>
  <c r="AT43" i="1"/>
  <c r="AL23" i="1"/>
  <c r="AN23" i="1"/>
  <c r="AJ23" i="1"/>
  <c r="AV52" i="1"/>
  <c r="X36" i="1"/>
  <c r="X41" i="1"/>
  <c r="AL24" i="1"/>
  <c r="AN24" i="1"/>
  <c r="AD41" i="1"/>
  <c r="AH30" i="1"/>
  <c r="AB42" i="1"/>
  <c r="R30" i="1"/>
  <c r="AD42" i="1"/>
  <c r="AP49" i="1"/>
  <c r="N29" i="1"/>
  <c r="AR43" i="1"/>
  <c r="T30" i="1"/>
  <c r="AF42" i="1"/>
  <c r="N48" i="1"/>
  <c r="AR42" i="1"/>
  <c r="L13" i="1"/>
  <c r="AJ30" i="1"/>
  <c r="AH42" i="1"/>
  <c r="AR41" i="1"/>
  <c r="V44" i="1"/>
  <c r="R43" i="1"/>
  <c r="AP23" i="1"/>
  <c r="AB41" i="1"/>
  <c r="AL30" i="1"/>
  <c r="N13" i="1"/>
  <c r="AJ42" i="1"/>
  <c r="N47" i="1"/>
  <c r="X18" i="1"/>
  <c r="AT16" i="1"/>
  <c r="N16" i="1"/>
  <c r="P16" i="1"/>
  <c r="AP35" i="1"/>
  <c r="AL13" i="1"/>
  <c r="R16" i="1"/>
  <c r="F29" i="1"/>
  <c r="T16" i="1"/>
  <c r="AD34" i="1"/>
  <c r="H44" i="1"/>
  <c r="AP54" i="1"/>
  <c r="AB34" i="1"/>
  <c r="AD12" i="1"/>
  <c r="V16" i="1"/>
  <c r="AF34" i="1"/>
  <c r="F17" i="1"/>
  <c r="X16" i="1"/>
  <c r="AH34" i="1"/>
  <c r="L47" i="1"/>
  <c r="F16" i="1"/>
  <c r="AD53" i="1"/>
  <c r="AR31" i="1"/>
  <c r="AR53" i="1"/>
  <c r="AJ34" i="1"/>
  <c r="F13" i="1"/>
  <c r="AF52" i="1"/>
  <c r="AT30" i="1"/>
  <c r="H38" i="1"/>
  <c r="L38" i="1"/>
  <c r="AP37" i="1"/>
  <c r="R17" i="1"/>
  <c r="N38" i="1"/>
  <c r="V17" i="1"/>
  <c r="X17" i="1"/>
  <c r="J52" i="1"/>
  <c r="T29" i="1"/>
  <c r="AJ24" i="1"/>
  <c r="AR30" i="1"/>
  <c r="AF29" i="1"/>
  <c r="AJ29" i="1"/>
  <c r="R52" i="1"/>
  <c r="AL18" i="1"/>
  <c r="AL29" i="1"/>
  <c r="R37" i="1"/>
  <c r="J53" i="1"/>
  <c r="Z42" i="1"/>
  <c r="AT20" i="1"/>
  <c r="AR20" i="1"/>
  <c r="AP38" i="1"/>
  <c r="AB17" i="1"/>
  <c r="T49" i="1"/>
  <c r="AD17" i="1"/>
  <c r="AR48" i="1"/>
  <c r="H52" i="1"/>
  <c r="AT37" i="1"/>
  <c r="AB18" i="1"/>
  <c r="V36" i="1"/>
  <c r="AD18" i="1"/>
  <c r="L52" i="1"/>
  <c r="AD29" i="1"/>
  <c r="AH18" i="1"/>
  <c r="N37" i="1"/>
  <c r="P52" i="1"/>
  <c r="F43" i="1"/>
  <c r="P37" i="1"/>
  <c r="H13" i="1"/>
  <c r="AB37" i="1"/>
  <c r="N53" i="1"/>
  <c r="AV43" i="1"/>
  <c r="J38" i="1"/>
  <c r="Z17" i="1"/>
  <c r="V49" i="1"/>
  <c r="J26" i="1"/>
  <c r="AF17" i="1"/>
  <c r="X49" i="1"/>
  <c r="Z18" i="1"/>
  <c r="AP47" i="1"/>
  <c r="R29" i="1"/>
  <c r="AP44" i="1"/>
  <c r="AT29" i="1"/>
  <c r="AF18" i="1"/>
  <c r="J37" i="1"/>
  <c r="N52" i="1"/>
  <c r="AF23" i="1"/>
  <c r="AJ18" i="1"/>
  <c r="AN18" i="1"/>
  <c r="L30" i="1"/>
  <c r="N43" i="1"/>
  <c r="J13" i="1"/>
  <c r="N30" i="1"/>
  <c r="AF37" i="1"/>
  <c r="P43" i="1"/>
  <c r="AV41" i="1"/>
  <c r="AV19" i="1"/>
  <c r="AV29" i="1"/>
  <c r="T52" i="1"/>
  <c r="V52" i="1"/>
  <c r="X52" i="1"/>
  <c r="Z52" i="1"/>
  <c r="AB52" i="1"/>
  <c r="AT52" i="1"/>
  <c r="AD52" i="1"/>
  <c r="AH52" i="1"/>
  <c r="AR52" i="1"/>
  <c r="AJ52" i="1"/>
  <c r="AL52" i="1"/>
  <c r="AN52" i="1"/>
  <c r="AP52" i="1"/>
  <c r="AR49" i="1"/>
  <c r="H49" i="1"/>
  <c r="J49" i="1"/>
  <c r="L49" i="1"/>
  <c r="P49" i="1"/>
  <c r="N49" i="1"/>
  <c r="R49" i="1"/>
  <c r="AT49" i="1"/>
  <c r="AD49" i="1"/>
  <c r="AF49" i="1"/>
  <c r="AB49" i="1"/>
  <c r="AH49" i="1"/>
  <c r="AV49" i="1"/>
  <c r="AJ49" i="1"/>
  <c r="Z49" i="1"/>
  <c r="AL49" i="1"/>
  <c r="AN49" i="1"/>
  <c r="F49" i="1"/>
  <c r="J54" i="1"/>
  <c r="N54" i="1"/>
  <c r="P54" i="1"/>
  <c r="R54" i="1"/>
  <c r="AT54" i="1"/>
  <c r="L54" i="1"/>
  <c r="H54" i="1"/>
  <c r="AR54" i="1"/>
  <c r="X54" i="1"/>
  <c r="Z54" i="1"/>
  <c r="AB54" i="1"/>
  <c r="AD54" i="1"/>
  <c r="AF54" i="1"/>
  <c r="T54" i="1"/>
  <c r="AH54" i="1"/>
  <c r="AV54" i="1"/>
  <c r="AL54" i="1"/>
  <c r="AN54" i="1"/>
  <c r="F54" i="1"/>
  <c r="AJ54" i="1"/>
  <c r="V54" i="1"/>
  <c r="AL53" i="1"/>
  <c r="R53" i="1"/>
  <c r="H53" i="1"/>
  <c r="L53" i="1"/>
  <c r="P53" i="1"/>
  <c r="AV53" i="1"/>
  <c r="T53" i="1"/>
  <c r="V53" i="1"/>
  <c r="L44" i="1"/>
  <c r="J44" i="1"/>
  <c r="N44" i="1"/>
  <c r="P44" i="1"/>
  <c r="R44" i="1"/>
  <c r="T44" i="1"/>
  <c r="AB44" i="1"/>
  <c r="AD44" i="1"/>
  <c r="AF44" i="1"/>
  <c r="F44" i="1"/>
  <c r="AV44" i="1"/>
  <c r="X44" i="1"/>
  <c r="Z44" i="1"/>
  <c r="AH44" i="1"/>
  <c r="AJ44" i="1"/>
  <c r="AL44" i="1"/>
  <c r="AN44" i="1"/>
  <c r="H47" i="1"/>
  <c r="J47" i="1"/>
  <c r="R47" i="1"/>
  <c r="T47" i="1"/>
  <c r="AT47" i="1"/>
  <c r="V47" i="1"/>
  <c r="Z47" i="1"/>
  <c r="X47" i="1"/>
  <c r="AD47" i="1"/>
  <c r="AF47" i="1"/>
  <c r="AB47" i="1"/>
  <c r="F47" i="1"/>
  <c r="AV47" i="1"/>
  <c r="AH47" i="1"/>
  <c r="AJ47" i="1"/>
  <c r="AL47" i="1"/>
  <c r="AN47" i="1"/>
  <c r="Z48" i="1"/>
  <c r="R48" i="1"/>
  <c r="AH48" i="1"/>
  <c r="AF48" i="1"/>
  <c r="AB48" i="1"/>
  <c r="H48" i="1"/>
  <c r="J48" i="1"/>
  <c r="L48" i="1"/>
  <c r="AT48" i="1"/>
  <c r="V48" i="1"/>
  <c r="AV48" i="1"/>
  <c r="AD48" i="1"/>
  <c r="T48" i="1"/>
  <c r="AJ48" i="1"/>
  <c r="AL48" i="1"/>
  <c r="AP48" i="1"/>
  <c r="AN48" i="1"/>
  <c r="AH43" i="1"/>
  <c r="H43" i="1"/>
  <c r="L43" i="1"/>
  <c r="T43" i="1"/>
  <c r="AN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4" i="3" s="1"/>
  <c r="AK17" i="2"/>
  <c r="D12" i="3" s="1"/>
  <c r="AM17" i="2"/>
  <c r="D20" i="3" s="1"/>
  <c r="AI17" i="2"/>
  <c r="D22" i="3" s="1"/>
  <c r="AO17" i="2"/>
  <c r="D11" i="3" s="1"/>
  <c r="AA17" i="2"/>
  <c r="D4" i="3" s="1"/>
  <c r="AC17" i="2"/>
  <c r="D19" i="3" s="1"/>
  <c r="AE17" i="2"/>
  <c r="D7" i="3" s="1"/>
  <c r="AG17" i="2"/>
  <c r="D10" i="3" s="1"/>
  <c r="E17" i="2"/>
  <c r="D13" i="3" s="1"/>
  <c r="I17" i="2"/>
  <c r="D6" i="3" s="1"/>
  <c r="K17" i="2"/>
  <c r="D21" i="3" s="1"/>
  <c r="M17" i="2"/>
  <c r="D17" i="3" s="1"/>
  <c r="G17" i="2"/>
  <c r="D8" i="3" s="1"/>
  <c r="O17" i="2"/>
  <c r="D3" i="3" s="1"/>
  <c r="S17" i="2"/>
  <c r="D18" i="3" s="1"/>
  <c r="U17" i="2"/>
  <c r="D9" i="3" s="1"/>
  <c r="W17" i="2"/>
  <c r="D16" i="3" s="1"/>
  <c r="Y17" i="2"/>
  <c r="D5" i="3" s="1"/>
  <c r="C15" i="3" l="1"/>
  <c r="E15" i="3" s="1"/>
  <c r="C14" i="3"/>
  <c r="E14" i="3" s="1"/>
  <c r="C24" i="3"/>
  <c r="E24" i="3" s="1"/>
  <c r="C23" i="3"/>
  <c r="E23" i="3" s="1"/>
  <c r="C11" i="3"/>
  <c r="E11" i="3" s="1"/>
  <c r="C19" i="3"/>
  <c r="E19" i="3" s="1"/>
  <c r="C18" i="3"/>
  <c r="E18" i="3" s="1"/>
  <c r="C7" i="3"/>
  <c r="E7" i="3" s="1"/>
  <c r="C3" i="3"/>
  <c r="E3" i="3" s="1"/>
  <c r="C17" i="3"/>
  <c r="E17" i="3" s="1"/>
  <c r="C22" i="3"/>
  <c r="E22" i="3" s="1"/>
  <c r="C13" i="3"/>
  <c r="E13" i="3" s="1"/>
  <c r="C16" i="3"/>
  <c r="E16" i="3" s="1"/>
  <c r="C21" i="3"/>
  <c r="E21" i="3" s="1"/>
  <c r="C12" i="3"/>
  <c r="E12" i="3" s="1"/>
  <c r="C4" i="3"/>
  <c r="E4" i="3" s="1"/>
  <c r="C8" i="3"/>
  <c r="E8" i="3" s="1"/>
  <c r="C5" i="3"/>
  <c r="E5" i="3" s="1"/>
  <c r="C6" i="3"/>
  <c r="E6" i="3" s="1"/>
  <c r="C20" i="3"/>
  <c r="E20" i="3" s="1"/>
  <c r="C9" i="3"/>
  <c r="E9" i="3" s="1"/>
  <c r="C10" i="3"/>
  <c r="E10" i="3" s="1"/>
  <c r="A23" i="3" l="1"/>
  <c r="A20" i="3"/>
  <c r="A6" i="3"/>
  <c r="A14" i="3"/>
  <c r="A10" i="3"/>
  <c r="A13" i="3"/>
  <c r="A5" i="3"/>
  <c r="A21" i="3"/>
  <c r="A3" i="3"/>
  <c r="A11" i="3"/>
  <c r="A22" i="3"/>
  <c r="A9" i="3"/>
  <c r="A17" i="3"/>
  <c r="A8" i="3"/>
  <c r="A24" i="3"/>
  <c r="A18" i="3"/>
  <c r="A16" i="3"/>
  <c r="A12" i="3"/>
  <c r="A7" i="3"/>
  <c r="A19" i="3"/>
  <c r="A4" i="3"/>
  <c r="A15" i="3"/>
</calcChain>
</file>

<file path=xl/sharedStrings.xml><?xml version="1.0" encoding="utf-8"?>
<sst xmlns="http://schemas.openxmlformats.org/spreadsheetml/2006/main" count="2299" uniqueCount="295">
  <si>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</si>
  <si>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</si>
  <si>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</si>
  <si>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</si>
  <si>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</si>
  <si>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</si>
  <si>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</si>
  <si>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</si>
  <si>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</si>
  <si>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</si>
  <si>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</si>
  <si>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</si>
  <si>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</si>
  <si>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</si>
  <si>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</si>
  <si>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</si>
  <si>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</si>
  <si>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</si>
  <si>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</si>
  <si>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</si>
  <si>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</si>
  <si>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</si>
  <si>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</si>
  <si>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</si>
  <si>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</si>
  <si>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</si>
  <si>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</si>
  <si>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</si>
  <si>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</si>
  <si>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</si>
  <si>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</si>
  <si>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</si>
  <si>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</si>
  <si>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</si>
  <si>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</si>
  <si>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</si>
  <si>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</si>
  <si>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</si>
  <si>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</si>
  <si>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</si>
  <si>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</si>
  <si>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</si>
  <si>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</si>
  <si>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</si>
  <si>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</si>
  <si>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</si>
  <si>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</si>
  <si>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</si>
  <si>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</si>
  <si>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Verenigde Staten</t>
  </si>
  <si>
    <t>Paraguay</t>
  </si>
  <si>
    <t>Qatar</t>
  </si>
  <si>
    <t>Zwitserland</t>
  </si>
  <si>
    <t>0-3</t>
  </si>
  <si>
    <t>1-3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</si>
  <si>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</si>
  <si>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</si>
  <si>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</si>
  <si>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</si>
  <si>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</si>
  <si>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</si>
  <si>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</si>
  <si>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</si>
  <si>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</si>
  <si>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</si>
  <si>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</si>
  <si>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</si>
  <si>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</si>
  <si>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</si>
  <si>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</si>
  <si>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</si>
  <si>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</si>
  <si>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</si>
  <si>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</si>
  <si>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</si>
  <si>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</si>
  <si>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</si>
  <si>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</si>
  <si>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</si>
  <si>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Saoedi-Arabië</t>
  </si>
  <si>
    <t>Uruguay</t>
  </si>
  <si>
    <t>Iran</t>
  </si>
  <si>
    <t>Nieuw-Zeeland</t>
  </si>
  <si>
    <t>Frankrijk</t>
  </si>
  <si>
    <t>Senegal</t>
  </si>
  <si>
    <t>5-2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</si>
  <si>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</si>
  <si>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</si>
  <si>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</si>
  <si>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</si>
  <si>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</si>
  <si>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</si>
  <si>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</si>
  <si>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</si>
  <si>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</si>
  <si>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</si>
  <si>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Ghana</t>
  </si>
  <si>
    <t>Panama</t>
  </si>
  <si>
    <t>4-3</t>
  </si>
  <si>
    <t>Oezbekistan</t>
  </si>
  <si>
    <t>Colombia</t>
  </si>
  <si>
    <t>3-4</t>
  </si>
  <si>
    <t>7-0</t>
  </si>
  <si>
    <t>5-1</t>
  </si>
  <si>
    <t>1-4</t>
  </si>
  <si>
    <t>1-5</t>
  </si>
  <si>
    <t>2-4</t>
  </si>
  <si>
    <t>3-3</t>
  </si>
  <si>
    <t>0-5</t>
  </si>
  <si>
    <t>0-6</t>
  </si>
  <si>
    <t>Zestiende finales</t>
  </si>
  <si>
    <t>2A</t>
  </si>
  <si>
    <t>2B</t>
  </si>
  <si>
    <t>1C</t>
  </si>
  <si>
    <t>2F</t>
  </si>
  <si>
    <t>1E</t>
  </si>
  <si>
    <t>3ABCDF</t>
  </si>
  <si>
    <t>1F</t>
  </si>
  <si>
    <t>2C</t>
  </si>
  <si>
    <t>2E</t>
  </si>
  <si>
    <t>2I</t>
  </si>
  <si>
    <t>1I</t>
  </si>
  <si>
    <t>3CDFGH</t>
  </si>
  <si>
    <t>1A</t>
  </si>
  <si>
    <t>3CEFHI</t>
  </si>
  <si>
    <t>1L</t>
  </si>
  <si>
    <t>3EHIJK</t>
  </si>
  <si>
    <t>1G</t>
  </si>
  <si>
    <t>3AEHIJ</t>
  </si>
  <si>
    <t>1D</t>
  </si>
  <si>
    <t>3BEFIJ</t>
  </si>
  <si>
    <t>1H</t>
  </si>
  <si>
    <t>2J</t>
  </si>
  <si>
    <t>2K</t>
  </si>
  <si>
    <t>2L</t>
  </si>
  <si>
    <t>1B</t>
  </si>
  <si>
    <t>3EFGIJ</t>
  </si>
  <si>
    <t>2D</t>
  </si>
  <si>
    <t>2G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</si>
  <si>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</si>
  <si>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</si>
  <si>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</si>
  <si>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</si>
  <si>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</si>
  <si>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</si>
  <si>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</si>
  <si>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</si>
  <si>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</si>
  <si>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Winnaar wedstrijd 76</t>
  </si>
  <si>
    <t>Winnaar wedstrijd 78</t>
  </si>
  <si>
    <t>Winnaar wedstrijd 79</t>
  </si>
  <si>
    <t>Winnaar wedstrijd 80</t>
  </si>
  <si>
    <t>Winnaar wedstrijd 83</t>
  </si>
  <si>
    <t>Winnaar wedstrijd 84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</si>
  <si>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</si>
  <si>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</si>
  <si>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</si>
  <si>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</si>
  <si>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</si>
  <si>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</si>
  <si>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</si>
  <si>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Winnaar wedstrijd 89</t>
  </si>
  <si>
    <t>Winnaar wedstrijd 90</t>
  </si>
  <si>
    <t>Winnaar wedstrijd 93</t>
  </si>
  <si>
    <t>Winnaar wedstrijd 94</t>
  </si>
  <si>
    <t>Winnaar wedstrijd 91</t>
  </si>
  <si>
    <t>Winnaar wedstrijd 92</t>
  </si>
  <si>
    <t>Winnaar wedstrijd 95</t>
  </si>
  <si>
    <t>Winnaar wedstrijd 96</t>
  </si>
  <si>
    <t>Halve finales</t>
  </si>
  <si>
    <t>Winnaar wedstrijd 97</t>
  </si>
  <si>
    <t>Winnaar wedstrijd 98</t>
  </si>
  <si>
    <t>Winnaar wedstrijd 99</t>
  </si>
  <si>
    <t>Winnaar wedstrijd 100</t>
  </si>
  <si>
    <t>Troostfinale</t>
  </si>
  <si>
    <t>Verliezer wedstrijd 101</t>
  </si>
  <si>
    <t>Verliezer wedstrijd 102</t>
  </si>
  <si>
    <t>Finale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</si>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</sst>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2868"/>
      <name val="Calibri"/>
      <family val="2"/>
    </font>
    <font>
      <b/>
      <sz val="13"/>
      <color rgb="FFFFFFFF"/>
      <name val="Calibri"/>
      <family val="2"/>
    </font>
    <font>
      <b/>
      <sz val="12"/>
      <color rgb="FFFFFFFF"/>
      <name val="Calibri"/>
      <family val="2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  <family val="2"/>
    </font>
    <font>
      <sz val="8"/>
      <name val="Calibri"/>
      <family val="2"/>
      <scheme val="minor"/>
    </font>
    <font>
      <b/>
      <sz val="13"/>
      <color theme="0"/>
      <name val="Calibri"/>
      <family val="2"/>
    </font>
    <font>
      <b/>
      <sz val="12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7" fillId="6" borderId="4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4" xfId="0" applyFont="1" applyFill="1" applyBorder="1"/>
    <xf numFmtId="0" fontId="6" fillId="6" borderId="0" xfId="0" applyFont="1" applyFill="1"/>
    <xf numFmtId="164" fontId="4" fillId="3" borderId="5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164" fontId="0" fillId="0" borderId="2" xfId="0" applyNumberFormat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76" activePane="bottomRight" state="frozen"/>
      <selection pane="topRight"/>
      <selection pane="bottomLeft"/>
      <selection pane="bottomRight" activeCell="A183" sqref="A183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49" width="13" hidden="1" customWidth="1"/>
    <col min="50" max="50" width="8.5546875" style="38" customWidth="1"/>
  </cols>
  <sheetData>
    <row r="1" spans="1:50" x14ac:dyDescent="0.3">
      <c r="A1" s="48" t="s">
        <v>0</v>
      </c>
      <c r="B1" s="48" t="s">
        <v>1</v>
      </c>
      <c r="C1" s="48" t="s">
        <v>2</v>
      </c>
      <c r="D1" s="48" t="s">
        <v>3</v>
      </c>
      <c r="E1" s="42" t="s">
        <v>4</v>
      </c>
      <c r="F1" s="47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289</v>
      </c>
      <c r="AT1" s="47"/>
      <c r="AU1" s="42" t="s">
        <v>24</v>
      </c>
      <c r="AV1" s="47"/>
      <c r="AW1" s="2" t="s">
        <v>25</v>
      </c>
      <c r="AX1" s="33" t="s">
        <v>26</v>
      </c>
    </row>
    <row r="2" spans="1:50" x14ac:dyDescent="0.3">
      <c r="A2" s="49"/>
      <c r="B2" s="50"/>
      <c r="C2" s="49"/>
      <c r="D2" s="50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33" t="s">
        <v>26</v>
      </c>
    </row>
    <row r="3" spans="1:50" ht="20.100000000000001" customHeight="1" x14ac:dyDescent="0.3">
      <c r="A3" s="44" t="s">
        <v>29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2"/>
      <c r="AW3" s="7"/>
      <c r="AX3" s="34"/>
    </row>
    <row r="4" spans="1:50" ht="20.100000000000001" customHeight="1" x14ac:dyDescent="0.3">
      <c r="A4" s="39">
        <v>46184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35"/>
    </row>
    <row r="5" spans="1:50" ht="18" customHeight="1" x14ac:dyDescent="0.3">
      <c r="A5" s="9">
        <v>1.875</v>
      </c>
      <c r="B5" s="18" t="s">
        <v>30</v>
      </c>
      <c r="C5" s="10" t="s">
        <v>35</v>
      </c>
      <c r="D5" s="1" t="s">
        <v>31</v>
      </c>
      <c r="E5" s="10" t="s">
        <v>32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33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34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35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32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35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36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33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35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35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35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32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32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32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35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33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35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37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33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35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32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38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36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37"/>
    </row>
    <row r="7" spans="1:50" ht="20.100000000000001" customHeight="1" x14ac:dyDescent="0.3">
      <c r="A7" s="39">
        <v>46185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35"/>
    </row>
    <row r="8" spans="1:50" ht="18" customHeight="1" x14ac:dyDescent="0.3">
      <c r="A8" s="9">
        <v>1.166666666666667</v>
      </c>
      <c r="B8" s="18" t="s">
        <v>39</v>
      </c>
      <c r="C8" s="10" t="s">
        <v>32</v>
      </c>
      <c r="D8" s="1" t="s">
        <v>40</v>
      </c>
      <c r="E8" s="10" t="s">
        <v>34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41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38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34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36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34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42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34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34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34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34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43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34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36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43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42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34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32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34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34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47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38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36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44</v>
      </c>
      <c r="C9" s="10" t="s">
        <v>34</v>
      </c>
      <c r="D9" s="1" t="s">
        <v>45</v>
      </c>
      <c r="E9" s="10" t="s">
        <v>35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46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34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35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47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34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34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32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32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32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32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34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36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34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35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35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38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43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35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36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48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48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36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37"/>
    </row>
    <row r="11" spans="1:50" ht="20.100000000000001" customHeight="1" x14ac:dyDescent="0.3">
      <c r="A11" s="39">
        <v>46186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35"/>
    </row>
    <row r="12" spans="1:50" ht="18" customHeight="1" x14ac:dyDescent="0.3">
      <c r="A12" s="9">
        <v>1.125</v>
      </c>
      <c r="B12" s="18" t="s">
        <v>49</v>
      </c>
      <c r="C12" s="10" t="s">
        <v>41</v>
      </c>
      <c r="D12" s="1" t="s">
        <v>50</v>
      </c>
      <c r="E12" s="10" t="s">
        <v>38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36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36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37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43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32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38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37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32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32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32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37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47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32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37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38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32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35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36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43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43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46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36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51</v>
      </c>
      <c r="C13" s="10" t="s">
        <v>34</v>
      </c>
      <c r="D13" s="1" t="s">
        <v>52</v>
      </c>
      <c r="E13" s="10" t="s">
        <v>46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36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46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46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46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53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54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47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46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46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46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36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54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46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46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53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36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46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46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46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46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46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36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37"/>
    </row>
    <row r="15" spans="1:50" ht="20.100000000000001" customHeight="1" x14ac:dyDescent="0.3">
      <c r="A15" s="39">
        <v>46187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35"/>
    </row>
    <row r="16" spans="1:50" ht="18" customHeight="1" x14ac:dyDescent="0.3">
      <c r="A16" s="9">
        <v>1</v>
      </c>
      <c r="B16" s="18" t="s">
        <v>55</v>
      </c>
      <c r="C16" s="10" t="s">
        <v>34</v>
      </c>
      <c r="D16" s="1" t="s">
        <v>56</v>
      </c>
      <c r="E16" s="10" t="s">
        <v>32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57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32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35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42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32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58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59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32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32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32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47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33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33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32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41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32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38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34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32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32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47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36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60</v>
      </c>
      <c r="C17" s="10" t="s">
        <v>43</v>
      </c>
      <c r="D17" s="1" t="s">
        <v>61</v>
      </c>
      <c r="E17" s="10" t="s">
        <v>46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46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43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53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62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46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46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34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46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46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46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54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42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43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43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46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36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46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43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34</v>
      </c>
      <c r="AR17" s="11">
        <f t="shared" si="0"/>
        <v>2</v>
      </c>
      <c r="AS17" s="10" t="s">
        <v>46</v>
      </c>
      <c r="AT17" s="11">
        <f t="shared" si="1"/>
        <v>7</v>
      </c>
      <c r="AU17" s="10" t="s">
        <v>43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36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63</v>
      </c>
      <c r="C18" s="10" t="s">
        <v>35</v>
      </c>
      <c r="D18" s="1" t="s">
        <v>64</v>
      </c>
      <c r="E18" s="10" t="s">
        <v>34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32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46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43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34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34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46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32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36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34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46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46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34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34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34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36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36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34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46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36</v>
      </c>
      <c r="AR18" s="11">
        <f t="shared" si="0"/>
        <v>0</v>
      </c>
      <c r="AS18" s="10" t="s">
        <v>48</v>
      </c>
      <c r="AT18" s="11">
        <f t="shared" si="1"/>
        <v>2</v>
      </c>
      <c r="AU18" s="10" t="s">
        <v>53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36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65</v>
      </c>
      <c r="C19" s="10" t="s">
        <v>294</v>
      </c>
      <c r="D19" s="1" t="s">
        <v>66</v>
      </c>
      <c r="E19" s="10" t="s">
        <v>59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59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37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67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58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59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37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41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37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37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35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59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33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59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35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67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37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59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59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33</v>
      </c>
      <c r="AR19" s="11">
        <f t="shared" si="0"/>
        <v>7</v>
      </c>
      <c r="AS19" s="10" t="s">
        <v>41</v>
      </c>
      <c r="AT19" s="11">
        <f t="shared" si="1"/>
        <v>7</v>
      </c>
      <c r="AU19" s="10" t="s">
        <v>68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36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69</v>
      </c>
      <c r="C20" s="10" t="s">
        <v>47</v>
      </c>
      <c r="D20" s="1" t="s">
        <v>70</v>
      </c>
      <c r="E20" s="10" t="s">
        <v>34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32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32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37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42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32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57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59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34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32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34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47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46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35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38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33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32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38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34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38</v>
      </c>
      <c r="AR20" s="11">
        <f t="shared" si="0"/>
        <v>0</v>
      </c>
      <c r="AS20" s="10" t="s">
        <v>32</v>
      </c>
      <c r="AT20" s="11">
        <f t="shared" si="1"/>
        <v>2</v>
      </c>
      <c r="AU20" s="10" t="s">
        <v>36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36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37"/>
    </row>
    <row r="22" spans="1:50" ht="20.100000000000001" customHeight="1" x14ac:dyDescent="0.3">
      <c r="A22" s="39">
        <v>46188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35"/>
    </row>
    <row r="23" spans="1:50" ht="18" customHeight="1" x14ac:dyDescent="0.3">
      <c r="A23" s="9">
        <v>1.041666666666667</v>
      </c>
      <c r="B23" s="18" t="s">
        <v>71</v>
      </c>
      <c r="C23" s="10" t="s">
        <v>38</v>
      </c>
      <c r="D23" s="1" t="s">
        <v>72</v>
      </c>
      <c r="E23" s="10" t="s">
        <v>34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32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38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53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34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34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47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47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32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34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34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48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47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34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43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48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34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47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34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36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36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46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36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73</v>
      </c>
      <c r="C24" s="10" t="s">
        <v>103</v>
      </c>
      <c r="D24" s="1" t="s">
        <v>74</v>
      </c>
      <c r="E24" s="10" t="s">
        <v>32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34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38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37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32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38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33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34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34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38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38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38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32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38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35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38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35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48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36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35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35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47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36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75</v>
      </c>
      <c r="C25" s="10" t="s">
        <v>48</v>
      </c>
      <c r="D25" s="1" t="s">
        <v>76</v>
      </c>
      <c r="E25" s="10" t="s">
        <v>37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37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37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68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59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67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37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41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37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37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37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41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59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37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37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59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37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41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37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37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59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35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36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77</v>
      </c>
      <c r="C26" s="10" t="s">
        <v>34</v>
      </c>
      <c r="D26" s="1" t="s">
        <v>78</v>
      </c>
      <c r="E26" s="10" t="s">
        <v>32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32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32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41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47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32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35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59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32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35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35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37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32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32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35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33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32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35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38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57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34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33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36">
        <f>IF($C26="","",IFERROR(--MID($C26,FIND("-",$C26)+1,99),""))</f>
        <v>1</v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37"/>
    </row>
    <row r="28" spans="1:50" ht="20.100000000000001" customHeight="1" x14ac:dyDescent="0.3">
      <c r="A28" s="39">
        <v>46189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1"/>
      <c r="AW28" s="8"/>
      <c r="AX28" s="35"/>
    </row>
    <row r="29" spans="1:50" ht="18" customHeight="1" x14ac:dyDescent="0.3">
      <c r="A29" s="9">
        <v>1</v>
      </c>
      <c r="B29" s="18" t="s">
        <v>79</v>
      </c>
      <c r="C29" s="10" t="s">
        <v>34</v>
      </c>
      <c r="D29" s="1" t="s">
        <v>80</v>
      </c>
      <c r="E29" s="10" t="s">
        <v>36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57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46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62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46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54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48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34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46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46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46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36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53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46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36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46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46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43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53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36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54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42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36">
        <f>IF($C29="","",IFERROR(--MID($C29,FIND("-",$C29)+1,99),""))</f>
        <v>1</v>
      </c>
    </row>
    <row r="30" spans="1:50" ht="18" customHeight="1" x14ac:dyDescent="0.3">
      <c r="A30" s="9">
        <v>1.125</v>
      </c>
      <c r="B30" s="18" t="s">
        <v>81</v>
      </c>
      <c r="C30" s="10" t="s">
        <v>47</v>
      </c>
      <c r="D30" s="1" t="s">
        <v>82</v>
      </c>
      <c r="E30" s="10" t="s">
        <v>38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34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35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43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47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48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43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32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38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38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35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35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33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35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32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34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35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32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35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54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34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38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36">
        <f>IF($C30="","",IFERROR(--MID($C30,FIND("-",$C30)+1,99),""))</f>
        <v>2</v>
      </c>
    </row>
    <row r="31" spans="1:50" ht="18" customHeight="1" x14ac:dyDescent="0.3">
      <c r="A31" s="9">
        <v>1.875</v>
      </c>
      <c r="B31" s="18" t="s">
        <v>83</v>
      </c>
      <c r="C31" s="10" t="s">
        <v>33</v>
      </c>
      <c r="D31" s="1" t="s">
        <v>84</v>
      </c>
      <c r="E31" s="10" t="s">
        <v>32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35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35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85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57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35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37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59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32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32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32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57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85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33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33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37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33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57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33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41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35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32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36">
        <f>IF($C31="","",IFERROR(--MID($C31,FIND("-",$C31)+1,99),""))</f>
        <v>1</v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37"/>
    </row>
    <row r="33" spans="1:50" ht="20.100000000000001" customHeight="1" x14ac:dyDescent="0.3">
      <c r="A33" s="39">
        <v>46190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1"/>
      <c r="AW33" s="8"/>
      <c r="AX33" s="35"/>
    </row>
    <row r="34" spans="1:50" ht="18" customHeight="1" x14ac:dyDescent="0.3">
      <c r="A34" s="9">
        <v>1</v>
      </c>
      <c r="B34" s="18" t="s">
        <v>86</v>
      </c>
      <c r="C34" s="10" t="s">
        <v>104</v>
      </c>
      <c r="D34" s="1" t="s">
        <v>87</v>
      </c>
      <c r="E34" s="10" t="s">
        <v>46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54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46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46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46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53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54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36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46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46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46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46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36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43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36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46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54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46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34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34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54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43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36">
        <f>IF($C34="","",IFERROR(--MID($C34,FIND("-",$C34)+1,99),""))</f>
        <v>4</v>
      </c>
    </row>
    <row r="35" spans="1:50" ht="18" customHeight="1" x14ac:dyDescent="0.3">
      <c r="A35" s="9">
        <v>1.125</v>
      </c>
      <c r="B35" s="18" t="s">
        <v>88</v>
      </c>
      <c r="C35" s="10" t="s">
        <v>37</v>
      </c>
      <c r="D35" s="1" t="s">
        <v>89</v>
      </c>
      <c r="E35" s="10" t="s">
        <v>33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32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37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32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33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37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32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41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35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35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35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33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33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37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33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32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35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38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32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32</v>
      </c>
      <c r="AR35" s="11">
        <f t="shared" si="2"/>
        <v>5</v>
      </c>
      <c r="AS35" s="10" t="s">
        <v>38</v>
      </c>
      <c r="AT35" s="11">
        <f t="shared" si="3"/>
        <v>7</v>
      </c>
      <c r="AU35" s="10" t="s">
        <v>35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36">
        <f>IF($C35="","",IFERROR(--MID($C35,FIND("-",$C35)+1,99),""))</f>
        <v>0</v>
      </c>
    </row>
    <row r="36" spans="1:50" ht="18" customHeight="1" x14ac:dyDescent="0.3">
      <c r="A36" s="9">
        <v>1.25</v>
      </c>
      <c r="B36" s="18" t="s">
        <v>90</v>
      </c>
      <c r="C36" s="10" t="s">
        <v>33</v>
      </c>
      <c r="D36" s="1" t="s">
        <v>91</v>
      </c>
      <c r="E36" s="10" t="s">
        <v>35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32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36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34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34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35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35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47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35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35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35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35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57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35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38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37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35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34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35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36</v>
      </c>
      <c r="AR36" s="11">
        <f t="shared" si="2"/>
        <v>0</v>
      </c>
      <c r="AS36" s="10" t="s">
        <v>38</v>
      </c>
      <c r="AT36" s="11">
        <f t="shared" si="3"/>
        <v>5</v>
      </c>
      <c r="AU36" s="10" t="s">
        <v>37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36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8" t="s">
        <v>92</v>
      </c>
      <c r="C37" s="10" t="s">
        <v>34</v>
      </c>
      <c r="D37" s="1" t="s">
        <v>93</v>
      </c>
      <c r="E37" s="10" t="s">
        <v>37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58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37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33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37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59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37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41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35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35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35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68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35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33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33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35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33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35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37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38</v>
      </c>
      <c r="AR37" s="11">
        <f t="shared" si="2"/>
        <v>2</v>
      </c>
      <c r="AS37" s="10" t="s">
        <v>38</v>
      </c>
      <c r="AT37" s="11">
        <f t="shared" si="3"/>
        <v>2</v>
      </c>
      <c r="AU37" s="10" t="s">
        <v>41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36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8" t="s">
        <v>94</v>
      </c>
      <c r="C38" s="10" t="s">
        <v>58</v>
      </c>
      <c r="D38" s="1" t="s">
        <v>95</v>
      </c>
      <c r="E38" s="10" t="s">
        <v>34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47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32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57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47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32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47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59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34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34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34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33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37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32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32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32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32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32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47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57</v>
      </c>
      <c r="AR38" s="11">
        <f t="shared" si="2"/>
        <v>7</v>
      </c>
      <c r="AS38" s="10" t="s">
        <v>38</v>
      </c>
      <c r="AT38" s="11">
        <f t="shared" si="3"/>
        <v>5</v>
      </c>
      <c r="AU38" s="10" t="s">
        <v>47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36">
        <f>IF($C38="","",IFERROR(--MID($C38,FIND("-",$C38)+1,99),""))</f>
        <v>2</v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37"/>
    </row>
    <row r="40" spans="1:50" ht="20.100000000000001" customHeight="1" x14ac:dyDescent="0.3">
      <c r="A40" s="39">
        <v>46191</v>
      </c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1"/>
      <c r="AW40" s="8"/>
      <c r="AX40" s="35"/>
    </row>
    <row r="41" spans="1:50" ht="18" customHeight="1" x14ac:dyDescent="0.3">
      <c r="A41" s="9">
        <v>1.041666666666667</v>
      </c>
      <c r="B41" s="18" t="s">
        <v>96</v>
      </c>
      <c r="C41" s="10" t="s">
        <v>38</v>
      </c>
      <c r="D41" s="1" t="s">
        <v>97</v>
      </c>
      <c r="E41" s="10" t="s">
        <v>35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98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38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47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35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37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34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47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32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35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35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38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47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32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43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38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35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35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38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36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47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38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36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8" t="s">
        <v>99</v>
      </c>
      <c r="C42" s="10" t="s">
        <v>54</v>
      </c>
      <c r="D42" s="1" t="s">
        <v>100</v>
      </c>
      <c r="E42" s="10" t="s">
        <v>36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36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34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32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54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53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101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34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43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46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36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34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32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46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36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46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46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34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36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34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38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36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36">
        <f>IF($C42="","",IFERROR(--MID($C42,FIND("-",$C42)+1,99),""))</f>
        <v>3</v>
      </c>
    </row>
    <row r="43" spans="1:50" ht="18" customHeight="1" x14ac:dyDescent="0.3">
      <c r="A43" s="9">
        <v>1.75</v>
      </c>
      <c r="B43" s="18" t="s">
        <v>40</v>
      </c>
      <c r="C43" s="10" t="s">
        <v>34</v>
      </c>
      <c r="D43" s="1" t="s">
        <v>31</v>
      </c>
      <c r="E43" s="10" t="s">
        <v>35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34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32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36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32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32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32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34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35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32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35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47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47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35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38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35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38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38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48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36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35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35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36">
        <f>IF($C43="","",IFERROR(--MID($C43,FIND("-",$C43)+1,99),""))</f>
        <v>1</v>
      </c>
    </row>
    <row r="44" spans="1:50" ht="18" customHeight="1" x14ac:dyDescent="0.3">
      <c r="A44" s="9">
        <v>1.875</v>
      </c>
      <c r="B44" s="18" t="s">
        <v>52</v>
      </c>
      <c r="C44" s="10" t="s">
        <v>41</v>
      </c>
      <c r="D44" s="1" t="s">
        <v>45</v>
      </c>
      <c r="E44" s="10" t="s">
        <v>35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43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32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32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47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35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47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47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32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34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32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36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32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32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32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38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38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38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38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32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34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38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36">
        <f>IF($C44="","",IFERROR(--MID($C44,FIND("-",$C44)+1,99),""))</f>
        <v>1</v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37"/>
    </row>
    <row r="46" spans="1:50" ht="20.100000000000001" customHeight="1" x14ac:dyDescent="0.3">
      <c r="A46" s="39">
        <v>46192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1"/>
      <c r="AW46" s="8"/>
      <c r="AX46" s="35"/>
    </row>
    <row r="47" spans="1:50" ht="18" customHeight="1" x14ac:dyDescent="0.3">
      <c r="A47" s="9">
        <v>1</v>
      </c>
      <c r="B47" s="18" t="s">
        <v>44</v>
      </c>
      <c r="C47" s="10" t="s">
        <v>68</v>
      </c>
      <c r="D47" s="1" t="s">
        <v>51</v>
      </c>
      <c r="E47" s="10" t="s">
        <v>32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57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38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35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35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35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37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36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35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32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37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48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32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34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33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34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34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47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34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36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48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32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36">
        <f>IF($C47="","",IFERROR(--MID($C47,FIND("-",$C47)+1,99),""))</f>
        <v>0</v>
      </c>
    </row>
    <row r="48" spans="1:50" ht="18" customHeight="1" x14ac:dyDescent="0.3">
      <c r="A48" s="9">
        <v>1.125</v>
      </c>
      <c r="B48" s="18" t="s">
        <v>30</v>
      </c>
      <c r="C48" s="10" t="s">
        <v>38</v>
      </c>
      <c r="D48" s="1" t="s">
        <v>39</v>
      </c>
      <c r="E48" s="10" t="s">
        <v>38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36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32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37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47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32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42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37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32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34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32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47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32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32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38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47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32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57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35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32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47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34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36">
        <f>IF($C48="","",IFERROR(--MID($C48,FIND("-",$C48)+1,99),""))</f>
        <v>0</v>
      </c>
    </row>
    <row r="49" spans="1:50" ht="18" customHeight="1" x14ac:dyDescent="0.3">
      <c r="A49" s="9">
        <v>1.875</v>
      </c>
      <c r="B49" s="18" t="s">
        <v>49</v>
      </c>
      <c r="C49" s="10" t="s">
        <v>35</v>
      </c>
      <c r="D49" s="1" t="s">
        <v>63</v>
      </c>
      <c r="E49" s="10" t="s">
        <v>32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38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38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32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36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32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34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33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35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32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35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33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46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32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32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34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38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38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38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47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36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48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36">
        <f>IF($C49="","",IFERROR(--MID($C49,FIND("-",$C49)+1,99),""))</f>
        <v>0</v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37"/>
    </row>
    <row r="51" spans="1:50" ht="20.100000000000001" customHeight="1" x14ac:dyDescent="0.3">
      <c r="A51" s="39">
        <v>46193</v>
      </c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1"/>
      <c r="AW51" s="8"/>
      <c r="AX51" s="35"/>
    </row>
    <row r="52" spans="1:50" ht="18" customHeight="1" x14ac:dyDescent="0.3">
      <c r="A52" s="9">
        <v>1</v>
      </c>
      <c r="B52" s="18" t="s">
        <v>61</v>
      </c>
      <c r="C52" s="10" t="s">
        <v>43</v>
      </c>
      <c r="D52" s="1" t="s">
        <v>56</v>
      </c>
      <c r="E52" s="10" t="s">
        <v>36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54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46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47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54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36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35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47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34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43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53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46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54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34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36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38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59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54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54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54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34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34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36">
        <f>IF($C52="","",IFERROR(--MID($C52,FIND("-",$C52)+1,99),""))</f>
        <v>1</v>
      </c>
    </row>
    <row r="53" spans="1:50" ht="18" customHeight="1" x14ac:dyDescent="0.3">
      <c r="A53" s="9">
        <v>1.125</v>
      </c>
      <c r="B53" s="18" t="s">
        <v>55</v>
      </c>
      <c r="C53" s="10" t="s">
        <v>37</v>
      </c>
      <c r="D53" s="1" t="s">
        <v>60</v>
      </c>
      <c r="E53" s="10" t="s">
        <v>59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102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35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67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37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37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59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59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37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37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37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59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37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59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37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59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33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37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37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57</v>
      </c>
      <c r="AR53" s="11">
        <f t="shared" si="4"/>
        <v>7</v>
      </c>
      <c r="AS53" s="10" t="s">
        <v>67</v>
      </c>
      <c r="AT53" s="11">
        <f t="shared" si="5"/>
        <v>7</v>
      </c>
      <c r="AU53" s="10" t="s">
        <v>41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36">
        <f>IF($C53="","",IFERROR(--MID($C53,FIND("-",$C53)+1,99),""))</f>
        <v>0</v>
      </c>
    </row>
    <row r="54" spans="1:50" ht="18" customHeight="1" x14ac:dyDescent="0.3">
      <c r="A54" s="9">
        <v>1.25</v>
      </c>
      <c r="B54" s="18" t="s">
        <v>64</v>
      </c>
      <c r="C54" s="10" t="s">
        <v>43</v>
      </c>
      <c r="D54" s="1" t="s">
        <v>50</v>
      </c>
      <c r="E54" s="10" t="s">
        <v>32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32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32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36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47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34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41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47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34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34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34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32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35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34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38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35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32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38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34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34</v>
      </c>
      <c r="AR54" s="11">
        <f t="shared" si="4"/>
        <v>2</v>
      </c>
      <c r="AS54" s="10" t="s">
        <v>35</v>
      </c>
      <c r="AT54" s="11">
        <f t="shared" si="5"/>
        <v>0</v>
      </c>
      <c r="AU54" s="10" t="s">
        <v>43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36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18" t="s">
        <v>69</v>
      </c>
      <c r="C55" s="10"/>
      <c r="D55" s="1" t="s">
        <v>73</v>
      </c>
      <c r="E55" s="10" t="s">
        <v>32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38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32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33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32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32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47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59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32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35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32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33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32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34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32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34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35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35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35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36</v>
      </c>
      <c r="AR55" s="11" t="str">
        <f t="shared" si="4"/>
        <v/>
      </c>
      <c r="AS55" s="10" t="s">
        <v>38</v>
      </c>
      <c r="AT55" s="11" t="str">
        <f t="shared" si="5"/>
        <v/>
      </c>
      <c r="AU55" s="10" t="s">
        <v>32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36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65</v>
      </c>
      <c r="C56" s="10"/>
      <c r="D56" s="1" t="s">
        <v>71</v>
      </c>
      <c r="E56" s="10" t="s">
        <v>32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59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32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41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33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33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103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59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35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32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32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33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57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32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35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37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35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33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35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33</v>
      </c>
      <c r="AR56" s="11" t="str">
        <f t="shared" si="4"/>
        <v/>
      </c>
      <c r="AS56" s="10" t="s">
        <v>37</v>
      </c>
      <c r="AT56" s="11" t="str">
        <f t="shared" si="5"/>
        <v/>
      </c>
      <c r="AU56" s="10" t="s">
        <v>37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36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37"/>
    </row>
    <row r="58" spans="1:50" ht="20.100000000000001" customHeight="1" x14ac:dyDescent="0.3">
      <c r="A58" s="39">
        <v>46194</v>
      </c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1"/>
      <c r="AW58" s="8"/>
      <c r="AX58" s="35"/>
    </row>
    <row r="59" spans="1:50" ht="18" customHeight="1" x14ac:dyDescent="0.3">
      <c r="A59" s="9">
        <v>1.083333333333333</v>
      </c>
      <c r="B59" s="18" t="s">
        <v>72</v>
      </c>
      <c r="C59" s="10"/>
      <c r="D59" s="1" t="s">
        <v>66</v>
      </c>
      <c r="E59" s="10" t="s">
        <v>37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43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37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32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36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37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43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32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35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35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35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33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35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37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35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38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35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35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34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36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33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43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36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74</v>
      </c>
      <c r="C60" s="10"/>
      <c r="D60" s="1" t="s">
        <v>70</v>
      </c>
      <c r="E60" s="10" t="s">
        <v>46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54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43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32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46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34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54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47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46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43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46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104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54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43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36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43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32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43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46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47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36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43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36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75</v>
      </c>
      <c r="C61" s="10"/>
      <c r="D61" s="1" t="s">
        <v>79</v>
      </c>
      <c r="E61" s="10" t="s">
        <v>33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58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35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41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33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35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59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41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37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35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35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58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37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37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37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35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35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59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59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33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59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32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36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77</v>
      </c>
      <c r="C62" s="10"/>
      <c r="D62" s="1" t="s">
        <v>81</v>
      </c>
      <c r="E62" s="10" t="s">
        <v>38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35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38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59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35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33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37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41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35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35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32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35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35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35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35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37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35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34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34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32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43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35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36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37"/>
    </row>
    <row r="64" spans="1:50" ht="20.100000000000001" customHeight="1" x14ac:dyDescent="0.3">
      <c r="A64" s="39">
        <v>46195</v>
      </c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1"/>
      <c r="AW64" s="8"/>
      <c r="AX64" s="35"/>
    </row>
    <row r="65" spans="1:50" ht="18" customHeight="1" x14ac:dyDescent="0.3">
      <c r="A65" s="9">
        <v>1</v>
      </c>
      <c r="B65" s="18" t="s">
        <v>80</v>
      </c>
      <c r="C65" s="10"/>
      <c r="D65" s="1" t="s">
        <v>76</v>
      </c>
      <c r="E65" s="10" t="s">
        <v>35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57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35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32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32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37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38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36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38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35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35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48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35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35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35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38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33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34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35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34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37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35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36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82</v>
      </c>
      <c r="C66" s="10"/>
      <c r="D66" s="1" t="s">
        <v>78</v>
      </c>
      <c r="E66" s="10" t="s">
        <v>46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46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43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36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36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36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32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32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46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46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43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36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36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34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36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36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54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46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43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36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34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48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36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88</v>
      </c>
      <c r="C67" s="10"/>
      <c r="D67" s="1" t="s">
        <v>90</v>
      </c>
      <c r="E67" s="10" t="s">
        <v>35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32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35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41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47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32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57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59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38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32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34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35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33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35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37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34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35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35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33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47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34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33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36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83</v>
      </c>
      <c r="C68" s="10"/>
      <c r="D68" s="1" t="s">
        <v>86</v>
      </c>
      <c r="E68" s="10" t="s">
        <v>59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59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35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67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37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59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67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59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37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35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37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37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37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37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37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37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35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35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35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33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37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59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36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37"/>
    </row>
    <row r="70" spans="1:50" ht="20.100000000000001" customHeight="1" x14ac:dyDescent="0.3">
      <c r="A70" s="39">
        <v>46196</v>
      </c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1"/>
      <c r="AW70" s="8"/>
      <c r="AX70" s="35"/>
    </row>
    <row r="71" spans="1:50" ht="18" customHeight="1" x14ac:dyDescent="0.3">
      <c r="A71" s="9">
        <v>1.083333333333333</v>
      </c>
      <c r="B71" s="18" t="s">
        <v>87</v>
      </c>
      <c r="C71" s="10"/>
      <c r="D71" s="1" t="s">
        <v>84</v>
      </c>
      <c r="E71" s="10" t="s">
        <v>32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35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34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33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47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34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37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47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34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34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34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47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32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34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34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35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32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33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38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32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35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43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36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91</v>
      </c>
      <c r="C72" s="10"/>
      <c r="D72" s="1" t="s">
        <v>89</v>
      </c>
      <c r="E72" s="10" t="s">
        <v>36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46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43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34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54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47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34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32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36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43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36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48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35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46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46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48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36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48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46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34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34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43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36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92</v>
      </c>
      <c r="C73" s="10"/>
      <c r="D73" s="1" t="s">
        <v>99</v>
      </c>
      <c r="E73" s="10" t="s">
        <v>35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37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32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32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35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37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103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41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35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37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35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41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59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37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35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67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35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37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35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32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38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33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36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94</v>
      </c>
      <c r="C74" s="10"/>
      <c r="D74" s="1" t="s">
        <v>96</v>
      </c>
      <c r="E74" s="10" t="s">
        <v>32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67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32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85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47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32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102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41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35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32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32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57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33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35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35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33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37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47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35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33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35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32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36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37"/>
    </row>
    <row r="76" spans="1:50" ht="20.100000000000001" customHeight="1" x14ac:dyDescent="0.3">
      <c r="A76" s="39">
        <v>46197</v>
      </c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1"/>
      <c r="AW76" s="8"/>
      <c r="AX76" s="35"/>
    </row>
    <row r="77" spans="1:50" ht="18" customHeight="1" x14ac:dyDescent="0.3">
      <c r="A77" s="9">
        <v>1.041666666666667</v>
      </c>
      <c r="B77" s="18" t="s">
        <v>97</v>
      </c>
      <c r="C77" s="10"/>
      <c r="D77" s="1" t="s">
        <v>95</v>
      </c>
      <c r="E77" s="10" t="s">
        <v>46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53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43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53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36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46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53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34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46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46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46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46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32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46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46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53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46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46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36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34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36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43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36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100</v>
      </c>
      <c r="C78" s="10"/>
      <c r="D78" s="1" t="s">
        <v>93</v>
      </c>
      <c r="E78" s="10" t="s">
        <v>32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32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32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32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34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37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32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47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32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32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34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36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47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35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35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38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35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43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35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32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38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35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36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52</v>
      </c>
      <c r="C79" s="10"/>
      <c r="D79" s="1" t="s">
        <v>44</v>
      </c>
      <c r="E79" s="10" t="s">
        <v>34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34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35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36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32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32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47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36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34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34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34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34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47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32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38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34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32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33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32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47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38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34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36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45</v>
      </c>
      <c r="C80" s="10"/>
      <c r="D80" s="1" t="s">
        <v>51</v>
      </c>
      <c r="E80" s="10" t="s">
        <v>32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34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38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34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35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35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37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34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35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38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32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37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33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35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32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34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32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35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34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57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48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48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36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37"/>
    </row>
    <row r="82" spans="1:50" ht="20.100000000000001" customHeight="1" x14ac:dyDescent="0.3">
      <c r="A82" s="39">
        <v>46198</v>
      </c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1"/>
      <c r="AW82" s="8"/>
      <c r="AX82" s="35"/>
    </row>
    <row r="83" spans="1:50" ht="18" customHeight="1" x14ac:dyDescent="0.3">
      <c r="A83" s="9">
        <v>1</v>
      </c>
      <c r="B83" s="18" t="s">
        <v>61</v>
      </c>
      <c r="C83" s="10"/>
      <c r="D83" s="1" t="s">
        <v>55</v>
      </c>
      <c r="E83" s="10" t="s">
        <v>53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38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46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32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32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54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47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104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46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36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46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32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43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46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46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54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46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36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54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34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104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53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36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56</v>
      </c>
      <c r="C84" s="10"/>
      <c r="D84" s="1" t="s">
        <v>60</v>
      </c>
      <c r="E84" s="10" t="s">
        <v>37</v>
      </c>
      <c r="F84" s="11" t="str">
        <f t="shared" si="6"/>
        <v/>
      </c>
      <c r="G84" s="10" t="s">
        <v>37</v>
      </c>
      <c r="H84" s="11" t="str">
        <f t="shared" si="7"/>
        <v/>
      </c>
      <c r="I84" s="10" t="s">
        <v>32</v>
      </c>
      <c r="J84" s="11" t="str">
        <f t="shared" si="8"/>
        <v/>
      </c>
      <c r="K84" s="10" t="s">
        <v>103</v>
      </c>
      <c r="L84" s="11" t="str">
        <f t="shared" si="9"/>
        <v/>
      </c>
      <c r="M84" s="10" t="s">
        <v>37</v>
      </c>
      <c r="N84" s="11" t="str">
        <f t="shared" si="10"/>
        <v/>
      </c>
      <c r="O84" s="10" t="s">
        <v>35</v>
      </c>
      <c r="P84" s="11" t="str">
        <f t="shared" si="11"/>
        <v/>
      </c>
      <c r="Q84" s="10" t="s">
        <v>33</v>
      </c>
      <c r="R84" s="11" t="str">
        <f t="shared" si="12"/>
        <v/>
      </c>
      <c r="S84" s="10" t="s">
        <v>36</v>
      </c>
      <c r="T84" s="11" t="str">
        <f t="shared" si="13"/>
        <v/>
      </c>
      <c r="U84" s="10" t="s">
        <v>35</v>
      </c>
      <c r="V84" s="11" t="str">
        <f t="shared" si="14"/>
        <v/>
      </c>
      <c r="W84" s="10" t="s">
        <v>35</v>
      </c>
      <c r="X84" s="11" t="str">
        <f t="shared" si="15"/>
        <v/>
      </c>
      <c r="Y84" s="10" t="s">
        <v>35</v>
      </c>
      <c r="Z84" s="11" t="str">
        <f t="shared" si="16"/>
        <v/>
      </c>
      <c r="AA84" s="10" t="s">
        <v>37</v>
      </c>
      <c r="AB84" s="11" t="str">
        <f t="shared" si="17"/>
        <v/>
      </c>
      <c r="AC84" s="28" t="s">
        <v>57</v>
      </c>
      <c r="AD84" s="11" t="str">
        <f t="shared" si="18"/>
        <v/>
      </c>
      <c r="AE84" s="10" t="s">
        <v>35</v>
      </c>
      <c r="AF84" s="11" t="str">
        <f t="shared" si="19"/>
        <v/>
      </c>
      <c r="AG84" s="10" t="s">
        <v>37</v>
      </c>
      <c r="AH84" s="11" t="str">
        <f t="shared" si="20"/>
        <v/>
      </c>
      <c r="AI84" s="10" t="s">
        <v>35</v>
      </c>
      <c r="AJ84" s="11" t="str">
        <f t="shared" si="21"/>
        <v/>
      </c>
      <c r="AK84" s="10" t="s">
        <v>35</v>
      </c>
      <c r="AL84" s="11" t="str">
        <f t="shared" si="22"/>
        <v/>
      </c>
      <c r="AM84" s="10" t="s">
        <v>38</v>
      </c>
      <c r="AN84" s="11" t="str">
        <f t="shared" si="23"/>
        <v/>
      </c>
      <c r="AO84" s="10" t="s">
        <v>35</v>
      </c>
      <c r="AP84" s="11" t="str">
        <f t="shared" si="24"/>
        <v/>
      </c>
      <c r="AQ84" s="10" t="s">
        <v>32</v>
      </c>
      <c r="AR84" s="11" t="str">
        <f t="shared" si="25"/>
        <v/>
      </c>
      <c r="AS84" s="10" t="s">
        <v>35</v>
      </c>
      <c r="AT84" s="11" t="str">
        <f t="shared" si="26"/>
        <v/>
      </c>
      <c r="AU84" s="10" t="s">
        <v>35</v>
      </c>
      <c r="AV84" s="11" t="str">
        <f t="shared" si="27"/>
        <v/>
      </c>
      <c r="AW84" s="11" t="str">
        <f t="shared" si="28"/>
        <v/>
      </c>
      <c r="AX84" s="36" t="str">
        <f t="shared" si="29"/>
        <v/>
      </c>
    </row>
    <row r="85" spans="1:50" ht="18" customHeight="1" x14ac:dyDescent="0.3">
      <c r="A85" s="9">
        <v>1.125</v>
      </c>
      <c r="B85" s="18" t="s">
        <v>40</v>
      </c>
      <c r="C85" s="10"/>
      <c r="D85" s="1" t="s">
        <v>30</v>
      </c>
      <c r="E85" s="10" t="s">
        <v>34</v>
      </c>
      <c r="F85" s="11" t="str">
        <f t="shared" si="6"/>
        <v/>
      </c>
      <c r="G85" s="10" t="s">
        <v>46</v>
      </c>
      <c r="H85" s="11" t="str">
        <f t="shared" si="7"/>
        <v/>
      </c>
      <c r="I85" s="10" t="s">
        <v>36</v>
      </c>
      <c r="J85" s="11" t="str">
        <f t="shared" si="8"/>
        <v/>
      </c>
      <c r="K85" s="10" t="s">
        <v>105</v>
      </c>
      <c r="L85" s="11" t="str">
        <f t="shared" si="9"/>
        <v/>
      </c>
      <c r="M85" s="10" t="s">
        <v>36</v>
      </c>
      <c r="N85" s="11" t="str">
        <f t="shared" si="10"/>
        <v/>
      </c>
      <c r="O85" s="10" t="s">
        <v>34</v>
      </c>
      <c r="P85" s="11" t="str">
        <f t="shared" si="11"/>
        <v/>
      </c>
      <c r="Q85" s="10" t="s">
        <v>47</v>
      </c>
      <c r="R85" s="11" t="str">
        <f t="shared" si="12"/>
        <v/>
      </c>
      <c r="S85" s="10" t="s">
        <v>53</v>
      </c>
      <c r="T85" s="11" t="str">
        <f t="shared" si="13"/>
        <v/>
      </c>
      <c r="U85" s="10" t="s">
        <v>36</v>
      </c>
      <c r="V85" s="11" t="str">
        <f t="shared" si="14"/>
        <v/>
      </c>
      <c r="W85" s="10" t="s">
        <v>36</v>
      </c>
      <c r="X85" s="11" t="str">
        <f t="shared" si="15"/>
        <v/>
      </c>
      <c r="Y85" s="10" t="s">
        <v>34</v>
      </c>
      <c r="Z85" s="11" t="str">
        <f t="shared" si="16"/>
        <v/>
      </c>
      <c r="AA85" s="10" t="s">
        <v>36</v>
      </c>
      <c r="AB85" s="11" t="str">
        <f t="shared" si="17"/>
        <v/>
      </c>
      <c r="AC85" s="28" t="s">
        <v>57</v>
      </c>
      <c r="AD85" s="11" t="str">
        <f t="shared" si="18"/>
        <v/>
      </c>
      <c r="AE85" s="10" t="s">
        <v>34</v>
      </c>
      <c r="AF85" s="11" t="str">
        <f t="shared" si="19"/>
        <v/>
      </c>
      <c r="AG85" s="10" t="s">
        <v>36</v>
      </c>
      <c r="AH85" s="11" t="str">
        <f t="shared" si="20"/>
        <v/>
      </c>
      <c r="AI85" s="10" t="s">
        <v>32</v>
      </c>
      <c r="AJ85" s="11" t="str">
        <f t="shared" si="21"/>
        <v/>
      </c>
      <c r="AK85" s="10" t="s">
        <v>36</v>
      </c>
      <c r="AL85" s="11" t="str">
        <f t="shared" si="22"/>
        <v/>
      </c>
      <c r="AM85" s="10" t="s">
        <v>36</v>
      </c>
      <c r="AN85" s="11" t="str">
        <f t="shared" si="23"/>
        <v/>
      </c>
      <c r="AO85" s="10" t="s">
        <v>54</v>
      </c>
      <c r="AP85" s="11" t="str">
        <f t="shared" si="24"/>
        <v/>
      </c>
      <c r="AQ85" s="10" t="s">
        <v>47</v>
      </c>
      <c r="AR85" s="11" t="str">
        <f t="shared" si="25"/>
        <v/>
      </c>
      <c r="AS85" s="10" t="s">
        <v>34</v>
      </c>
      <c r="AT85" s="11" t="str">
        <f t="shared" si="26"/>
        <v/>
      </c>
      <c r="AU85" s="10" t="s">
        <v>54</v>
      </c>
      <c r="AV85" s="11" t="str">
        <f t="shared" si="27"/>
        <v/>
      </c>
      <c r="AW85" s="11" t="str">
        <f t="shared" si="28"/>
        <v/>
      </c>
      <c r="AX85" s="36" t="str">
        <f t="shared" si="29"/>
        <v/>
      </c>
    </row>
    <row r="86" spans="1:50" ht="18" customHeight="1" x14ac:dyDescent="0.3">
      <c r="A86" s="9">
        <v>1.125</v>
      </c>
      <c r="B86" s="18" t="s">
        <v>31</v>
      </c>
      <c r="C86" s="10"/>
      <c r="D86" s="1" t="s">
        <v>39</v>
      </c>
      <c r="E86" s="10" t="s">
        <v>36</v>
      </c>
      <c r="F86" s="11" t="str">
        <f t="shared" si="6"/>
        <v/>
      </c>
      <c r="G86" s="10" t="s">
        <v>54</v>
      </c>
      <c r="H86" s="11" t="str">
        <f t="shared" si="7"/>
        <v/>
      </c>
      <c r="I86" s="10" t="s">
        <v>48</v>
      </c>
      <c r="J86" s="11" t="str">
        <f t="shared" si="8"/>
        <v/>
      </c>
      <c r="K86" s="10" t="s">
        <v>47</v>
      </c>
      <c r="L86" s="11" t="str">
        <f t="shared" si="9"/>
        <v/>
      </c>
      <c r="M86" s="10" t="s">
        <v>36</v>
      </c>
      <c r="N86" s="11" t="str">
        <f t="shared" si="10"/>
        <v/>
      </c>
      <c r="O86" s="10" t="s">
        <v>47</v>
      </c>
      <c r="P86" s="11" t="str">
        <f t="shared" si="11"/>
        <v/>
      </c>
      <c r="Q86" s="10" t="s">
        <v>47</v>
      </c>
      <c r="R86" s="11" t="str">
        <f t="shared" si="12"/>
        <v/>
      </c>
      <c r="S86" s="10" t="s">
        <v>34</v>
      </c>
      <c r="T86" s="11" t="str">
        <f t="shared" si="13"/>
        <v/>
      </c>
      <c r="U86" s="10" t="s">
        <v>43</v>
      </c>
      <c r="V86" s="11" t="str">
        <f t="shared" si="14"/>
        <v/>
      </c>
      <c r="W86" s="10" t="s">
        <v>43</v>
      </c>
      <c r="X86" s="11" t="str">
        <f t="shared" si="15"/>
        <v/>
      </c>
      <c r="Y86" s="10" t="s">
        <v>46</v>
      </c>
      <c r="Z86" s="11" t="str">
        <f t="shared" si="16"/>
        <v/>
      </c>
      <c r="AA86" s="10" t="s">
        <v>36</v>
      </c>
      <c r="AB86" s="11" t="str">
        <f t="shared" si="17"/>
        <v/>
      </c>
      <c r="AC86" s="28" t="s">
        <v>32</v>
      </c>
      <c r="AD86" s="11" t="str">
        <f t="shared" si="18"/>
        <v/>
      </c>
      <c r="AE86" s="10" t="s">
        <v>34</v>
      </c>
      <c r="AF86" s="11" t="str">
        <f t="shared" si="19"/>
        <v/>
      </c>
      <c r="AG86" s="10" t="s">
        <v>43</v>
      </c>
      <c r="AH86" s="11" t="str">
        <f t="shared" si="20"/>
        <v/>
      </c>
      <c r="AI86" s="10" t="s">
        <v>34</v>
      </c>
      <c r="AJ86" s="11" t="str">
        <f t="shared" si="21"/>
        <v/>
      </c>
      <c r="AK86" s="10" t="s">
        <v>34</v>
      </c>
      <c r="AL86" s="11" t="str">
        <f t="shared" si="22"/>
        <v/>
      </c>
      <c r="AM86" s="10" t="s">
        <v>43</v>
      </c>
      <c r="AN86" s="11" t="str">
        <f t="shared" si="23"/>
        <v/>
      </c>
      <c r="AO86" s="10" t="s">
        <v>34</v>
      </c>
      <c r="AP86" s="11" t="str">
        <f t="shared" si="24"/>
        <v/>
      </c>
      <c r="AQ86" s="10" t="s">
        <v>36</v>
      </c>
      <c r="AR86" s="11" t="str">
        <f t="shared" si="25"/>
        <v/>
      </c>
      <c r="AS86" s="10" t="s">
        <v>36</v>
      </c>
      <c r="AT86" s="11" t="str">
        <f t="shared" si="26"/>
        <v/>
      </c>
      <c r="AU86" s="10" t="s">
        <v>46</v>
      </c>
      <c r="AV86" s="11" t="str">
        <f t="shared" si="27"/>
        <v/>
      </c>
      <c r="AW86" s="11" t="str">
        <f t="shared" si="28"/>
        <v/>
      </c>
      <c r="AX86" s="36" t="str">
        <f t="shared" si="29"/>
        <v/>
      </c>
    </row>
    <row r="87" spans="1:50" ht="18" customHeight="1" x14ac:dyDescent="0.3">
      <c r="A87" s="9">
        <v>1.916666666666667</v>
      </c>
      <c r="B87" s="18" t="s">
        <v>66</v>
      </c>
      <c r="C87" s="10"/>
      <c r="D87" s="1" t="s">
        <v>71</v>
      </c>
      <c r="E87" s="10" t="s">
        <v>46</v>
      </c>
      <c r="F87" s="11" t="str">
        <f t="shared" si="6"/>
        <v/>
      </c>
      <c r="G87" s="10" t="s">
        <v>34</v>
      </c>
      <c r="H87" s="11" t="str">
        <f t="shared" si="7"/>
        <v/>
      </c>
      <c r="I87" s="10" t="s">
        <v>53</v>
      </c>
      <c r="J87" s="11" t="str">
        <f t="shared" si="8"/>
        <v/>
      </c>
      <c r="K87" s="10" t="s">
        <v>34</v>
      </c>
      <c r="L87" s="11" t="str">
        <f t="shared" si="9"/>
        <v/>
      </c>
      <c r="M87" s="10" t="s">
        <v>47</v>
      </c>
      <c r="N87" s="11" t="str">
        <f t="shared" si="10"/>
        <v/>
      </c>
      <c r="O87" s="10" t="s">
        <v>46</v>
      </c>
      <c r="P87" s="11" t="str">
        <f t="shared" si="11"/>
        <v/>
      </c>
      <c r="Q87" s="10" t="s">
        <v>34</v>
      </c>
      <c r="R87" s="11" t="str">
        <f t="shared" si="12"/>
        <v/>
      </c>
      <c r="S87" s="10" t="s">
        <v>36</v>
      </c>
      <c r="T87" s="11" t="str">
        <f t="shared" si="13"/>
        <v/>
      </c>
      <c r="U87" s="10" t="s">
        <v>46</v>
      </c>
      <c r="V87" s="11" t="str">
        <f t="shared" si="14"/>
        <v/>
      </c>
      <c r="W87" s="10" t="s">
        <v>46</v>
      </c>
      <c r="X87" s="11" t="str">
        <f t="shared" si="15"/>
        <v/>
      </c>
      <c r="Y87" s="10" t="s">
        <v>36</v>
      </c>
      <c r="Z87" s="11" t="str">
        <f t="shared" si="16"/>
        <v/>
      </c>
      <c r="AA87" s="10" t="s">
        <v>54</v>
      </c>
      <c r="AB87" s="11" t="str">
        <f t="shared" si="17"/>
        <v/>
      </c>
      <c r="AC87" s="28" t="s">
        <v>47</v>
      </c>
      <c r="AD87" s="11" t="str">
        <f t="shared" si="18"/>
        <v/>
      </c>
      <c r="AE87" s="10" t="s">
        <v>46</v>
      </c>
      <c r="AF87" s="11" t="str">
        <f t="shared" si="19"/>
        <v/>
      </c>
      <c r="AG87" s="10" t="s">
        <v>46</v>
      </c>
      <c r="AH87" s="11" t="str">
        <f t="shared" si="20"/>
        <v/>
      </c>
      <c r="AI87" s="10" t="s">
        <v>48</v>
      </c>
      <c r="AJ87" s="11" t="str">
        <f t="shared" si="21"/>
        <v/>
      </c>
      <c r="AK87" s="10" t="s">
        <v>46</v>
      </c>
      <c r="AL87" s="11" t="str">
        <f t="shared" si="22"/>
        <v/>
      </c>
      <c r="AM87" s="10" t="s">
        <v>46</v>
      </c>
      <c r="AN87" s="11" t="str">
        <f t="shared" si="23"/>
        <v/>
      </c>
      <c r="AO87" s="10" t="s">
        <v>54</v>
      </c>
      <c r="AP87" s="11" t="str">
        <f t="shared" si="24"/>
        <v/>
      </c>
      <c r="AQ87" s="10" t="s">
        <v>54</v>
      </c>
      <c r="AR87" s="11" t="str">
        <f t="shared" si="25"/>
        <v/>
      </c>
      <c r="AS87" s="10" t="s">
        <v>35</v>
      </c>
      <c r="AT87" s="11" t="str">
        <f t="shared" si="26"/>
        <v/>
      </c>
      <c r="AU87" s="10" t="s">
        <v>38</v>
      </c>
      <c r="AV87" s="11" t="str">
        <f t="shared" si="27"/>
        <v/>
      </c>
      <c r="AW87" s="11" t="str">
        <f t="shared" si="28"/>
        <v/>
      </c>
      <c r="AX87" s="36" t="str">
        <f t="shared" si="29"/>
        <v/>
      </c>
    </row>
    <row r="88" spans="1:50" ht="18" customHeight="1" x14ac:dyDescent="0.3">
      <c r="A88" s="9">
        <v>1.916666666666667</v>
      </c>
      <c r="B88" s="18" t="s">
        <v>72</v>
      </c>
      <c r="C88" s="10"/>
      <c r="D88" s="1" t="s">
        <v>65</v>
      </c>
      <c r="E88" s="10" t="s">
        <v>36</v>
      </c>
      <c r="F88" s="11" t="str">
        <f t="shared" si="6"/>
        <v/>
      </c>
      <c r="G88" s="10" t="s">
        <v>46</v>
      </c>
      <c r="H88" s="11" t="str">
        <f t="shared" si="7"/>
        <v/>
      </c>
      <c r="I88" s="10" t="s">
        <v>43</v>
      </c>
      <c r="J88" s="11" t="str">
        <f t="shared" si="8"/>
        <v/>
      </c>
      <c r="K88" s="10" t="s">
        <v>106</v>
      </c>
      <c r="L88" s="11" t="str">
        <f t="shared" si="9"/>
        <v/>
      </c>
      <c r="M88" s="10" t="s">
        <v>54</v>
      </c>
      <c r="N88" s="11" t="str">
        <f t="shared" si="10"/>
        <v/>
      </c>
      <c r="O88" s="10" t="s">
        <v>42</v>
      </c>
      <c r="P88" s="11" t="str">
        <f t="shared" si="11"/>
        <v/>
      </c>
      <c r="Q88" s="10" t="s">
        <v>104</v>
      </c>
      <c r="R88" s="11" t="str">
        <f t="shared" si="12"/>
        <v/>
      </c>
      <c r="S88" s="10" t="s">
        <v>62</v>
      </c>
      <c r="T88" s="11" t="str">
        <f t="shared" si="13"/>
        <v/>
      </c>
      <c r="U88" s="10" t="s">
        <v>46</v>
      </c>
      <c r="V88" s="11" t="str">
        <f t="shared" si="14"/>
        <v/>
      </c>
      <c r="W88" s="10" t="s">
        <v>46</v>
      </c>
      <c r="X88" s="11" t="str">
        <f t="shared" si="15"/>
        <v/>
      </c>
      <c r="Y88" s="10" t="s">
        <v>34</v>
      </c>
      <c r="Z88" s="11" t="str">
        <f t="shared" si="16"/>
        <v/>
      </c>
      <c r="AA88" s="10" t="s">
        <v>43</v>
      </c>
      <c r="AB88" s="11" t="str">
        <f t="shared" si="17"/>
        <v/>
      </c>
      <c r="AC88" s="28" t="s">
        <v>34</v>
      </c>
      <c r="AD88" s="11" t="str">
        <f t="shared" si="18"/>
        <v/>
      </c>
      <c r="AE88" s="10" t="s">
        <v>36</v>
      </c>
      <c r="AF88" s="11" t="str">
        <f t="shared" si="19"/>
        <v/>
      </c>
      <c r="AG88" s="10" t="s">
        <v>36</v>
      </c>
      <c r="AH88" s="11" t="str">
        <f t="shared" si="20"/>
        <v/>
      </c>
      <c r="AI88" s="10" t="s">
        <v>106</v>
      </c>
      <c r="AJ88" s="11" t="str">
        <f t="shared" si="21"/>
        <v/>
      </c>
      <c r="AK88" s="10" t="s">
        <v>36</v>
      </c>
      <c r="AL88" s="11" t="str">
        <f t="shared" si="22"/>
        <v/>
      </c>
      <c r="AM88" s="10" t="s">
        <v>36</v>
      </c>
      <c r="AN88" s="11" t="str">
        <f t="shared" si="23"/>
        <v/>
      </c>
      <c r="AO88" s="10" t="s">
        <v>34</v>
      </c>
      <c r="AP88" s="11" t="str">
        <f t="shared" si="24"/>
        <v/>
      </c>
      <c r="AQ88" s="10" t="s">
        <v>36</v>
      </c>
      <c r="AR88" s="11" t="str">
        <f t="shared" si="25"/>
        <v/>
      </c>
      <c r="AS88" s="10" t="s">
        <v>42</v>
      </c>
      <c r="AT88" s="11" t="str">
        <f t="shared" si="26"/>
        <v/>
      </c>
      <c r="AU88" s="10" t="s">
        <v>38</v>
      </c>
      <c r="AV88" s="11" t="str">
        <f t="shared" si="27"/>
        <v/>
      </c>
      <c r="AW88" s="11" t="str">
        <f t="shared" si="28"/>
        <v/>
      </c>
      <c r="AX88" s="36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37"/>
    </row>
    <row r="90" spans="1:50" ht="20.100000000000001" customHeight="1" x14ac:dyDescent="0.3">
      <c r="A90" s="39">
        <v>46199</v>
      </c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1"/>
      <c r="AW90" s="8"/>
      <c r="AX90" s="35"/>
    </row>
    <row r="91" spans="1:50" ht="18" customHeight="1" x14ac:dyDescent="0.3">
      <c r="A91" s="9">
        <v>1.041666666666667</v>
      </c>
      <c r="B91" s="18" t="s">
        <v>70</v>
      </c>
      <c r="C91" s="10"/>
      <c r="D91" s="1" t="s">
        <v>73</v>
      </c>
      <c r="E91" s="10" t="s">
        <v>32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32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48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54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32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47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107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32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34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34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34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34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33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34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36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36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32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34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32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32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36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34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36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74</v>
      </c>
      <c r="C92" s="10"/>
      <c r="D92" s="1" t="s">
        <v>69</v>
      </c>
      <c r="E92" s="10" t="s">
        <v>53</v>
      </c>
      <c r="F92" s="11" t="str">
        <f t="shared" si="30"/>
        <v/>
      </c>
      <c r="G92" s="10" t="s">
        <v>46</v>
      </c>
      <c r="H92" s="11" t="str">
        <f t="shared" si="31"/>
        <v/>
      </c>
      <c r="I92" s="10" t="s">
        <v>43</v>
      </c>
      <c r="J92" s="11" t="str">
        <f t="shared" si="32"/>
        <v/>
      </c>
      <c r="K92" s="10" t="s">
        <v>104</v>
      </c>
      <c r="L92" s="11" t="str">
        <f t="shared" si="33"/>
        <v/>
      </c>
      <c r="M92" s="10" t="s">
        <v>53</v>
      </c>
      <c r="N92" s="11" t="str">
        <f t="shared" si="34"/>
        <v/>
      </c>
      <c r="O92" s="10" t="s">
        <v>36</v>
      </c>
      <c r="P92" s="11" t="str">
        <f t="shared" si="35"/>
        <v/>
      </c>
      <c r="Q92" s="10" t="s">
        <v>104</v>
      </c>
      <c r="R92" s="11" t="str">
        <f t="shared" si="36"/>
        <v/>
      </c>
      <c r="S92" s="10" t="s">
        <v>104</v>
      </c>
      <c r="T92" s="11" t="str">
        <f t="shared" si="37"/>
        <v/>
      </c>
      <c r="U92" s="10" t="s">
        <v>46</v>
      </c>
      <c r="V92" s="11" t="str">
        <f t="shared" si="38"/>
        <v/>
      </c>
      <c r="W92" s="10" t="s">
        <v>46</v>
      </c>
      <c r="X92" s="11" t="str">
        <f t="shared" si="39"/>
        <v/>
      </c>
      <c r="Y92" s="10" t="s">
        <v>46</v>
      </c>
      <c r="Z92" s="11" t="str">
        <f t="shared" si="40"/>
        <v/>
      </c>
      <c r="AA92" s="10" t="s">
        <v>108</v>
      </c>
      <c r="AB92" s="11" t="str">
        <f t="shared" si="41"/>
        <v/>
      </c>
      <c r="AC92" s="28" t="s">
        <v>43</v>
      </c>
      <c r="AD92" s="11" t="str">
        <f t="shared" si="42"/>
        <v/>
      </c>
      <c r="AE92" s="10" t="s">
        <v>46</v>
      </c>
      <c r="AF92" s="11" t="str">
        <f t="shared" si="43"/>
        <v/>
      </c>
      <c r="AG92" s="10" t="s">
        <v>46</v>
      </c>
      <c r="AH92" s="11" t="str">
        <f t="shared" si="44"/>
        <v/>
      </c>
      <c r="AI92" s="10" t="s">
        <v>46</v>
      </c>
      <c r="AJ92" s="11" t="str">
        <f t="shared" si="45"/>
        <v/>
      </c>
      <c r="AK92" s="10" t="s">
        <v>46</v>
      </c>
      <c r="AL92" s="11" t="str">
        <f t="shared" si="46"/>
        <v/>
      </c>
      <c r="AM92" s="10" t="s">
        <v>46</v>
      </c>
      <c r="AN92" s="11" t="str">
        <f t="shared" si="47"/>
        <v/>
      </c>
      <c r="AO92" s="10" t="s">
        <v>46</v>
      </c>
      <c r="AP92" s="11" t="str">
        <f t="shared" si="48"/>
        <v/>
      </c>
      <c r="AQ92" s="10" t="s">
        <v>36</v>
      </c>
      <c r="AR92" s="11" t="str">
        <f t="shared" si="49"/>
        <v/>
      </c>
      <c r="AS92" s="10" t="s">
        <v>46</v>
      </c>
      <c r="AT92" s="11" t="str">
        <f t="shared" si="50"/>
        <v/>
      </c>
      <c r="AU92" s="10" t="s">
        <v>36</v>
      </c>
      <c r="AV92" s="11" t="str">
        <f t="shared" si="51"/>
        <v/>
      </c>
      <c r="AW92" s="11" t="str">
        <f t="shared" si="52"/>
        <v/>
      </c>
      <c r="AX92" s="36" t="str">
        <f t="shared" si="53"/>
        <v/>
      </c>
    </row>
    <row r="93" spans="1:50" ht="18" customHeight="1" x14ac:dyDescent="0.3">
      <c r="A93" s="9">
        <v>1.166666666666667</v>
      </c>
      <c r="B93" s="18" t="s">
        <v>64</v>
      </c>
      <c r="C93" s="10"/>
      <c r="D93" s="1" t="s">
        <v>49</v>
      </c>
      <c r="E93" s="10" t="s">
        <v>36</v>
      </c>
      <c r="F93" s="11" t="str">
        <f t="shared" si="30"/>
        <v/>
      </c>
      <c r="G93" s="10" t="s">
        <v>36</v>
      </c>
      <c r="H93" s="11" t="str">
        <f t="shared" si="31"/>
        <v/>
      </c>
      <c r="I93" s="10" t="s">
        <v>38</v>
      </c>
      <c r="J93" s="11" t="str">
        <f t="shared" si="32"/>
        <v/>
      </c>
      <c r="K93" s="10" t="s">
        <v>32</v>
      </c>
      <c r="L93" s="11" t="str">
        <f t="shared" si="33"/>
        <v/>
      </c>
      <c r="M93" s="10" t="s">
        <v>35</v>
      </c>
      <c r="N93" s="11" t="str">
        <f t="shared" si="34"/>
        <v/>
      </c>
      <c r="O93" s="10" t="s">
        <v>36</v>
      </c>
      <c r="P93" s="11" t="str">
        <f t="shared" si="35"/>
        <v/>
      </c>
      <c r="Q93" s="10" t="s">
        <v>57</v>
      </c>
      <c r="R93" s="11" t="str">
        <f t="shared" si="36"/>
        <v/>
      </c>
      <c r="S93" s="10" t="s">
        <v>53</v>
      </c>
      <c r="T93" s="11" t="str">
        <f t="shared" si="37"/>
        <v/>
      </c>
      <c r="U93" s="10" t="s">
        <v>34</v>
      </c>
      <c r="V93" s="11" t="str">
        <f t="shared" si="38"/>
        <v/>
      </c>
      <c r="W93" s="10" t="s">
        <v>36</v>
      </c>
      <c r="X93" s="11" t="str">
        <f t="shared" si="39"/>
        <v/>
      </c>
      <c r="Y93" s="10" t="s">
        <v>34</v>
      </c>
      <c r="Z93" s="11" t="str">
        <f t="shared" si="40"/>
        <v/>
      </c>
      <c r="AA93" s="10" t="s">
        <v>32</v>
      </c>
      <c r="AB93" s="11" t="str">
        <f t="shared" si="41"/>
        <v/>
      </c>
      <c r="AC93" s="28" t="s">
        <v>34</v>
      </c>
      <c r="AD93" s="11" t="str">
        <f t="shared" si="42"/>
        <v/>
      </c>
      <c r="AE93" s="10" t="s">
        <v>36</v>
      </c>
      <c r="AF93" s="11" t="str">
        <f t="shared" si="43"/>
        <v/>
      </c>
      <c r="AG93" s="10" t="s">
        <v>34</v>
      </c>
      <c r="AH93" s="11" t="str">
        <f t="shared" si="44"/>
        <v/>
      </c>
      <c r="AI93" s="10" t="s">
        <v>38</v>
      </c>
      <c r="AJ93" s="11" t="str">
        <f t="shared" si="45"/>
        <v/>
      </c>
      <c r="AK93" s="10" t="s">
        <v>36</v>
      </c>
      <c r="AL93" s="11" t="str">
        <f t="shared" si="46"/>
        <v/>
      </c>
      <c r="AM93" s="10" t="s">
        <v>43</v>
      </c>
      <c r="AN93" s="11" t="str">
        <f t="shared" si="47"/>
        <v/>
      </c>
      <c r="AO93" s="10" t="s">
        <v>34</v>
      </c>
      <c r="AP93" s="11" t="str">
        <f t="shared" si="48"/>
        <v/>
      </c>
      <c r="AQ93" s="10" t="s">
        <v>34</v>
      </c>
      <c r="AR93" s="11" t="str">
        <f t="shared" si="49"/>
        <v/>
      </c>
      <c r="AS93" s="10" t="s">
        <v>38</v>
      </c>
      <c r="AT93" s="11" t="str">
        <f t="shared" si="50"/>
        <v/>
      </c>
      <c r="AU93" s="10" t="s">
        <v>36</v>
      </c>
      <c r="AV93" s="11" t="str">
        <f t="shared" si="51"/>
        <v/>
      </c>
      <c r="AW93" s="11" t="str">
        <f t="shared" si="52"/>
        <v/>
      </c>
      <c r="AX93" s="36" t="str">
        <f t="shared" si="53"/>
        <v/>
      </c>
    </row>
    <row r="94" spans="1:50" ht="18" customHeight="1" x14ac:dyDescent="0.3">
      <c r="A94" s="9">
        <v>1.166666666666667</v>
      </c>
      <c r="B94" s="18" t="s">
        <v>50</v>
      </c>
      <c r="C94" s="10"/>
      <c r="D94" s="1" t="s">
        <v>63</v>
      </c>
      <c r="E94" s="10" t="s">
        <v>34</v>
      </c>
      <c r="F94" s="11" t="str">
        <f t="shared" si="30"/>
        <v/>
      </c>
      <c r="G94" s="10" t="s">
        <v>32</v>
      </c>
      <c r="H94" s="11" t="str">
        <f t="shared" si="31"/>
        <v/>
      </c>
      <c r="I94" s="10" t="s">
        <v>38</v>
      </c>
      <c r="J94" s="11" t="str">
        <f t="shared" si="32"/>
        <v/>
      </c>
      <c r="K94" s="10" t="s">
        <v>33</v>
      </c>
      <c r="L94" s="11" t="str">
        <f t="shared" si="33"/>
        <v/>
      </c>
      <c r="M94" s="10" t="s">
        <v>36</v>
      </c>
      <c r="N94" s="11" t="str">
        <f t="shared" si="34"/>
        <v/>
      </c>
      <c r="O94" s="10" t="s">
        <v>32</v>
      </c>
      <c r="P94" s="11" t="str">
        <f t="shared" si="35"/>
        <v/>
      </c>
      <c r="Q94" s="10" t="s">
        <v>34</v>
      </c>
      <c r="R94" s="11" t="str">
        <f t="shared" si="36"/>
        <v/>
      </c>
      <c r="S94" s="10" t="s">
        <v>32</v>
      </c>
      <c r="T94" s="11" t="str">
        <f t="shared" si="37"/>
        <v/>
      </c>
      <c r="U94" s="10" t="s">
        <v>38</v>
      </c>
      <c r="V94" s="11" t="str">
        <f t="shared" si="38"/>
        <v/>
      </c>
      <c r="W94" s="10" t="s">
        <v>38</v>
      </c>
      <c r="X94" s="11" t="str">
        <f t="shared" si="39"/>
        <v/>
      </c>
      <c r="Y94" s="10" t="s">
        <v>32</v>
      </c>
      <c r="Z94" s="11" t="str">
        <f t="shared" si="40"/>
        <v/>
      </c>
      <c r="AA94" s="10" t="s">
        <v>107</v>
      </c>
      <c r="AB94" s="11" t="str">
        <f t="shared" si="41"/>
        <v/>
      </c>
      <c r="AC94" s="28" t="s">
        <v>34</v>
      </c>
      <c r="AD94" s="11" t="str">
        <f t="shared" si="42"/>
        <v/>
      </c>
      <c r="AE94" s="10" t="s">
        <v>34</v>
      </c>
      <c r="AF94" s="11" t="str">
        <f t="shared" si="43"/>
        <v/>
      </c>
      <c r="AG94" s="10" t="s">
        <v>38</v>
      </c>
      <c r="AH94" s="11" t="str">
        <f t="shared" si="44"/>
        <v/>
      </c>
      <c r="AI94" s="10" t="s">
        <v>43</v>
      </c>
      <c r="AJ94" s="11" t="str">
        <f t="shared" si="45"/>
        <v/>
      </c>
      <c r="AK94" s="10" t="s">
        <v>32</v>
      </c>
      <c r="AL94" s="11" t="str">
        <f t="shared" si="46"/>
        <v/>
      </c>
      <c r="AM94" s="10" t="s">
        <v>48</v>
      </c>
      <c r="AN94" s="11" t="str">
        <f t="shared" si="47"/>
        <v/>
      </c>
      <c r="AO94" s="10" t="s">
        <v>35</v>
      </c>
      <c r="AP94" s="11" t="str">
        <f t="shared" si="48"/>
        <v/>
      </c>
      <c r="AQ94" s="10" t="s">
        <v>54</v>
      </c>
      <c r="AR94" s="11" t="str">
        <f t="shared" si="49"/>
        <v/>
      </c>
      <c r="AS94" s="10" t="s">
        <v>34</v>
      </c>
      <c r="AT94" s="11" t="str">
        <f t="shared" si="50"/>
        <v/>
      </c>
      <c r="AU94" s="10" t="s">
        <v>32</v>
      </c>
      <c r="AV94" s="11" t="str">
        <f t="shared" si="51"/>
        <v/>
      </c>
      <c r="AW94" s="11" t="str">
        <f t="shared" si="52"/>
        <v/>
      </c>
      <c r="AX94" s="36" t="str">
        <f t="shared" si="53"/>
        <v/>
      </c>
    </row>
    <row r="95" spans="1:50" ht="18" customHeight="1" x14ac:dyDescent="0.3">
      <c r="A95" s="9">
        <v>1.875</v>
      </c>
      <c r="B95" s="18" t="s">
        <v>87</v>
      </c>
      <c r="C95" s="10"/>
      <c r="D95" s="1" t="s">
        <v>83</v>
      </c>
      <c r="E95" s="10" t="s">
        <v>36</v>
      </c>
      <c r="F95" s="11" t="str">
        <f t="shared" si="30"/>
        <v/>
      </c>
      <c r="G95" s="10" t="s">
        <v>46</v>
      </c>
      <c r="H95" s="11" t="str">
        <f t="shared" si="31"/>
        <v/>
      </c>
      <c r="I95" s="10" t="s">
        <v>43</v>
      </c>
      <c r="J95" s="11" t="str">
        <f t="shared" si="32"/>
        <v/>
      </c>
      <c r="K95" s="10" t="s">
        <v>106</v>
      </c>
      <c r="L95" s="11" t="str">
        <f t="shared" si="33"/>
        <v/>
      </c>
      <c r="M95" s="10" t="s">
        <v>57</v>
      </c>
      <c r="N95" s="11" t="str">
        <f t="shared" si="34"/>
        <v/>
      </c>
      <c r="O95" s="10" t="s">
        <v>54</v>
      </c>
      <c r="P95" s="11" t="str">
        <f t="shared" si="35"/>
        <v/>
      </c>
      <c r="Q95" s="10" t="s">
        <v>32</v>
      </c>
      <c r="R95" s="11" t="str">
        <f t="shared" si="36"/>
        <v/>
      </c>
      <c r="S95" s="10" t="s">
        <v>104</v>
      </c>
      <c r="T95" s="11" t="str">
        <f t="shared" si="37"/>
        <v/>
      </c>
      <c r="U95" s="10" t="s">
        <v>36</v>
      </c>
      <c r="V95" s="11" t="str">
        <f t="shared" si="38"/>
        <v/>
      </c>
      <c r="W95" s="10" t="s">
        <v>34</v>
      </c>
      <c r="X95" s="11" t="str">
        <f t="shared" si="39"/>
        <v/>
      </c>
      <c r="Y95" s="10" t="s">
        <v>36</v>
      </c>
      <c r="Z95" s="11" t="str">
        <f t="shared" si="40"/>
        <v/>
      </c>
      <c r="AA95" s="10" t="s">
        <v>54</v>
      </c>
      <c r="AB95" s="11" t="str">
        <f t="shared" si="41"/>
        <v/>
      </c>
      <c r="AC95" s="28" t="s">
        <v>36</v>
      </c>
      <c r="AD95" s="11" t="str">
        <f t="shared" si="42"/>
        <v/>
      </c>
      <c r="AE95" s="10" t="s">
        <v>46</v>
      </c>
      <c r="AF95" s="11" t="str">
        <f t="shared" si="43"/>
        <v/>
      </c>
      <c r="AG95" s="10" t="s">
        <v>46</v>
      </c>
      <c r="AH95" s="11" t="str">
        <f t="shared" si="44"/>
        <v/>
      </c>
      <c r="AI95" s="10" t="s">
        <v>54</v>
      </c>
      <c r="AJ95" s="11" t="str">
        <f t="shared" si="45"/>
        <v/>
      </c>
      <c r="AK95" s="10" t="s">
        <v>34</v>
      </c>
      <c r="AL95" s="11" t="str">
        <f t="shared" si="46"/>
        <v/>
      </c>
      <c r="AM95" s="10" t="s">
        <v>32</v>
      </c>
      <c r="AN95" s="11" t="str">
        <f t="shared" si="47"/>
        <v/>
      </c>
      <c r="AO95" s="10" t="s">
        <v>46</v>
      </c>
      <c r="AP95" s="11" t="str">
        <f t="shared" si="48"/>
        <v/>
      </c>
      <c r="AQ95" s="10" t="s">
        <v>46</v>
      </c>
      <c r="AR95" s="11" t="str">
        <f t="shared" si="49"/>
        <v/>
      </c>
      <c r="AS95" s="10" t="s">
        <v>47</v>
      </c>
      <c r="AT95" s="11" t="str">
        <f t="shared" si="50"/>
        <v/>
      </c>
      <c r="AU95" s="10" t="s">
        <v>54</v>
      </c>
      <c r="AV95" s="11" t="str">
        <f t="shared" si="51"/>
        <v/>
      </c>
      <c r="AW95" s="11" t="str">
        <f t="shared" si="52"/>
        <v/>
      </c>
      <c r="AX95" s="36" t="str">
        <f t="shared" si="53"/>
        <v/>
      </c>
    </row>
    <row r="96" spans="1:50" ht="18" customHeight="1" x14ac:dyDescent="0.3">
      <c r="A96" s="9">
        <v>1.875</v>
      </c>
      <c r="B96" s="18" t="s">
        <v>84</v>
      </c>
      <c r="C96" s="10"/>
      <c r="D96" s="1" t="s">
        <v>86</v>
      </c>
      <c r="E96" s="10" t="s">
        <v>35</v>
      </c>
      <c r="F96" s="11" t="str">
        <f t="shared" si="30"/>
        <v/>
      </c>
      <c r="G96" s="10" t="s">
        <v>38</v>
      </c>
      <c r="H96" s="11" t="str">
        <f t="shared" si="31"/>
        <v/>
      </c>
      <c r="I96" s="10" t="s">
        <v>38</v>
      </c>
      <c r="J96" s="11" t="str">
        <f t="shared" si="32"/>
        <v/>
      </c>
      <c r="K96" s="10" t="s">
        <v>32</v>
      </c>
      <c r="L96" s="11" t="str">
        <f t="shared" si="33"/>
        <v/>
      </c>
      <c r="M96" s="10" t="s">
        <v>35</v>
      </c>
      <c r="N96" s="11" t="str">
        <f t="shared" si="34"/>
        <v/>
      </c>
      <c r="O96" s="10" t="s">
        <v>32</v>
      </c>
      <c r="P96" s="11" t="str">
        <f t="shared" si="35"/>
        <v/>
      </c>
      <c r="Q96" s="10" t="s">
        <v>32</v>
      </c>
      <c r="R96" s="11" t="str">
        <f t="shared" si="36"/>
        <v/>
      </c>
      <c r="S96" s="10" t="s">
        <v>34</v>
      </c>
      <c r="T96" s="11" t="str">
        <f t="shared" si="37"/>
        <v/>
      </c>
      <c r="U96" s="10" t="s">
        <v>35</v>
      </c>
      <c r="V96" s="11" t="str">
        <f t="shared" si="38"/>
        <v/>
      </c>
      <c r="W96" s="10" t="s">
        <v>35</v>
      </c>
      <c r="X96" s="11" t="str">
        <f t="shared" si="39"/>
        <v/>
      </c>
      <c r="Y96" s="10" t="s">
        <v>35</v>
      </c>
      <c r="Z96" s="11" t="str">
        <f t="shared" si="40"/>
        <v/>
      </c>
      <c r="AA96" s="10" t="s">
        <v>32</v>
      </c>
      <c r="AB96" s="11" t="str">
        <f t="shared" si="41"/>
        <v/>
      </c>
      <c r="AC96" s="28" t="s">
        <v>33</v>
      </c>
      <c r="AD96" s="11" t="str">
        <f t="shared" si="42"/>
        <v/>
      </c>
      <c r="AE96" s="10" t="s">
        <v>35</v>
      </c>
      <c r="AF96" s="11" t="str">
        <f t="shared" si="43"/>
        <v/>
      </c>
      <c r="AG96" s="10" t="s">
        <v>32</v>
      </c>
      <c r="AH96" s="11" t="str">
        <f t="shared" si="44"/>
        <v/>
      </c>
      <c r="AI96" s="10" t="s">
        <v>35</v>
      </c>
      <c r="AJ96" s="11" t="str">
        <f t="shared" si="45"/>
        <v/>
      </c>
      <c r="AK96" s="10" t="s">
        <v>32</v>
      </c>
      <c r="AL96" s="11" t="str">
        <f t="shared" si="46"/>
        <v/>
      </c>
      <c r="AM96" s="10" t="s">
        <v>32</v>
      </c>
      <c r="AN96" s="11" t="str">
        <f t="shared" si="47"/>
        <v/>
      </c>
      <c r="AO96" s="10" t="s">
        <v>48</v>
      </c>
      <c r="AP96" s="11" t="str">
        <f t="shared" si="48"/>
        <v/>
      </c>
      <c r="AQ96" s="10" t="s">
        <v>43</v>
      </c>
      <c r="AR96" s="11" t="str">
        <f t="shared" si="49"/>
        <v/>
      </c>
      <c r="AS96" s="10" t="s">
        <v>48</v>
      </c>
      <c r="AT96" s="11" t="str">
        <f t="shared" si="50"/>
        <v/>
      </c>
      <c r="AU96" s="10" t="s">
        <v>38</v>
      </c>
      <c r="AV96" s="11" t="str">
        <f t="shared" si="51"/>
        <v/>
      </c>
      <c r="AW96" s="11" t="str">
        <f t="shared" si="52"/>
        <v/>
      </c>
      <c r="AX96" s="36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37"/>
    </row>
    <row r="98" spans="1:50" ht="20.100000000000001" customHeight="1" x14ac:dyDescent="0.3">
      <c r="A98" s="39">
        <v>46200</v>
      </c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1"/>
      <c r="AW98" s="8"/>
      <c r="AX98" s="35"/>
    </row>
    <row r="99" spans="1:50" ht="18" customHeight="1" x14ac:dyDescent="0.3">
      <c r="A99" s="9">
        <v>1.083333333333333</v>
      </c>
      <c r="B99" s="18" t="s">
        <v>76</v>
      </c>
      <c r="C99" s="10"/>
      <c r="D99" s="1" t="s">
        <v>79</v>
      </c>
      <c r="E99" s="10" t="s">
        <v>34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46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43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47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35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46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47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34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34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43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34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36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33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34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34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43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34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47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48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38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34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48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36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80</v>
      </c>
      <c r="C100" s="10"/>
      <c r="D100" s="1" t="s">
        <v>75</v>
      </c>
      <c r="E100" s="10" t="s">
        <v>36</v>
      </c>
      <c r="F100" s="11" t="str">
        <f t="shared" si="54"/>
        <v/>
      </c>
      <c r="G100" s="10" t="s">
        <v>54</v>
      </c>
      <c r="H100" s="11" t="str">
        <f t="shared" si="55"/>
        <v/>
      </c>
      <c r="I100" s="10" t="s">
        <v>43</v>
      </c>
      <c r="J100" s="11" t="str">
        <f t="shared" si="56"/>
        <v/>
      </c>
      <c r="K100" s="10" t="s">
        <v>54</v>
      </c>
      <c r="L100" s="11" t="str">
        <f t="shared" si="57"/>
        <v/>
      </c>
      <c r="M100" s="10" t="s">
        <v>36</v>
      </c>
      <c r="N100" s="11" t="str">
        <f t="shared" si="58"/>
        <v/>
      </c>
      <c r="O100" s="10" t="s">
        <v>54</v>
      </c>
      <c r="P100" s="11" t="str">
        <f t="shared" si="59"/>
        <v/>
      </c>
      <c r="Q100" s="10" t="s">
        <v>36</v>
      </c>
      <c r="R100" s="11" t="str">
        <f t="shared" si="60"/>
        <v/>
      </c>
      <c r="S100" s="10" t="s">
        <v>104</v>
      </c>
      <c r="T100" s="11" t="str">
        <f t="shared" si="61"/>
        <v/>
      </c>
      <c r="U100" s="10" t="s">
        <v>54</v>
      </c>
      <c r="V100" s="11" t="str">
        <f t="shared" si="62"/>
        <v/>
      </c>
      <c r="W100" s="10" t="s">
        <v>34</v>
      </c>
      <c r="X100" s="11" t="str">
        <f t="shared" si="63"/>
        <v/>
      </c>
      <c r="Y100" s="10" t="s">
        <v>34</v>
      </c>
      <c r="Z100" s="11" t="str">
        <f t="shared" si="64"/>
        <v/>
      </c>
      <c r="AA100" s="10" t="s">
        <v>62</v>
      </c>
      <c r="AB100" s="11" t="str">
        <f t="shared" si="65"/>
        <v/>
      </c>
      <c r="AC100" s="28" t="s">
        <v>46</v>
      </c>
      <c r="AD100" s="11" t="str">
        <f t="shared" si="66"/>
        <v/>
      </c>
      <c r="AE100" s="10" t="s">
        <v>36</v>
      </c>
      <c r="AF100" s="11" t="str">
        <f t="shared" si="67"/>
        <v/>
      </c>
      <c r="AG100" s="10" t="s">
        <v>34</v>
      </c>
      <c r="AH100" s="11" t="str">
        <f t="shared" si="68"/>
        <v/>
      </c>
      <c r="AI100" s="10" t="s">
        <v>53</v>
      </c>
      <c r="AJ100" s="11" t="str">
        <f t="shared" si="69"/>
        <v/>
      </c>
      <c r="AK100" s="10" t="s">
        <v>36</v>
      </c>
      <c r="AL100" s="11" t="str">
        <f t="shared" si="70"/>
        <v/>
      </c>
      <c r="AM100" s="10" t="s">
        <v>36</v>
      </c>
      <c r="AN100" s="11" t="str">
        <f t="shared" si="71"/>
        <v/>
      </c>
      <c r="AO100" s="10" t="s">
        <v>36</v>
      </c>
      <c r="AP100" s="11" t="str">
        <f t="shared" si="72"/>
        <v/>
      </c>
      <c r="AQ100" s="10" t="s">
        <v>46</v>
      </c>
      <c r="AR100" s="11" t="str">
        <f t="shared" si="73"/>
        <v/>
      </c>
      <c r="AS100" s="10" t="s">
        <v>104</v>
      </c>
      <c r="AT100" s="11" t="str">
        <f t="shared" si="74"/>
        <v/>
      </c>
      <c r="AU100" s="10" t="s">
        <v>34</v>
      </c>
      <c r="AV100" s="11" t="str">
        <f t="shared" si="75"/>
        <v/>
      </c>
      <c r="AW100" s="11" t="str">
        <f t="shared" si="76"/>
        <v/>
      </c>
      <c r="AX100" s="36" t="str">
        <f t="shared" si="77"/>
        <v/>
      </c>
    </row>
    <row r="101" spans="1:50" ht="18" customHeight="1" x14ac:dyDescent="0.3">
      <c r="A101" s="9">
        <v>1.208333333333333</v>
      </c>
      <c r="B101" s="18" t="s">
        <v>78</v>
      </c>
      <c r="C101" s="10"/>
      <c r="D101" s="1" t="s">
        <v>81</v>
      </c>
      <c r="E101" s="10" t="s">
        <v>34</v>
      </c>
      <c r="F101" s="11" t="str">
        <f t="shared" si="54"/>
        <v/>
      </c>
      <c r="G101" s="10" t="s">
        <v>43</v>
      </c>
      <c r="H101" s="11" t="str">
        <f t="shared" si="55"/>
        <v/>
      </c>
      <c r="I101" s="10" t="s">
        <v>38</v>
      </c>
      <c r="J101" s="11" t="str">
        <f t="shared" si="56"/>
        <v/>
      </c>
      <c r="K101" s="10" t="s">
        <v>34</v>
      </c>
      <c r="L101" s="11" t="str">
        <f t="shared" si="57"/>
        <v/>
      </c>
      <c r="M101" s="10" t="s">
        <v>36</v>
      </c>
      <c r="N101" s="11" t="str">
        <f t="shared" si="58"/>
        <v/>
      </c>
      <c r="O101" s="10" t="s">
        <v>32</v>
      </c>
      <c r="P101" s="11" t="str">
        <f t="shared" si="59"/>
        <v/>
      </c>
      <c r="Q101" s="10" t="s">
        <v>48</v>
      </c>
      <c r="R101" s="11" t="str">
        <f t="shared" si="60"/>
        <v/>
      </c>
      <c r="S101" s="10" t="s">
        <v>36</v>
      </c>
      <c r="T101" s="11" t="str">
        <f t="shared" si="61"/>
        <v/>
      </c>
      <c r="U101" s="10" t="s">
        <v>34</v>
      </c>
      <c r="V101" s="11" t="str">
        <f t="shared" si="62"/>
        <v/>
      </c>
      <c r="W101" s="10" t="s">
        <v>34</v>
      </c>
      <c r="X101" s="11" t="str">
        <f t="shared" si="63"/>
        <v/>
      </c>
      <c r="Y101" s="10" t="s">
        <v>34</v>
      </c>
      <c r="Z101" s="11" t="str">
        <f t="shared" si="64"/>
        <v/>
      </c>
      <c r="AA101" s="10" t="s">
        <v>34</v>
      </c>
      <c r="AB101" s="11" t="str">
        <f t="shared" si="65"/>
        <v/>
      </c>
      <c r="AC101" s="28" t="s">
        <v>34</v>
      </c>
      <c r="AD101" s="11" t="str">
        <f t="shared" si="66"/>
        <v/>
      </c>
      <c r="AE101" s="10" t="s">
        <v>34</v>
      </c>
      <c r="AF101" s="11" t="str">
        <f t="shared" si="67"/>
        <v/>
      </c>
      <c r="AG101" s="10" t="s">
        <v>38</v>
      </c>
      <c r="AH101" s="11" t="str">
        <f t="shared" si="68"/>
        <v/>
      </c>
      <c r="AI101" s="10" t="s">
        <v>38</v>
      </c>
      <c r="AJ101" s="11" t="str">
        <f t="shared" si="69"/>
        <v/>
      </c>
      <c r="AK101" s="10" t="s">
        <v>32</v>
      </c>
      <c r="AL101" s="11" t="str">
        <f t="shared" si="70"/>
        <v/>
      </c>
      <c r="AM101" s="10" t="s">
        <v>47</v>
      </c>
      <c r="AN101" s="11" t="str">
        <f t="shared" si="71"/>
        <v/>
      </c>
      <c r="AO101" s="10" t="s">
        <v>34</v>
      </c>
      <c r="AP101" s="11" t="str">
        <f t="shared" si="72"/>
        <v/>
      </c>
      <c r="AQ101" s="10" t="s">
        <v>36</v>
      </c>
      <c r="AR101" s="11" t="str">
        <f t="shared" si="73"/>
        <v/>
      </c>
      <c r="AS101" s="10" t="s">
        <v>48</v>
      </c>
      <c r="AT101" s="11" t="str">
        <f t="shared" si="74"/>
        <v/>
      </c>
      <c r="AU101" s="10" t="s">
        <v>48</v>
      </c>
      <c r="AV101" s="11" t="str">
        <f t="shared" si="75"/>
        <v/>
      </c>
      <c r="AW101" s="11" t="str">
        <f t="shared" si="76"/>
        <v/>
      </c>
      <c r="AX101" s="36" t="str">
        <f t="shared" si="77"/>
        <v/>
      </c>
    </row>
    <row r="102" spans="1:50" ht="18" customHeight="1" x14ac:dyDescent="0.3">
      <c r="A102" s="9">
        <v>1.208333333333333</v>
      </c>
      <c r="B102" s="18" t="s">
        <v>82</v>
      </c>
      <c r="C102" s="10"/>
      <c r="D102" s="1" t="s">
        <v>77</v>
      </c>
      <c r="E102" s="10" t="s">
        <v>104</v>
      </c>
      <c r="F102" s="11" t="str">
        <f t="shared" si="54"/>
        <v/>
      </c>
      <c r="G102" s="10" t="s">
        <v>46</v>
      </c>
      <c r="H102" s="11" t="str">
        <f t="shared" si="55"/>
        <v/>
      </c>
      <c r="I102" s="10" t="s">
        <v>46</v>
      </c>
      <c r="J102" s="11" t="str">
        <f t="shared" si="56"/>
        <v/>
      </c>
      <c r="K102" s="10" t="s">
        <v>104</v>
      </c>
      <c r="L102" s="11" t="str">
        <f t="shared" si="57"/>
        <v/>
      </c>
      <c r="M102" s="10" t="s">
        <v>54</v>
      </c>
      <c r="N102" s="11" t="str">
        <f t="shared" si="58"/>
        <v/>
      </c>
      <c r="O102" s="10" t="s">
        <v>54</v>
      </c>
      <c r="P102" s="11" t="str">
        <f t="shared" si="59"/>
        <v/>
      </c>
      <c r="Q102" s="10" t="s">
        <v>36</v>
      </c>
      <c r="R102" s="11" t="str">
        <f t="shared" si="60"/>
        <v/>
      </c>
      <c r="S102" s="10" t="s">
        <v>104</v>
      </c>
      <c r="T102" s="11" t="str">
        <f t="shared" si="61"/>
        <v/>
      </c>
      <c r="U102" s="10" t="s">
        <v>46</v>
      </c>
      <c r="V102" s="11" t="str">
        <f t="shared" si="62"/>
        <v/>
      </c>
      <c r="W102" s="10" t="s">
        <v>53</v>
      </c>
      <c r="X102" s="11" t="str">
        <f t="shared" si="63"/>
        <v/>
      </c>
      <c r="Y102" s="10" t="s">
        <v>53</v>
      </c>
      <c r="Z102" s="11" t="str">
        <f t="shared" si="64"/>
        <v/>
      </c>
      <c r="AA102" s="10" t="s">
        <v>54</v>
      </c>
      <c r="AB102" s="11" t="str">
        <f t="shared" si="65"/>
        <v/>
      </c>
      <c r="AC102" s="28" t="s">
        <v>36</v>
      </c>
      <c r="AD102" s="11" t="str">
        <f t="shared" si="66"/>
        <v/>
      </c>
      <c r="AE102" s="10" t="s">
        <v>46</v>
      </c>
      <c r="AF102" s="11" t="str">
        <f t="shared" si="67"/>
        <v/>
      </c>
      <c r="AG102" s="10" t="s">
        <v>46</v>
      </c>
      <c r="AH102" s="11" t="str">
        <f t="shared" si="68"/>
        <v/>
      </c>
      <c r="AI102" s="10" t="s">
        <v>46</v>
      </c>
      <c r="AJ102" s="11" t="str">
        <f t="shared" si="69"/>
        <v/>
      </c>
      <c r="AK102" s="10" t="s">
        <v>46</v>
      </c>
      <c r="AL102" s="11" t="str">
        <f t="shared" si="70"/>
        <v/>
      </c>
      <c r="AM102" s="10" t="s">
        <v>46</v>
      </c>
      <c r="AN102" s="11" t="str">
        <f t="shared" si="71"/>
        <v/>
      </c>
      <c r="AO102" s="10" t="s">
        <v>43</v>
      </c>
      <c r="AP102" s="11" t="str">
        <f t="shared" si="72"/>
        <v/>
      </c>
      <c r="AQ102" s="10" t="s">
        <v>46</v>
      </c>
      <c r="AR102" s="11" t="str">
        <f t="shared" si="73"/>
        <v/>
      </c>
      <c r="AS102" s="10" t="s">
        <v>43</v>
      </c>
      <c r="AT102" s="11" t="str">
        <f t="shared" si="74"/>
        <v/>
      </c>
      <c r="AU102" s="10" t="s">
        <v>54</v>
      </c>
      <c r="AV102" s="11" t="str">
        <f t="shared" si="75"/>
        <v/>
      </c>
      <c r="AW102" s="11" t="str">
        <f t="shared" si="76"/>
        <v/>
      </c>
      <c r="AX102" s="36" t="str">
        <f t="shared" si="77"/>
        <v/>
      </c>
    </row>
    <row r="103" spans="1:50" ht="18" customHeight="1" x14ac:dyDescent="0.3">
      <c r="A103" s="9">
        <v>1.958333333333333</v>
      </c>
      <c r="B103" s="18" t="s">
        <v>97</v>
      </c>
      <c r="C103" s="10"/>
      <c r="D103" s="1" t="s">
        <v>94</v>
      </c>
      <c r="E103" s="10" t="s">
        <v>53</v>
      </c>
      <c r="F103" s="11" t="str">
        <f t="shared" si="54"/>
        <v/>
      </c>
      <c r="G103" s="10" t="s">
        <v>53</v>
      </c>
      <c r="H103" s="11" t="str">
        <f t="shared" si="55"/>
        <v/>
      </c>
      <c r="I103" s="10" t="s">
        <v>43</v>
      </c>
      <c r="J103" s="11" t="str">
        <f t="shared" si="56"/>
        <v/>
      </c>
      <c r="K103" s="10" t="s">
        <v>54</v>
      </c>
      <c r="L103" s="11" t="str">
        <f t="shared" si="57"/>
        <v/>
      </c>
      <c r="M103" s="10" t="s">
        <v>54</v>
      </c>
      <c r="N103" s="11" t="str">
        <f t="shared" si="58"/>
        <v/>
      </c>
      <c r="O103" s="10" t="s">
        <v>46</v>
      </c>
      <c r="P103" s="11" t="str">
        <f t="shared" si="59"/>
        <v/>
      </c>
      <c r="Q103" s="10" t="s">
        <v>53</v>
      </c>
      <c r="R103" s="11" t="str">
        <f t="shared" si="60"/>
        <v/>
      </c>
      <c r="S103" s="10" t="s">
        <v>104</v>
      </c>
      <c r="T103" s="11" t="str">
        <f t="shared" si="61"/>
        <v/>
      </c>
      <c r="U103" s="10" t="s">
        <v>46</v>
      </c>
      <c r="V103" s="11" t="str">
        <f t="shared" si="62"/>
        <v/>
      </c>
      <c r="W103" s="10" t="s">
        <v>46</v>
      </c>
      <c r="X103" s="11" t="str">
        <f t="shared" si="63"/>
        <v/>
      </c>
      <c r="Y103" s="10" t="s">
        <v>53</v>
      </c>
      <c r="Z103" s="11" t="str">
        <f t="shared" si="64"/>
        <v/>
      </c>
      <c r="AA103" s="10" t="s">
        <v>46</v>
      </c>
      <c r="AB103" s="11" t="str">
        <f t="shared" si="65"/>
        <v/>
      </c>
      <c r="AC103" s="28" t="s">
        <v>53</v>
      </c>
      <c r="AD103" s="11" t="str">
        <f t="shared" si="66"/>
        <v/>
      </c>
      <c r="AE103" s="10" t="s">
        <v>53</v>
      </c>
      <c r="AF103" s="11" t="str">
        <f t="shared" si="67"/>
        <v/>
      </c>
      <c r="AG103" s="10" t="s">
        <v>53</v>
      </c>
      <c r="AH103" s="11" t="str">
        <f t="shared" si="68"/>
        <v/>
      </c>
      <c r="AI103" s="10" t="s">
        <v>53</v>
      </c>
      <c r="AJ103" s="11" t="str">
        <f t="shared" si="69"/>
        <v/>
      </c>
      <c r="AK103" s="10" t="s">
        <v>46</v>
      </c>
      <c r="AL103" s="11" t="str">
        <f t="shared" si="70"/>
        <v/>
      </c>
      <c r="AM103" s="10" t="s">
        <v>43</v>
      </c>
      <c r="AN103" s="11" t="str">
        <f t="shared" si="71"/>
        <v/>
      </c>
      <c r="AO103" s="10" t="s">
        <v>54</v>
      </c>
      <c r="AP103" s="11" t="str">
        <f t="shared" si="72"/>
        <v/>
      </c>
      <c r="AQ103" s="10" t="s">
        <v>54</v>
      </c>
      <c r="AR103" s="11" t="str">
        <f t="shared" si="73"/>
        <v/>
      </c>
      <c r="AS103" s="10" t="s">
        <v>46</v>
      </c>
      <c r="AT103" s="11" t="str">
        <f t="shared" si="74"/>
        <v/>
      </c>
      <c r="AU103" s="10" t="s">
        <v>36</v>
      </c>
      <c r="AV103" s="11" t="str">
        <f t="shared" si="75"/>
        <v/>
      </c>
      <c r="AW103" s="11" t="str">
        <f t="shared" si="76"/>
        <v/>
      </c>
      <c r="AX103" s="36" t="str">
        <f t="shared" si="77"/>
        <v/>
      </c>
    </row>
    <row r="104" spans="1:50" ht="18" customHeight="1" x14ac:dyDescent="0.3">
      <c r="A104" s="9">
        <v>1.958333333333333</v>
      </c>
      <c r="B104" s="18" t="s">
        <v>95</v>
      </c>
      <c r="C104" s="10"/>
      <c r="D104" s="1" t="s">
        <v>96</v>
      </c>
      <c r="E104" s="10" t="s">
        <v>32</v>
      </c>
      <c r="F104" s="11" t="str">
        <f t="shared" si="54"/>
        <v/>
      </c>
      <c r="G104" s="10" t="s">
        <v>35</v>
      </c>
      <c r="H104" s="11" t="str">
        <f t="shared" si="55"/>
        <v/>
      </c>
      <c r="I104" s="10" t="s">
        <v>32</v>
      </c>
      <c r="J104" s="11" t="str">
        <f t="shared" si="56"/>
        <v/>
      </c>
      <c r="K104" s="10" t="s">
        <v>37</v>
      </c>
      <c r="L104" s="11" t="str">
        <f t="shared" si="57"/>
        <v/>
      </c>
      <c r="M104" s="10" t="s">
        <v>47</v>
      </c>
      <c r="N104" s="11" t="str">
        <f t="shared" si="58"/>
        <v/>
      </c>
      <c r="O104" s="10" t="s">
        <v>47</v>
      </c>
      <c r="P104" s="11" t="str">
        <f t="shared" si="59"/>
        <v/>
      </c>
      <c r="Q104" s="10" t="s">
        <v>41</v>
      </c>
      <c r="R104" s="11" t="str">
        <f t="shared" si="60"/>
        <v/>
      </c>
      <c r="S104" s="10" t="s">
        <v>32</v>
      </c>
      <c r="T104" s="11" t="str">
        <f t="shared" si="61"/>
        <v/>
      </c>
      <c r="U104" s="10" t="s">
        <v>32</v>
      </c>
      <c r="V104" s="11" t="str">
        <f t="shared" si="62"/>
        <v/>
      </c>
      <c r="W104" s="10" t="s">
        <v>34</v>
      </c>
      <c r="X104" s="11" t="str">
        <f t="shared" si="63"/>
        <v/>
      </c>
      <c r="Y104" s="10" t="s">
        <v>32</v>
      </c>
      <c r="Z104" s="11" t="str">
        <f t="shared" si="64"/>
        <v/>
      </c>
      <c r="AA104" s="10" t="s">
        <v>34</v>
      </c>
      <c r="AB104" s="11" t="str">
        <f t="shared" si="65"/>
        <v/>
      </c>
      <c r="AC104" s="28" t="s">
        <v>34</v>
      </c>
      <c r="AD104" s="11" t="str">
        <f t="shared" si="66"/>
        <v/>
      </c>
      <c r="AE104" s="10" t="s">
        <v>34</v>
      </c>
      <c r="AF104" s="11" t="str">
        <f t="shared" si="67"/>
        <v/>
      </c>
      <c r="AG104" s="10" t="s">
        <v>32</v>
      </c>
      <c r="AH104" s="11" t="str">
        <f t="shared" si="68"/>
        <v/>
      </c>
      <c r="AI104" s="10" t="s">
        <v>38</v>
      </c>
      <c r="AJ104" s="11" t="str">
        <f t="shared" si="69"/>
        <v/>
      </c>
      <c r="AK104" s="10" t="s">
        <v>32</v>
      </c>
      <c r="AL104" s="11" t="str">
        <f t="shared" si="70"/>
        <v/>
      </c>
      <c r="AM104" s="10" t="s">
        <v>34</v>
      </c>
      <c r="AN104" s="11" t="str">
        <f t="shared" si="71"/>
        <v/>
      </c>
      <c r="AO104" s="10" t="s">
        <v>32</v>
      </c>
      <c r="AP104" s="11" t="str">
        <f t="shared" si="72"/>
        <v/>
      </c>
      <c r="AQ104" s="10" t="s">
        <v>34</v>
      </c>
      <c r="AR104" s="11" t="str">
        <f t="shared" si="73"/>
        <v/>
      </c>
      <c r="AS104" s="10" t="s">
        <v>34</v>
      </c>
      <c r="AT104" s="11" t="str">
        <f t="shared" si="74"/>
        <v/>
      </c>
      <c r="AU104" s="10" t="s">
        <v>34</v>
      </c>
      <c r="AV104" s="11" t="str">
        <f t="shared" si="75"/>
        <v/>
      </c>
      <c r="AW104" s="11" t="str">
        <f t="shared" si="76"/>
        <v/>
      </c>
      <c r="AX104" s="36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37"/>
    </row>
    <row r="106" spans="1:50" ht="20.100000000000001" customHeight="1" x14ac:dyDescent="0.3">
      <c r="A106" s="39">
        <v>46201</v>
      </c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1"/>
      <c r="AW106" s="8"/>
      <c r="AX106" s="35"/>
    </row>
    <row r="107" spans="1:50" ht="18" customHeight="1" x14ac:dyDescent="0.3">
      <c r="A107" s="9">
        <v>1.0625</v>
      </c>
      <c r="B107" s="18" t="s">
        <v>100</v>
      </c>
      <c r="C107" s="10"/>
      <c r="D107" s="1" t="s">
        <v>92</v>
      </c>
      <c r="E107" s="10" t="s">
        <v>34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53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43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43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47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36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36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62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36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34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34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54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54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36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36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62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54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54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46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48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36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47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36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93</v>
      </c>
      <c r="C108" s="10"/>
      <c r="D108" s="1" t="s">
        <v>99</v>
      </c>
      <c r="E108" s="10" t="s">
        <v>34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48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34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43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36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48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107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32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34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34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34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35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32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34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36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38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43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35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48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36</v>
      </c>
      <c r="AR108" s="11" t="str">
        <f t="shared" si="78"/>
        <v/>
      </c>
      <c r="AS108" s="10" t="s">
        <v>34</v>
      </c>
      <c r="AT108" s="11" t="str">
        <f t="shared" si="79"/>
        <v/>
      </c>
      <c r="AU108" s="10" t="s">
        <v>34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36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89</v>
      </c>
      <c r="C109" s="10"/>
      <c r="D109" s="1" t="s">
        <v>90</v>
      </c>
      <c r="E109" s="10" t="s">
        <v>34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53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43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43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32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36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43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47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34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34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34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34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57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34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34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43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34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43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32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32</v>
      </c>
      <c r="AR109" s="11" t="str">
        <f t="shared" si="78"/>
        <v/>
      </c>
      <c r="AS109" s="10" t="s">
        <v>48</v>
      </c>
      <c r="AT109" s="11" t="str">
        <f t="shared" si="79"/>
        <v/>
      </c>
      <c r="AU109" s="10" t="s">
        <v>36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36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91</v>
      </c>
      <c r="C110" s="10"/>
      <c r="D110" s="1" t="s">
        <v>88</v>
      </c>
      <c r="E110" s="10" t="s">
        <v>62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109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46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46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54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46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46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104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53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53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53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62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43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53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46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62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46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46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53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53</v>
      </c>
      <c r="AR110" s="11" t="str">
        <f t="shared" si="78"/>
        <v/>
      </c>
      <c r="AS110" s="10" t="s">
        <v>43</v>
      </c>
      <c r="AT110" s="11" t="str">
        <f t="shared" si="79"/>
        <v/>
      </c>
      <c r="AU110" s="10" t="s">
        <v>104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36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37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37"/>
    </row>
    <row r="113" spans="1:50" ht="20.100000000000001" customHeight="1" x14ac:dyDescent="0.3">
      <c r="A113" s="44" t="s">
        <v>110</v>
      </c>
      <c r="B113" s="45"/>
      <c r="C113" s="46"/>
      <c r="D113" s="45"/>
      <c r="E113" s="46"/>
      <c r="F113" s="45"/>
      <c r="G113" s="46"/>
      <c r="H113" s="45"/>
      <c r="I113" s="46"/>
      <c r="J113" s="45"/>
      <c r="K113" s="46"/>
      <c r="L113" s="45"/>
      <c r="M113" s="46"/>
      <c r="N113" s="45"/>
      <c r="O113" s="46"/>
      <c r="P113" s="45"/>
      <c r="Q113" s="46"/>
      <c r="R113" s="45"/>
      <c r="S113" s="46"/>
      <c r="T113" s="45"/>
      <c r="U113" s="46"/>
      <c r="V113" s="45"/>
      <c r="W113" s="46"/>
      <c r="X113" s="45"/>
      <c r="Y113" s="46"/>
      <c r="Z113" s="45"/>
      <c r="AA113" s="46"/>
      <c r="AB113" s="45"/>
      <c r="AC113" s="46"/>
      <c r="AD113" s="45"/>
      <c r="AE113" s="46"/>
      <c r="AF113" s="45"/>
      <c r="AG113" s="46"/>
      <c r="AH113" s="45"/>
      <c r="AI113" s="46"/>
      <c r="AJ113" s="45"/>
      <c r="AK113" s="46"/>
      <c r="AL113" s="45"/>
      <c r="AM113" s="46"/>
      <c r="AN113" s="45"/>
      <c r="AO113" s="46"/>
      <c r="AP113" s="45"/>
      <c r="AQ113" s="45"/>
      <c r="AR113" s="45"/>
      <c r="AS113" s="45"/>
      <c r="AT113" s="45"/>
      <c r="AU113" s="46"/>
      <c r="AV113" s="43"/>
      <c r="AW113" s="7"/>
      <c r="AX113" s="34"/>
    </row>
    <row r="114" spans="1:50" ht="20.100000000000001" customHeight="1" x14ac:dyDescent="0.3">
      <c r="A114" s="39">
        <v>46201</v>
      </c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1"/>
      <c r="AW114" s="8"/>
      <c r="AX114" s="35"/>
    </row>
    <row r="115" spans="1:50" ht="18" customHeight="1" x14ac:dyDescent="0.3">
      <c r="A115" s="9">
        <v>1.875</v>
      </c>
      <c r="B115" s="18" t="s">
        <v>111</v>
      </c>
      <c r="C115" s="10"/>
      <c r="D115" s="1" t="s">
        <v>112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36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37"/>
    </row>
    <row r="117" spans="1:50" ht="20.100000000000001" customHeight="1" x14ac:dyDescent="0.3">
      <c r="A117" s="39">
        <v>46202</v>
      </c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1"/>
      <c r="AW117" s="8"/>
      <c r="AX117" s="35"/>
    </row>
    <row r="118" spans="1:50" ht="18" customHeight="1" x14ac:dyDescent="0.3">
      <c r="A118" s="9">
        <v>1.791666666666667</v>
      </c>
      <c r="B118" s="18" t="s">
        <v>113</v>
      </c>
      <c r="C118" s="10"/>
      <c r="D118" s="1" t="s">
        <v>114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36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115</v>
      </c>
      <c r="C119" s="10"/>
      <c r="D119" s="1" t="s">
        <v>116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36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37"/>
    </row>
    <row r="121" spans="1:50" ht="20.100000000000001" customHeight="1" x14ac:dyDescent="0.3">
      <c r="A121" s="39">
        <v>46203</v>
      </c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1"/>
      <c r="AW121" s="8"/>
      <c r="AX121" s="35"/>
    </row>
    <row r="122" spans="1:50" ht="18" customHeight="1" x14ac:dyDescent="0.3">
      <c r="A122" s="9">
        <v>1.125</v>
      </c>
      <c r="B122" s="18" t="s">
        <v>117</v>
      </c>
      <c r="C122" s="10"/>
      <c r="D122" s="1" t="s">
        <v>118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36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119</v>
      </c>
      <c r="C123" s="10"/>
      <c r="D123" s="1" t="s">
        <v>120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36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121</v>
      </c>
      <c r="C124" s="10"/>
      <c r="D124" s="1" t="s">
        <v>122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36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37"/>
    </row>
    <row r="126" spans="1:50" ht="20.100000000000001" customHeight="1" x14ac:dyDescent="0.3">
      <c r="A126" s="39">
        <v>46204</v>
      </c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1"/>
      <c r="AW126" s="8"/>
      <c r="AX126" s="35"/>
    </row>
    <row r="127" spans="1:50" ht="18" customHeight="1" x14ac:dyDescent="0.3">
      <c r="A127" s="9">
        <v>1.125</v>
      </c>
      <c r="B127" s="18" t="s">
        <v>123</v>
      </c>
      <c r="C127" s="10"/>
      <c r="D127" s="1" t="s">
        <v>124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36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125</v>
      </c>
      <c r="C128" s="10"/>
      <c r="D128" s="1" t="s">
        <v>126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36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127</v>
      </c>
      <c r="C129" s="10"/>
      <c r="D129" s="1" t="s">
        <v>128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36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37"/>
    </row>
    <row r="131" spans="1:50" ht="20.100000000000001" customHeight="1" x14ac:dyDescent="0.3">
      <c r="A131" s="39">
        <v>46205</v>
      </c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1"/>
      <c r="AW131" s="8"/>
      <c r="AX131" s="35"/>
    </row>
    <row r="132" spans="1:50" ht="18" customHeight="1" x14ac:dyDescent="0.3">
      <c r="A132" s="9">
        <v>1.083333333333333</v>
      </c>
      <c r="B132" s="18" t="s">
        <v>129</v>
      </c>
      <c r="C132" s="10"/>
      <c r="D132" s="1" t="s">
        <v>130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36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131</v>
      </c>
      <c r="C133" s="10"/>
      <c r="D133" s="1" t="s">
        <v>132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36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37"/>
    </row>
    <row r="135" spans="1:50" ht="20.100000000000001" customHeight="1" x14ac:dyDescent="0.3">
      <c r="A135" s="39">
        <v>46206</v>
      </c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1"/>
      <c r="AW135" s="8"/>
      <c r="AX135" s="35"/>
    </row>
    <row r="136" spans="1:50" ht="18" customHeight="1" x14ac:dyDescent="0.3">
      <c r="A136" s="9">
        <v>1.041666666666667</v>
      </c>
      <c r="B136" s="18" t="s">
        <v>133</v>
      </c>
      <c r="C136" s="10"/>
      <c r="D136" s="1" t="s">
        <v>134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36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135</v>
      </c>
      <c r="C137" s="10"/>
      <c r="D137" s="1" t="s">
        <v>136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36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137</v>
      </c>
      <c r="C138" s="10"/>
      <c r="D138" s="1" t="s">
        <v>138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36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37"/>
    </row>
    <row r="140" spans="1:50" ht="20.100000000000001" customHeight="1" x14ac:dyDescent="0.3">
      <c r="A140" s="39">
        <v>46207</v>
      </c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1"/>
      <c r="AW140" s="8"/>
      <c r="AX140" s="35"/>
    </row>
    <row r="141" spans="1:50" ht="18" customHeight="1" x14ac:dyDescent="0.3">
      <c r="A141" s="9">
        <v>1</v>
      </c>
      <c r="B141" s="18" t="s">
        <v>139</v>
      </c>
      <c r="C141" s="10"/>
      <c r="D141" s="1" t="s">
        <v>140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36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141</v>
      </c>
      <c r="C142" s="10"/>
      <c r="D142" s="1" t="s">
        <v>142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36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37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37"/>
    </row>
    <row r="145" spans="1:50" ht="20.100000000000001" customHeight="1" x14ac:dyDescent="0.3">
      <c r="A145" s="44" t="s">
        <v>143</v>
      </c>
      <c r="B145" s="45"/>
      <c r="C145" s="46"/>
      <c r="D145" s="45"/>
      <c r="E145" s="46"/>
      <c r="F145" s="45"/>
      <c r="G145" s="46"/>
      <c r="H145" s="45"/>
      <c r="I145" s="46"/>
      <c r="J145" s="45"/>
      <c r="K145" s="46"/>
      <c r="L145" s="45"/>
      <c r="M145" s="46"/>
      <c r="N145" s="45"/>
      <c r="O145" s="46"/>
      <c r="P145" s="45"/>
      <c r="Q145" s="46"/>
      <c r="R145" s="45"/>
      <c r="S145" s="46"/>
      <c r="T145" s="45"/>
      <c r="U145" s="46"/>
      <c r="V145" s="45"/>
      <c r="W145" s="46"/>
      <c r="X145" s="45"/>
      <c r="Y145" s="46"/>
      <c r="Z145" s="45"/>
      <c r="AA145" s="46"/>
      <c r="AB145" s="45"/>
      <c r="AC145" s="46"/>
      <c r="AD145" s="45"/>
      <c r="AE145" s="46"/>
      <c r="AF145" s="45"/>
      <c r="AG145" s="46"/>
      <c r="AH145" s="45"/>
      <c r="AI145" s="46"/>
      <c r="AJ145" s="45"/>
      <c r="AK145" s="46"/>
      <c r="AL145" s="45"/>
      <c r="AM145" s="46"/>
      <c r="AN145" s="45"/>
      <c r="AO145" s="46"/>
      <c r="AP145" s="45"/>
      <c r="AQ145" s="45"/>
      <c r="AR145" s="45"/>
      <c r="AS145" s="45"/>
      <c r="AT145" s="45"/>
      <c r="AU145" s="46"/>
      <c r="AV145" s="43"/>
      <c r="AW145" s="7"/>
      <c r="AX145" s="34"/>
    </row>
    <row r="146" spans="1:50" ht="20.100000000000001" customHeight="1" x14ac:dyDescent="0.3">
      <c r="A146" s="39">
        <v>46207</v>
      </c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1"/>
      <c r="AW146" s="8"/>
      <c r="AX146" s="35"/>
    </row>
    <row r="147" spans="1:50" ht="18" customHeight="1" x14ac:dyDescent="0.3">
      <c r="A147" s="9">
        <v>1.791666666666667</v>
      </c>
      <c r="B147" s="18" t="s">
        <v>144</v>
      </c>
      <c r="C147" s="10"/>
      <c r="D147" s="1" t="s">
        <v>145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36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146</v>
      </c>
      <c r="C148" s="10"/>
      <c r="D148" s="1" t="s">
        <v>147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36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37"/>
    </row>
    <row r="150" spans="1:50" ht="20.100000000000001" customHeight="1" x14ac:dyDescent="0.3">
      <c r="A150" s="39">
        <v>46208</v>
      </c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1"/>
      <c r="AW150" s="8"/>
      <c r="AX150" s="35"/>
    </row>
    <row r="151" spans="1:50" ht="18" customHeight="1" x14ac:dyDescent="0.3">
      <c r="A151" s="9">
        <v>1.916666666666667</v>
      </c>
      <c r="B151" s="18" t="s">
        <v>148</v>
      </c>
      <c r="C151" s="10"/>
      <c r="D151" s="1" t="s">
        <v>149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36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37"/>
    </row>
    <row r="153" spans="1:50" ht="20.100000000000001" customHeight="1" x14ac:dyDescent="0.3">
      <c r="A153" s="39">
        <v>46209</v>
      </c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1"/>
      <c r="AW153" s="8"/>
      <c r="AX153" s="35"/>
    </row>
    <row r="154" spans="1:50" ht="18" customHeight="1" x14ac:dyDescent="0.3">
      <c r="A154" s="9">
        <v>1.083333333333333</v>
      </c>
      <c r="B154" s="18" t="s">
        <v>150</v>
      </c>
      <c r="C154" s="10"/>
      <c r="D154" s="1" t="s">
        <v>151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36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152</v>
      </c>
      <c r="C155" s="10"/>
      <c r="D155" s="1" t="s">
        <v>153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36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37"/>
    </row>
    <row r="157" spans="1:50" ht="20.100000000000001" customHeight="1" x14ac:dyDescent="0.3">
      <c r="A157" s="39">
        <v>46210</v>
      </c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1"/>
      <c r="AW157" s="8"/>
      <c r="AX157" s="35"/>
    </row>
    <row r="158" spans="1:50" ht="18" customHeight="1" x14ac:dyDescent="0.3">
      <c r="A158" s="9">
        <v>1.083333333333333</v>
      </c>
      <c r="B158" s="18" t="s">
        <v>154</v>
      </c>
      <c r="C158" s="10"/>
      <c r="D158" s="1" t="s">
        <v>155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36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156</v>
      </c>
      <c r="C159" s="10"/>
      <c r="D159" s="1" t="s">
        <v>157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36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158</v>
      </c>
      <c r="C160" s="10"/>
      <c r="D160" s="1" t="s">
        <v>159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36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37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37"/>
    </row>
    <row r="163" spans="1:50" ht="20.100000000000001" customHeight="1" x14ac:dyDescent="0.3">
      <c r="A163" s="44" t="s">
        <v>160</v>
      </c>
      <c r="B163" s="45"/>
      <c r="C163" s="46"/>
      <c r="D163" s="45"/>
      <c r="E163" s="46"/>
      <c r="F163" s="45"/>
      <c r="G163" s="46"/>
      <c r="H163" s="45"/>
      <c r="I163" s="46"/>
      <c r="J163" s="45"/>
      <c r="K163" s="46"/>
      <c r="L163" s="45"/>
      <c r="M163" s="46"/>
      <c r="N163" s="45"/>
      <c r="O163" s="46"/>
      <c r="P163" s="45"/>
      <c r="Q163" s="46"/>
      <c r="R163" s="45"/>
      <c r="S163" s="46"/>
      <c r="T163" s="45"/>
      <c r="U163" s="46"/>
      <c r="V163" s="45"/>
      <c r="W163" s="46"/>
      <c r="X163" s="45"/>
      <c r="Y163" s="46"/>
      <c r="Z163" s="45"/>
      <c r="AA163" s="46"/>
      <c r="AB163" s="45"/>
      <c r="AC163" s="46"/>
      <c r="AD163" s="45"/>
      <c r="AE163" s="46"/>
      <c r="AF163" s="45"/>
      <c r="AG163" s="46"/>
      <c r="AH163" s="45"/>
      <c r="AI163" s="46"/>
      <c r="AJ163" s="45"/>
      <c r="AK163" s="46"/>
      <c r="AL163" s="45"/>
      <c r="AM163" s="46"/>
      <c r="AN163" s="45"/>
      <c r="AO163" s="46"/>
      <c r="AP163" s="45"/>
      <c r="AQ163" s="45"/>
      <c r="AR163" s="45"/>
      <c r="AS163" s="45"/>
      <c r="AT163" s="45"/>
      <c r="AU163" s="46"/>
      <c r="AV163" s="43"/>
      <c r="AW163" s="7"/>
      <c r="AX163" s="34"/>
    </row>
    <row r="164" spans="1:50" ht="20.100000000000001" customHeight="1" x14ac:dyDescent="0.3">
      <c r="A164" s="39">
        <v>46212</v>
      </c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1"/>
      <c r="AW164" s="8"/>
      <c r="AX164" s="35"/>
    </row>
    <row r="165" spans="1:50" ht="18" customHeight="1" x14ac:dyDescent="0.3">
      <c r="A165" s="9">
        <v>1.916666666666667</v>
      </c>
      <c r="B165" s="18" t="s">
        <v>161</v>
      </c>
      <c r="C165" s="10"/>
      <c r="D165" s="1" t="s">
        <v>162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36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37"/>
    </row>
    <row r="167" spans="1:50" ht="20.100000000000001" customHeight="1" x14ac:dyDescent="0.3">
      <c r="A167" s="39">
        <v>46213</v>
      </c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1"/>
      <c r="AW167" s="8"/>
      <c r="AX167" s="35"/>
    </row>
    <row r="168" spans="1:50" ht="18" customHeight="1" x14ac:dyDescent="0.3">
      <c r="A168" s="9">
        <v>1.875</v>
      </c>
      <c r="B168" s="18" t="s">
        <v>163</v>
      </c>
      <c r="C168" s="10"/>
      <c r="D168" s="1" t="s">
        <v>164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36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37"/>
    </row>
    <row r="170" spans="1:50" ht="20.100000000000001" customHeight="1" x14ac:dyDescent="0.3">
      <c r="A170" s="39">
        <v>46214</v>
      </c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1"/>
      <c r="AW170" s="8"/>
      <c r="AX170" s="35"/>
    </row>
    <row r="171" spans="1:50" ht="18" customHeight="1" x14ac:dyDescent="0.3">
      <c r="A171" s="9">
        <v>1.958333333333333</v>
      </c>
      <c r="B171" s="18" t="s">
        <v>165</v>
      </c>
      <c r="C171" s="10"/>
      <c r="D171" s="1" t="s">
        <v>166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36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37"/>
    </row>
    <row r="173" spans="1:50" ht="20.100000000000001" customHeight="1" x14ac:dyDescent="0.3">
      <c r="A173" s="39">
        <v>46215</v>
      </c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1"/>
      <c r="AW173" s="8"/>
      <c r="AX173" s="35"/>
    </row>
    <row r="174" spans="1:50" ht="18" customHeight="1" x14ac:dyDescent="0.3">
      <c r="A174" s="9">
        <v>1.125</v>
      </c>
      <c r="B174" s="18" t="s">
        <v>167</v>
      </c>
      <c r="C174" s="10"/>
      <c r="D174" s="1" t="s">
        <v>168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36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37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37"/>
    </row>
    <row r="177" spans="1:50" ht="20.100000000000001" customHeight="1" x14ac:dyDescent="0.3">
      <c r="A177" s="44" t="s">
        <v>169</v>
      </c>
      <c r="B177" s="45"/>
      <c r="C177" s="46"/>
      <c r="D177" s="45"/>
      <c r="E177" s="46"/>
      <c r="F177" s="45"/>
      <c r="G177" s="46"/>
      <c r="H177" s="45"/>
      <c r="I177" s="46"/>
      <c r="J177" s="45"/>
      <c r="K177" s="46"/>
      <c r="L177" s="45"/>
      <c r="M177" s="46"/>
      <c r="N177" s="45"/>
      <c r="O177" s="46"/>
      <c r="P177" s="45"/>
      <c r="Q177" s="46"/>
      <c r="R177" s="45"/>
      <c r="S177" s="46"/>
      <c r="T177" s="45"/>
      <c r="U177" s="46"/>
      <c r="V177" s="45"/>
      <c r="W177" s="46"/>
      <c r="X177" s="45"/>
      <c r="Y177" s="46"/>
      <c r="Z177" s="45"/>
      <c r="AA177" s="46"/>
      <c r="AB177" s="45"/>
      <c r="AC177" s="46"/>
      <c r="AD177" s="45"/>
      <c r="AE177" s="46"/>
      <c r="AF177" s="45"/>
      <c r="AG177" s="46"/>
      <c r="AH177" s="45"/>
      <c r="AI177" s="46"/>
      <c r="AJ177" s="45"/>
      <c r="AK177" s="46"/>
      <c r="AL177" s="45"/>
      <c r="AM177" s="46"/>
      <c r="AN177" s="45"/>
      <c r="AO177" s="46"/>
      <c r="AP177" s="45"/>
      <c r="AQ177" s="45"/>
      <c r="AR177" s="45"/>
      <c r="AS177" s="45"/>
      <c r="AT177" s="45"/>
      <c r="AU177" s="46"/>
      <c r="AV177" s="43"/>
      <c r="AW177" s="7"/>
      <c r="AX177" s="34"/>
    </row>
    <row r="178" spans="1:50" ht="20.100000000000001" customHeight="1" x14ac:dyDescent="0.3">
      <c r="A178" s="39">
        <v>46217</v>
      </c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1"/>
      <c r="AW178" s="8"/>
      <c r="AX178" s="35"/>
    </row>
    <row r="179" spans="1:50" ht="18" customHeight="1" x14ac:dyDescent="0.3">
      <c r="A179" s="9">
        <v>1.875</v>
      </c>
      <c r="B179" s="18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36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37"/>
    </row>
    <row r="181" spans="1:50" ht="20.100000000000001" customHeight="1" x14ac:dyDescent="0.3">
      <c r="A181" s="39">
        <v>46218</v>
      </c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1"/>
      <c r="AW181" s="8"/>
      <c r="AX181" s="35"/>
    </row>
    <row r="182" spans="1:50" ht="18" customHeight="1" x14ac:dyDescent="0.3">
      <c r="A182" s="9">
        <v>1.875</v>
      </c>
      <c r="B182" s="18" t="s">
        <v>172</v>
      </c>
      <c r="C182" s="10"/>
      <c r="D182" s="1" t="s">
        <v>173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36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37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37"/>
    </row>
    <row r="185" spans="1:50" ht="20.100000000000001" customHeight="1" x14ac:dyDescent="0.3">
      <c r="A185" s="44" t="s">
        <v>174</v>
      </c>
      <c r="B185" s="45"/>
      <c r="C185" s="46"/>
      <c r="D185" s="45"/>
      <c r="E185" s="46"/>
      <c r="F185" s="45"/>
      <c r="G185" s="46"/>
      <c r="H185" s="45"/>
      <c r="I185" s="46"/>
      <c r="J185" s="45"/>
      <c r="K185" s="46"/>
      <c r="L185" s="45"/>
      <c r="M185" s="46"/>
      <c r="N185" s="45"/>
      <c r="O185" s="46"/>
      <c r="P185" s="45"/>
      <c r="Q185" s="46"/>
      <c r="R185" s="45"/>
      <c r="S185" s="46"/>
      <c r="T185" s="45"/>
      <c r="U185" s="46"/>
      <c r="V185" s="45"/>
      <c r="W185" s="46"/>
      <c r="X185" s="45"/>
      <c r="Y185" s="46"/>
      <c r="Z185" s="45"/>
      <c r="AA185" s="46"/>
      <c r="AB185" s="45"/>
      <c r="AC185" s="46"/>
      <c r="AD185" s="45"/>
      <c r="AE185" s="46"/>
      <c r="AF185" s="45"/>
      <c r="AG185" s="46"/>
      <c r="AH185" s="45"/>
      <c r="AI185" s="46"/>
      <c r="AJ185" s="45"/>
      <c r="AK185" s="46"/>
      <c r="AL185" s="45"/>
      <c r="AM185" s="46"/>
      <c r="AN185" s="45"/>
      <c r="AO185" s="46"/>
      <c r="AP185" s="45"/>
      <c r="AQ185" s="45"/>
      <c r="AR185" s="45"/>
      <c r="AS185" s="45"/>
      <c r="AT185" s="45"/>
      <c r="AU185" s="46"/>
      <c r="AV185" s="43"/>
      <c r="AW185" s="7"/>
      <c r="AX185" s="34"/>
    </row>
    <row r="186" spans="1:50" ht="20.100000000000001" customHeight="1" x14ac:dyDescent="0.3">
      <c r="A186" s="39">
        <v>46221</v>
      </c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1"/>
      <c r="AW186" s="8"/>
      <c r="AX186" s="35"/>
    </row>
    <row r="187" spans="1:50" ht="18" customHeight="1" x14ac:dyDescent="0.3">
      <c r="A187" s="9">
        <v>1.958333333333333</v>
      </c>
      <c r="B187" s="18" t="s">
        <v>175</v>
      </c>
      <c r="C187" s="10"/>
      <c r="D187" s="1" t="s">
        <v>176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36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37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37"/>
    </row>
    <row r="190" spans="1:50" ht="20.100000000000001" customHeight="1" x14ac:dyDescent="0.3">
      <c r="A190" s="44" t="s">
        <v>177</v>
      </c>
      <c r="B190" s="45"/>
      <c r="C190" s="46"/>
      <c r="D190" s="45"/>
      <c r="E190" s="46"/>
      <c r="F190" s="45"/>
      <c r="G190" s="46"/>
      <c r="H190" s="45"/>
      <c r="I190" s="46"/>
      <c r="J190" s="45"/>
      <c r="K190" s="46"/>
      <c r="L190" s="45"/>
      <c r="M190" s="46"/>
      <c r="N190" s="45"/>
      <c r="O190" s="46"/>
      <c r="P190" s="45"/>
      <c r="Q190" s="46"/>
      <c r="R190" s="45"/>
      <c r="S190" s="46"/>
      <c r="T190" s="45"/>
      <c r="U190" s="46"/>
      <c r="V190" s="45"/>
      <c r="W190" s="46"/>
      <c r="X190" s="45"/>
      <c r="Y190" s="46"/>
      <c r="Z190" s="45"/>
      <c r="AA190" s="46"/>
      <c r="AB190" s="45"/>
      <c r="AC190" s="46"/>
      <c r="AD190" s="45"/>
      <c r="AE190" s="46"/>
      <c r="AF190" s="45"/>
      <c r="AG190" s="46"/>
      <c r="AH190" s="45"/>
      <c r="AI190" s="46"/>
      <c r="AJ190" s="45"/>
      <c r="AK190" s="46"/>
      <c r="AL190" s="45"/>
      <c r="AM190" s="46"/>
      <c r="AN190" s="45"/>
      <c r="AO190" s="46"/>
      <c r="AP190" s="45"/>
      <c r="AQ190" s="45"/>
      <c r="AR190" s="45"/>
      <c r="AS190" s="45"/>
      <c r="AT190" s="45"/>
      <c r="AU190" s="46"/>
      <c r="AV190" s="43"/>
      <c r="AW190" s="7"/>
      <c r="AX190" s="34"/>
    </row>
    <row r="191" spans="1:50" ht="20.100000000000001" customHeight="1" x14ac:dyDescent="0.3">
      <c r="A191" s="39">
        <v>46222</v>
      </c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1"/>
      <c r="AW191" s="8"/>
      <c r="AX191" s="35"/>
    </row>
    <row r="192" spans="1:50" ht="18" customHeight="1" x14ac:dyDescent="0.3">
      <c r="A192" s="9">
        <v>1.875</v>
      </c>
      <c r="B192" s="18" t="s">
        <v>178</v>
      </c>
      <c r="C192" s="10"/>
      <c r="D192" s="1" t="s">
        <v>179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36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37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37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53" t="str">
        <f>Wedstrijden_beheer!E1</f>
        <v>Roland</v>
      </c>
      <c r="E1" s="43"/>
      <c r="F1" s="53" t="str">
        <f>Wedstrijden_beheer!G1</f>
        <v>Nikki</v>
      </c>
      <c r="G1" s="43"/>
      <c r="H1" s="53" t="str">
        <f>Wedstrijden_beheer!I1</f>
        <v>Abdussamed</v>
      </c>
      <c r="I1" s="43"/>
      <c r="J1" s="53" t="str">
        <f>Wedstrijden_beheer!K1</f>
        <v>Karsten</v>
      </c>
      <c r="K1" s="43"/>
      <c r="L1" s="53" t="str">
        <f>Wedstrijden_beheer!M1</f>
        <v>Bas</v>
      </c>
      <c r="M1" s="43"/>
      <c r="N1" s="53" t="str">
        <f>Wedstrijden_beheer!O1</f>
        <v>Maik</v>
      </c>
      <c r="O1" s="43"/>
      <c r="P1" s="53" t="str">
        <f>Wedstrijden_beheer!Q1</f>
        <v>Simone</v>
      </c>
      <c r="Q1" s="43"/>
      <c r="R1" s="53" t="str">
        <f>Wedstrijden_beheer!S1</f>
        <v>Marc</v>
      </c>
      <c r="S1" s="43"/>
      <c r="T1" s="53" t="str">
        <f>Wedstrijden_beheer!U1</f>
        <v>Tom</v>
      </c>
      <c r="U1" s="43"/>
      <c r="V1" s="53" t="str">
        <f>Wedstrijden_beheer!W1</f>
        <v>Jos</v>
      </c>
      <c r="W1" s="43"/>
      <c r="X1" s="53" t="str">
        <f>Wedstrijden_beheer!Y1</f>
        <v>Lesley</v>
      </c>
      <c r="Y1" s="43"/>
      <c r="Z1" s="53" t="str">
        <f>Wedstrijden_beheer!AA1</f>
        <v>Ivo</v>
      </c>
      <c r="AA1" s="43"/>
      <c r="AB1" s="53" t="str">
        <f>Wedstrijden_beheer!AC1</f>
        <v>Ron</v>
      </c>
      <c r="AC1" s="43"/>
      <c r="AD1" s="53" t="str">
        <f>Wedstrijden_beheer!AE1</f>
        <v>Jeroen</v>
      </c>
      <c r="AE1" s="43"/>
      <c r="AF1" s="53" t="str">
        <f>Wedstrijden_beheer!AG1</f>
        <v>Erwin</v>
      </c>
      <c r="AG1" s="43"/>
      <c r="AH1" s="53" t="str">
        <f>Wedstrijden_beheer!AI1</f>
        <v>Tim</v>
      </c>
      <c r="AI1" s="43"/>
      <c r="AJ1" s="53" t="s">
        <v>20</v>
      </c>
      <c r="AK1" s="43"/>
      <c r="AL1" s="53" t="s">
        <v>21</v>
      </c>
      <c r="AM1" s="43"/>
      <c r="AN1" s="53" t="str">
        <f>Wedstrijden_beheer!AO1</f>
        <v>Patrick</v>
      </c>
      <c r="AO1" s="43"/>
      <c r="AP1" s="53" t="str">
        <f>Wedstrijden_beheer!AQ1</f>
        <v>Jeno</v>
      </c>
      <c r="AQ1" s="43"/>
      <c r="AR1" s="42" t="str">
        <f>Wedstrijden_beheer!AS1</f>
        <v>Andre</v>
      </c>
      <c r="AS1" s="47"/>
      <c r="AT1" s="42" t="str">
        <f>Wedstrijden_beheer!AU1</f>
        <v>Raymond</v>
      </c>
      <c r="AU1" s="47"/>
    </row>
    <row r="2" spans="1:47" s="32" customFormat="1" ht="14.4" customHeight="1" x14ac:dyDescent="0.3">
      <c r="A2" s="21"/>
      <c r="B2" s="25" t="s">
        <v>180</v>
      </c>
      <c r="C2" s="21" t="s">
        <v>181</v>
      </c>
      <c r="D2" s="24" t="s">
        <v>182</v>
      </c>
      <c r="E2" s="21" t="s">
        <v>28</v>
      </c>
      <c r="F2" s="21" t="s">
        <v>182</v>
      </c>
      <c r="G2" s="21" t="s">
        <v>28</v>
      </c>
      <c r="H2" s="21" t="s">
        <v>182</v>
      </c>
      <c r="I2" s="21" t="s">
        <v>28</v>
      </c>
      <c r="J2" s="21" t="s">
        <v>182</v>
      </c>
      <c r="K2" s="21" t="s">
        <v>28</v>
      </c>
      <c r="L2" s="21" t="s">
        <v>182</v>
      </c>
      <c r="M2" s="21" t="s">
        <v>28</v>
      </c>
      <c r="N2" s="24" t="s">
        <v>182</v>
      </c>
      <c r="O2" s="21" t="s">
        <v>28</v>
      </c>
      <c r="P2" s="24" t="s">
        <v>182</v>
      </c>
      <c r="Q2" s="21" t="s">
        <v>28</v>
      </c>
      <c r="R2" s="24" t="s">
        <v>182</v>
      </c>
      <c r="S2" s="21" t="s">
        <v>28</v>
      </c>
      <c r="T2" s="21" t="s">
        <v>182</v>
      </c>
      <c r="U2" s="21" t="s">
        <v>28</v>
      </c>
      <c r="V2" s="24" t="s">
        <v>182</v>
      </c>
      <c r="W2" s="21" t="s">
        <v>28</v>
      </c>
      <c r="X2" s="24" t="s">
        <v>182</v>
      </c>
      <c r="Y2" s="21" t="s">
        <v>28</v>
      </c>
      <c r="Z2" s="24" t="s">
        <v>182</v>
      </c>
      <c r="AA2" s="21" t="s">
        <v>28</v>
      </c>
      <c r="AB2" s="24" t="s">
        <v>182</v>
      </c>
      <c r="AC2" s="21" t="s">
        <v>28</v>
      </c>
      <c r="AD2" s="24" t="s">
        <v>182</v>
      </c>
      <c r="AE2" s="21" t="s">
        <v>28</v>
      </c>
      <c r="AF2" s="24" t="s">
        <v>182</v>
      </c>
      <c r="AG2" s="21" t="s">
        <v>28</v>
      </c>
      <c r="AH2" s="24" t="s">
        <v>182</v>
      </c>
      <c r="AI2" s="21" t="s">
        <v>28</v>
      </c>
      <c r="AJ2" s="24" t="s">
        <v>182</v>
      </c>
      <c r="AK2" s="21" t="s">
        <v>28</v>
      </c>
      <c r="AL2" s="8" t="s">
        <v>182</v>
      </c>
      <c r="AM2" s="21" t="s">
        <v>28</v>
      </c>
      <c r="AN2" s="24" t="s">
        <v>182</v>
      </c>
      <c r="AO2" s="21" t="s">
        <v>28</v>
      </c>
      <c r="AP2" s="21" t="s">
        <v>182</v>
      </c>
      <c r="AQ2" s="21" t="s">
        <v>28</v>
      </c>
      <c r="AR2" s="24" t="s">
        <v>182</v>
      </c>
      <c r="AS2" s="21" t="s">
        <v>28</v>
      </c>
      <c r="AT2" s="24" t="s">
        <v>182</v>
      </c>
      <c r="AU2" s="21" t="s">
        <v>28</v>
      </c>
    </row>
    <row r="3" spans="1:47" ht="14.4" customHeight="1" x14ac:dyDescent="0.3">
      <c r="A3" s="11">
        <v>1</v>
      </c>
      <c r="B3" s="1" t="s">
        <v>183</v>
      </c>
      <c r="C3" s="1"/>
      <c r="D3" s="10" t="s">
        <v>75</v>
      </c>
      <c r="E3" s="11" t="str">
        <f t="shared" ref="E3:E16" si="0">IF(OR($C3="",D3=""),"",IF(D3=$C3,10,0))</f>
        <v/>
      </c>
      <c r="F3" s="10" t="s">
        <v>83</v>
      </c>
      <c r="G3" s="11" t="str">
        <f t="shared" ref="G3:G16" si="1">IF(OR($C3="",F3=""),"",IF(F3=$C3,10,0))</f>
        <v/>
      </c>
      <c r="H3" s="10" t="s">
        <v>83</v>
      </c>
      <c r="I3" s="11" t="str">
        <f t="shared" ref="I3:I16" si="2">IF(OR($C3="",H3=""),"",IF(H3=$C3,10,0))</f>
        <v/>
      </c>
      <c r="J3" s="10" t="s">
        <v>69</v>
      </c>
      <c r="K3" s="11" t="str">
        <f t="shared" ref="K3:K16" si="3">IF(OR($C3="",J3=""),"",IF(J3=$C3,10,0))</f>
        <v/>
      </c>
      <c r="L3" s="10" t="s">
        <v>94</v>
      </c>
      <c r="M3" s="11" t="str">
        <f t="shared" ref="M3:M16" si="4">IF(OR($C3="",L3=""),"",IF(L3=$C3,10,0))</f>
        <v/>
      </c>
      <c r="N3" s="10" t="s">
        <v>75</v>
      </c>
      <c r="O3" s="11" t="str">
        <f t="shared" ref="O3:O16" si="5">IF(OR($C3="",N3=""),"",IF(N3=$C3,10,0))</f>
        <v/>
      </c>
      <c r="P3" s="10" t="s">
        <v>69</v>
      </c>
      <c r="Q3" s="11" t="str">
        <f t="shared" ref="Q3:Q16" si="6">IF(OR($C3="",P3=""),"",IF(P3=$C3,10,0))</f>
        <v/>
      </c>
      <c r="R3" s="10" t="s">
        <v>75</v>
      </c>
      <c r="S3" s="11" t="str">
        <f t="shared" ref="S3:S16" si="7">IF(OR($C3="",R3=""),"",IF(R3=$C3,10,0))</f>
        <v/>
      </c>
      <c r="T3" s="10" t="s">
        <v>75</v>
      </c>
      <c r="U3" s="11" t="str">
        <f t="shared" ref="U3:U16" si="8">IF(OR($C3="",T3=""),"",IF(T3=$C3,10,0))</f>
        <v/>
      </c>
      <c r="V3" s="10" t="s">
        <v>75</v>
      </c>
      <c r="W3" s="11" t="str">
        <f t="shared" ref="W3:W16" si="9">IF(OR($C3="",V3=""),"",IF(V3=$C3,10,0))</f>
        <v/>
      </c>
      <c r="X3" s="10" t="s">
        <v>69</v>
      </c>
      <c r="Y3" s="11" t="str">
        <f t="shared" ref="Y3:Y16" si="10">IF(OR($C3="",X3=""),"",IF(X3=$C3,10,0))</f>
        <v/>
      </c>
      <c r="Z3" s="10" t="s">
        <v>92</v>
      </c>
      <c r="AA3" s="11" t="str">
        <f t="shared" ref="AA3:AA16" si="11">IF(OR($C3="",Z3=""),"",IF(Z3=$C3,10,0))</f>
        <v/>
      </c>
      <c r="AB3" s="10" t="s">
        <v>83</v>
      </c>
      <c r="AC3" s="11" t="str">
        <f t="shared" ref="AC3:AC16" si="12">IF(OR($C3="",AB3=""),"",IF(AB3=$C3,10,0))</f>
        <v/>
      </c>
      <c r="AD3" s="10" t="s">
        <v>83</v>
      </c>
      <c r="AE3" s="11" t="str">
        <f t="shared" ref="AE3:AE16" si="13">IF(OR($C3="",AD3=""),"",IF(AD3=$C3,10,0))</f>
        <v/>
      </c>
      <c r="AF3" s="10" t="s">
        <v>75</v>
      </c>
      <c r="AG3" s="11" t="str">
        <f t="shared" ref="AG3:AG16" si="14">IF(OR($C3="",AF3=""),"",IF(AF3=$C3,10,0))</f>
        <v/>
      </c>
      <c r="AH3" s="10" t="s">
        <v>75</v>
      </c>
      <c r="AI3" s="11" t="str">
        <f t="shared" ref="AI3:AI16" si="15">IF(OR($C3="",AH3=""),"",IF(AH3=$C3,10,0))</f>
        <v/>
      </c>
      <c r="AJ3" s="10" t="s">
        <v>75</v>
      </c>
      <c r="AK3" s="11" t="str">
        <f t="shared" ref="AK3:AK16" si="16">IF(OR($C3="",AJ3=""),"",IF(AJ3=$C3,10,0))</f>
        <v/>
      </c>
      <c r="AL3" s="10" t="s">
        <v>69</v>
      </c>
      <c r="AM3" s="11" t="str">
        <f t="shared" ref="AM3:AM16" si="17">IF(OR($C3="",AL3=""),"",IF(AL3=$C3,10,0))</f>
        <v/>
      </c>
      <c r="AN3" s="10" t="s">
        <v>75</v>
      </c>
      <c r="AO3" s="11" t="str">
        <f t="shared" ref="AO3:AO16" si="18">IF(OR($C3="",AN3=""),"",IF(AN3=$C3,10,0))</f>
        <v/>
      </c>
      <c r="AP3" s="10" t="s">
        <v>75</v>
      </c>
      <c r="AQ3" s="11" t="str">
        <f t="shared" ref="AQ3:AQ16" si="19">IF(OR($C3="",AP3=""),"",IF(AP3=$C3,10,0))</f>
        <v/>
      </c>
      <c r="AR3" s="10" t="s">
        <v>69</v>
      </c>
      <c r="AS3" s="11" t="str">
        <f t="shared" ref="AS3:AS16" si="20">IF(OR($C3="",AR3=""),"",IF(AR3=$C3,10,0))</f>
        <v/>
      </c>
      <c r="AT3" s="10" t="s">
        <v>55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184</v>
      </c>
      <c r="C4" s="1"/>
      <c r="D4" s="10" t="s">
        <v>55</v>
      </c>
      <c r="E4" s="11" t="str">
        <f t="shared" si="0"/>
        <v/>
      </c>
      <c r="F4" s="10" t="s">
        <v>75</v>
      </c>
      <c r="G4" s="11" t="str">
        <f t="shared" si="1"/>
        <v/>
      </c>
      <c r="H4" s="10" t="s">
        <v>75</v>
      </c>
      <c r="I4" s="11" t="str">
        <f t="shared" si="2"/>
        <v/>
      </c>
      <c r="J4" s="10" t="s">
        <v>94</v>
      </c>
      <c r="K4" s="11" t="str">
        <f t="shared" si="3"/>
        <v/>
      </c>
      <c r="L4" s="10" t="s">
        <v>56</v>
      </c>
      <c r="M4" s="11" t="str">
        <f t="shared" si="4"/>
        <v/>
      </c>
      <c r="N4" s="10" t="s">
        <v>83</v>
      </c>
      <c r="O4" s="11" t="str">
        <f t="shared" si="5"/>
        <v/>
      </c>
      <c r="P4" s="10" t="s">
        <v>75</v>
      </c>
      <c r="Q4" s="11" t="str">
        <f t="shared" si="6"/>
        <v/>
      </c>
      <c r="R4" s="10" t="s">
        <v>83</v>
      </c>
      <c r="S4" s="11" t="str">
        <f t="shared" si="7"/>
        <v/>
      </c>
      <c r="T4" s="10" t="s">
        <v>83</v>
      </c>
      <c r="U4" s="11" t="str">
        <f t="shared" si="8"/>
        <v/>
      </c>
      <c r="V4" s="10" t="s">
        <v>83</v>
      </c>
      <c r="W4" s="11" t="str">
        <f t="shared" si="9"/>
        <v/>
      </c>
      <c r="X4" s="10" t="s">
        <v>92</v>
      </c>
      <c r="Y4" s="11" t="str">
        <f t="shared" si="10"/>
        <v/>
      </c>
      <c r="Z4" s="10" t="s">
        <v>75</v>
      </c>
      <c r="AA4" s="11" t="str">
        <f t="shared" si="11"/>
        <v/>
      </c>
      <c r="AB4" s="10" t="s">
        <v>55</v>
      </c>
      <c r="AC4" s="11" t="str">
        <f t="shared" si="12"/>
        <v/>
      </c>
      <c r="AD4" s="10" t="s">
        <v>55</v>
      </c>
      <c r="AE4" s="11" t="str">
        <f t="shared" si="13"/>
        <v/>
      </c>
      <c r="AF4" s="10" t="s">
        <v>83</v>
      </c>
      <c r="AG4" s="11" t="str">
        <f t="shared" si="14"/>
        <v/>
      </c>
      <c r="AH4" s="10" t="s">
        <v>65</v>
      </c>
      <c r="AI4" s="11" t="str">
        <f t="shared" si="15"/>
        <v/>
      </c>
      <c r="AJ4" s="10" t="s">
        <v>83</v>
      </c>
      <c r="AK4" s="11" t="str">
        <f t="shared" si="16"/>
        <v/>
      </c>
      <c r="AL4" s="10" t="s">
        <v>83</v>
      </c>
      <c r="AM4" s="11" t="str">
        <f t="shared" si="17"/>
        <v/>
      </c>
      <c r="AN4" s="10" t="s">
        <v>185</v>
      </c>
      <c r="AO4" s="11" t="str">
        <f t="shared" si="18"/>
        <v/>
      </c>
      <c r="AP4" s="10" t="s">
        <v>94</v>
      </c>
      <c r="AQ4" s="11" t="str">
        <f t="shared" si="19"/>
        <v/>
      </c>
      <c r="AR4" s="10" t="s">
        <v>92</v>
      </c>
      <c r="AS4" s="11" t="str">
        <f t="shared" si="20"/>
        <v/>
      </c>
      <c r="AT4" s="10" t="s">
        <v>83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186</v>
      </c>
      <c r="C5" s="1"/>
      <c r="D5" s="10" t="s">
        <v>83</v>
      </c>
      <c r="E5" s="11" t="str">
        <f t="shared" si="0"/>
        <v/>
      </c>
      <c r="F5" s="10" t="s">
        <v>65</v>
      </c>
      <c r="G5" s="11" t="str">
        <f t="shared" si="1"/>
        <v/>
      </c>
      <c r="H5" s="10" t="s">
        <v>65</v>
      </c>
      <c r="I5" s="11" t="str">
        <f t="shared" si="2"/>
        <v/>
      </c>
      <c r="J5" s="10" t="s">
        <v>65</v>
      </c>
      <c r="K5" s="11" t="str">
        <f t="shared" si="3"/>
        <v/>
      </c>
      <c r="L5" s="10" t="s">
        <v>70</v>
      </c>
      <c r="M5" s="11" t="str">
        <f t="shared" si="4"/>
        <v/>
      </c>
      <c r="N5" s="10" t="s">
        <v>65</v>
      </c>
      <c r="O5" s="11" t="str">
        <f t="shared" si="5"/>
        <v/>
      </c>
      <c r="P5" s="10" t="s">
        <v>55</v>
      </c>
      <c r="Q5" s="11" t="str">
        <f t="shared" si="6"/>
        <v/>
      </c>
      <c r="R5" s="10" t="s">
        <v>88</v>
      </c>
      <c r="S5" s="11" t="str">
        <f t="shared" si="7"/>
        <v/>
      </c>
      <c r="T5" s="10" t="s">
        <v>65</v>
      </c>
      <c r="U5" s="11" t="str">
        <f t="shared" si="8"/>
        <v/>
      </c>
      <c r="V5" s="10" t="s">
        <v>94</v>
      </c>
      <c r="W5" s="11" t="str">
        <f t="shared" si="9"/>
        <v/>
      </c>
      <c r="X5" s="10" t="s">
        <v>65</v>
      </c>
      <c r="Y5" s="11" t="str">
        <f t="shared" si="10"/>
        <v/>
      </c>
      <c r="Z5" s="10" t="s">
        <v>69</v>
      </c>
      <c r="AA5" s="11" t="str">
        <f t="shared" si="11"/>
        <v/>
      </c>
      <c r="AB5" s="10" t="s">
        <v>94</v>
      </c>
      <c r="AC5" s="11" t="str">
        <f t="shared" si="12"/>
        <v/>
      </c>
      <c r="AD5" s="10" t="s">
        <v>94</v>
      </c>
      <c r="AE5" s="11" t="str">
        <f t="shared" si="13"/>
        <v/>
      </c>
      <c r="AF5" s="10" t="s">
        <v>88</v>
      </c>
      <c r="AG5" s="11" t="str">
        <f t="shared" si="14"/>
        <v/>
      </c>
      <c r="AH5" s="10" t="s">
        <v>69</v>
      </c>
      <c r="AI5" s="11" t="str">
        <f t="shared" si="15"/>
        <v/>
      </c>
      <c r="AJ5" s="10" t="s">
        <v>92</v>
      </c>
      <c r="AK5" s="11" t="str">
        <f t="shared" si="16"/>
        <v/>
      </c>
      <c r="AL5" s="10" t="s">
        <v>75</v>
      </c>
      <c r="AM5" s="11" t="str">
        <f t="shared" si="17"/>
        <v/>
      </c>
      <c r="AN5" s="10" t="s">
        <v>187</v>
      </c>
      <c r="AO5" s="11" t="str">
        <f t="shared" si="18"/>
        <v/>
      </c>
      <c r="AP5" s="10" t="s">
        <v>69</v>
      </c>
      <c r="AQ5" s="11" t="str">
        <f t="shared" si="19"/>
        <v/>
      </c>
      <c r="AR5" s="10" t="s">
        <v>83</v>
      </c>
      <c r="AS5" s="11" t="str">
        <f t="shared" si="20"/>
        <v/>
      </c>
      <c r="AT5" s="10" t="s">
        <v>65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188</v>
      </c>
      <c r="C6" s="1"/>
      <c r="D6" s="28" t="s">
        <v>189</v>
      </c>
      <c r="E6" s="11" t="str">
        <f t="shared" si="0"/>
        <v/>
      </c>
      <c r="F6" s="10" t="s">
        <v>190</v>
      </c>
      <c r="G6" s="11" t="str">
        <f t="shared" si="1"/>
        <v/>
      </c>
      <c r="H6" s="10" t="s">
        <v>191</v>
      </c>
      <c r="I6" s="11" t="str">
        <f t="shared" si="2"/>
        <v/>
      </c>
      <c r="J6" s="10" t="s">
        <v>190</v>
      </c>
      <c r="K6" s="11" t="str">
        <f t="shared" si="3"/>
        <v/>
      </c>
      <c r="L6" s="10" t="s">
        <v>189</v>
      </c>
      <c r="M6" s="11" t="str">
        <f t="shared" si="4"/>
        <v/>
      </c>
      <c r="N6" s="10" t="s">
        <v>189</v>
      </c>
      <c r="O6" s="11" t="str">
        <f t="shared" si="5"/>
        <v/>
      </c>
      <c r="P6" s="10" t="s">
        <v>191</v>
      </c>
      <c r="Q6" s="11" t="str">
        <f t="shared" si="6"/>
        <v/>
      </c>
      <c r="R6" s="10" t="s">
        <v>190</v>
      </c>
      <c r="S6" s="11" t="str">
        <f t="shared" si="7"/>
        <v/>
      </c>
      <c r="T6" s="10" t="s">
        <v>191</v>
      </c>
      <c r="U6" s="11" t="str">
        <f t="shared" si="8"/>
        <v/>
      </c>
      <c r="V6" s="10" t="s">
        <v>189</v>
      </c>
      <c r="W6" s="11" t="str">
        <f t="shared" si="9"/>
        <v/>
      </c>
      <c r="X6" s="10" t="s">
        <v>191</v>
      </c>
      <c r="Y6" s="11" t="str">
        <f t="shared" si="10"/>
        <v/>
      </c>
      <c r="Z6" s="10" t="s">
        <v>189</v>
      </c>
      <c r="AA6" s="11" t="str">
        <f t="shared" si="11"/>
        <v/>
      </c>
      <c r="AB6" s="23" t="s">
        <v>190</v>
      </c>
      <c r="AC6" s="11" t="str">
        <f t="shared" si="12"/>
        <v/>
      </c>
      <c r="AD6" s="10" t="s">
        <v>189</v>
      </c>
      <c r="AE6" s="11" t="str">
        <f t="shared" si="13"/>
        <v/>
      </c>
      <c r="AF6" s="10" t="s">
        <v>191</v>
      </c>
      <c r="AG6" s="11" t="str">
        <f t="shared" si="14"/>
        <v/>
      </c>
      <c r="AH6" s="10" t="s">
        <v>189</v>
      </c>
      <c r="AI6" s="11" t="str">
        <f t="shared" si="15"/>
        <v/>
      </c>
      <c r="AJ6" s="10" t="s">
        <v>191</v>
      </c>
      <c r="AK6" s="11" t="str">
        <f t="shared" si="16"/>
        <v/>
      </c>
      <c r="AL6" s="10" t="s">
        <v>191</v>
      </c>
      <c r="AM6" s="11" t="str">
        <f t="shared" si="17"/>
        <v/>
      </c>
      <c r="AN6" s="10" t="s">
        <v>191</v>
      </c>
      <c r="AO6" s="11" t="str">
        <f t="shared" si="18"/>
        <v/>
      </c>
      <c r="AP6" s="10" t="s">
        <v>191</v>
      </c>
      <c r="AQ6" s="11" t="str">
        <f t="shared" si="19"/>
        <v/>
      </c>
      <c r="AR6" s="10" t="s">
        <v>290</v>
      </c>
      <c r="AS6" s="11" t="str">
        <f t="shared" si="20"/>
        <v/>
      </c>
      <c r="AT6" s="10" t="s">
        <v>189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192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193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194</v>
      </c>
      <c r="C8" s="1"/>
      <c r="D8" s="10" t="s">
        <v>75</v>
      </c>
      <c r="E8" s="11" t="str">
        <f t="shared" si="0"/>
        <v/>
      </c>
      <c r="F8" s="10" t="s">
        <v>83</v>
      </c>
      <c r="G8" s="11" t="str">
        <f t="shared" si="1"/>
        <v/>
      </c>
      <c r="H8" s="10" t="s">
        <v>75</v>
      </c>
      <c r="I8" s="11" t="str">
        <f t="shared" si="2"/>
        <v/>
      </c>
      <c r="J8" s="10" t="s">
        <v>75</v>
      </c>
      <c r="K8" s="11" t="str">
        <f t="shared" si="3"/>
        <v/>
      </c>
      <c r="L8" s="10" t="s">
        <v>56</v>
      </c>
      <c r="M8" s="11" t="str">
        <f t="shared" si="4"/>
        <v/>
      </c>
      <c r="N8" s="10" t="s">
        <v>75</v>
      </c>
      <c r="O8" s="11" t="str">
        <f t="shared" si="5"/>
        <v/>
      </c>
      <c r="P8" s="10" t="s">
        <v>65</v>
      </c>
      <c r="Q8" s="11" t="str">
        <f t="shared" si="6"/>
        <v/>
      </c>
      <c r="R8" s="10" t="s">
        <v>65</v>
      </c>
      <c r="S8" s="11" t="str">
        <f t="shared" si="7"/>
        <v/>
      </c>
      <c r="T8" s="10" t="s">
        <v>75</v>
      </c>
      <c r="U8" s="11" t="str">
        <f t="shared" si="8"/>
        <v/>
      </c>
      <c r="V8" s="10" t="s">
        <v>83</v>
      </c>
      <c r="W8" s="11" t="str">
        <f t="shared" si="9"/>
        <v/>
      </c>
      <c r="X8" s="10" t="s">
        <v>195</v>
      </c>
      <c r="Y8" s="11" t="str">
        <f t="shared" si="10"/>
        <v/>
      </c>
      <c r="Z8" s="10" t="s">
        <v>92</v>
      </c>
      <c r="AA8" s="11" t="str">
        <f t="shared" si="11"/>
        <v/>
      </c>
      <c r="AB8" s="23" t="s">
        <v>196</v>
      </c>
      <c r="AC8" s="11" t="str">
        <f t="shared" si="12"/>
        <v/>
      </c>
      <c r="AD8" s="10" t="s">
        <v>83</v>
      </c>
      <c r="AE8" s="11" t="str">
        <f t="shared" si="13"/>
        <v/>
      </c>
      <c r="AF8" s="10" t="s">
        <v>75</v>
      </c>
      <c r="AG8" s="11" t="str">
        <f t="shared" si="14"/>
        <v/>
      </c>
      <c r="AH8" s="10" t="s">
        <v>75</v>
      </c>
      <c r="AI8" s="11" t="str">
        <f t="shared" si="15"/>
        <v/>
      </c>
      <c r="AJ8" s="10" t="s">
        <v>75</v>
      </c>
      <c r="AK8" s="11" t="str">
        <f t="shared" si="16"/>
        <v/>
      </c>
      <c r="AL8" s="10" t="s">
        <v>83</v>
      </c>
      <c r="AM8" s="11" t="str">
        <f t="shared" si="17"/>
        <v/>
      </c>
      <c r="AN8" s="10" t="s">
        <v>75</v>
      </c>
      <c r="AO8" s="11" t="str">
        <f t="shared" si="18"/>
        <v/>
      </c>
      <c r="AP8" s="10" t="s">
        <v>197</v>
      </c>
      <c r="AQ8" s="11" t="str">
        <f t="shared" si="19"/>
        <v/>
      </c>
      <c r="AR8" s="10" t="s">
        <v>75</v>
      </c>
      <c r="AS8" s="11" t="str">
        <f t="shared" si="20"/>
        <v/>
      </c>
      <c r="AT8" s="10" t="s">
        <v>55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198</v>
      </c>
      <c r="C9" s="1"/>
      <c r="D9" s="10" t="s">
        <v>199</v>
      </c>
      <c r="E9" s="11" t="str">
        <f t="shared" si="0"/>
        <v/>
      </c>
      <c r="F9" s="10" t="s">
        <v>94</v>
      </c>
      <c r="G9" s="11" t="str">
        <f t="shared" si="1"/>
        <v/>
      </c>
      <c r="H9" s="10" t="s">
        <v>199</v>
      </c>
      <c r="I9" s="11" t="str">
        <f t="shared" si="2"/>
        <v/>
      </c>
      <c r="J9" s="10" t="s">
        <v>200</v>
      </c>
      <c r="K9" s="11" t="str">
        <f t="shared" si="3"/>
        <v/>
      </c>
      <c r="L9" s="10" t="s">
        <v>200</v>
      </c>
      <c r="M9" s="11" t="str">
        <f t="shared" si="4"/>
        <v/>
      </c>
      <c r="N9" s="10" t="s">
        <v>199</v>
      </c>
      <c r="O9" s="11" t="str">
        <f t="shared" si="5"/>
        <v/>
      </c>
      <c r="P9" s="10" t="s">
        <v>200</v>
      </c>
      <c r="Q9" s="11" t="str">
        <f t="shared" si="6"/>
        <v/>
      </c>
      <c r="R9" s="10" t="s">
        <v>82</v>
      </c>
      <c r="S9" s="11" t="str">
        <f t="shared" si="7"/>
        <v/>
      </c>
      <c r="T9" s="10" t="s">
        <v>199</v>
      </c>
      <c r="U9" s="11" t="str">
        <f t="shared" si="8"/>
        <v/>
      </c>
      <c r="V9" s="10" t="s">
        <v>199</v>
      </c>
      <c r="W9" s="11" t="str">
        <f t="shared" si="9"/>
        <v/>
      </c>
      <c r="X9" s="10" t="s">
        <v>199</v>
      </c>
      <c r="Y9" s="11" t="str">
        <f t="shared" si="10"/>
        <v/>
      </c>
      <c r="Z9" s="10" t="s">
        <v>66</v>
      </c>
      <c r="AA9" s="11" t="str">
        <f t="shared" si="11"/>
        <v/>
      </c>
      <c r="AB9" s="23" t="s">
        <v>51</v>
      </c>
      <c r="AC9" s="11" t="str">
        <f t="shared" si="12"/>
        <v/>
      </c>
      <c r="AD9" s="11" t="s">
        <v>66</v>
      </c>
      <c r="AE9" s="11" t="str">
        <f t="shared" si="13"/>
        <v/>
      </c>
      <c r="AF9" s="10" t="s">
        <v>82</v>
      </c>
      <c r="AG9" s="11" t="str">
        <f t="shared" si="14"/>
        <v/>
      </c>
      <c r="AH9" s="10" t="s">
        <v>76</v>
      </c>
      <c r="AI9" s="11" t="str">
        <f t="shared" si="15"/>
        <v/>
      </c>
      <c r="AJ9" s="10" t="s">
        <v>60</v>
      </c>
      <c r="AK9" s="11" t="str">
        <f t="shared" si="16"/>
        <v/>
      </c>
      <c r="AL9" s="10" t="s">
        <v>60</v>
      </c>
      <c r="AM9" s="11" t="str">
        <f t="shared" si="17"/>
        <v/>
      </c>
      <c r="AN9" s="23" t="s">
        <v>60</v>
      </c>
      <c r="AO9" s="11" t="str">
        <f t="shared" si="18"/>
        <v/>
      </c>
      <c r="AP9" s="10" t="s">
        <v>99</v>
      </c>
      <c r="AQ9" s="11" t="str">
        <f t="shared" si="19"/>
        <v/>
      </c>
      <c r="AR9" s="10" t="s">
        <v>200</v>
      </c>
      <c r="AS9" s="11" t="str">
        <f t="shared" si="20"/>
        <v/>
      </c>
      <c r="AT9" s="10" t="s">
        <v>201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202</v>
      </c>
      <c r="C10" s="1"/>
      <c r="D10" s="10" t="s">
        <v>196</v>
      </c>
      <c r="E10" s="11" t="str">
        <f t="shared" si="0"/>
        <v/>
      </c>
      <c r="F10" s="10" t="s">
        <v>196</v>
      </c>
      <c r="G10" s="11" t="str">
        <f t="shared" si="1"/>
        <v/>
      </c>
      <c r="H10" s="10" t="s">
        <v>196</v>
      </c>
      <c r="I10" s="11" t="str">
        <f t="shared" si="2"/>
        <v/>
      </c>
      <c r="J10" s="10" t="s">
        <v>190</v>
      </c>
      <c r="K10" s="11" t="str">
        <f t="shared" si="3"/>
        <v/>
      </c>
      <c r="L10" s="10" t="s">
        <v>203</v>
      </c>
      <c r="M10" s="11" t="str">
        <f t="shared" si="4"/>
        <v/>
      </c>
      <c r="N10" s="10" t="s">
        <v>204</v>
      </c>
      <c r="O10" s="11" t="str">
        <f t="shared" si="5"/>
        <v/>
      </c>
      <c r="P10" s="10" t="s">
        <v>196</v>
      </c>
      <c r="Q10" s="11" t="str">
        <f t="shared" si="6"/>
        <v/>
      </c>
      <c r="R10" s="10" t="s">
        <v>196</v>
      </c>
      <c r="S10" s="11" t="str">
        <f t="shared" si="7"/>
        <v/>
      </c>
      <c r="T10" s="10" t="s">
        <v>205</v>
      </c>
      <c r="U10" s="11" t="str">
        <f t="shared" si="8"/>
        <v/>
      </c>
      <c r="V10" s="10" t="s">
        <v>206</v>
      </c>
      <c r="W10" s="11" t="str">
        <f t="shared" si="9"/>
        <v/>
      </c>
      <c r="X10" s="10" t="s">
        <v>191</v>
      </c>
      <c r="Y10" s="11" t="str">
        <f t="shared" si="10"/>
        <v/>
      </c>
      <c r="Z10" s="10" t="s">
        <v>196</v>
      </c>
      <c r="AA10" s="11" t="str">
        <f t="shared" si="11"/>
        <v/>
      </c>
      <c r="AB10" s="23" t="s">
        <v>196</v>
      </c>
      <c r="AC10" s="11" t="str">
        <f t="shared" si="12"/>
        <v/>
      </c>
      <c r="AD10" s="10" t="s">
        <v>196</v>
      </c>
      <c r="AE10" s="11" t="str">
        <f t="shared" si="13"/>
        <v/>
      </c>
      <c r="AF10" s="10" t="s">
        <v>196</v>
      </c>
      <c r="AG10" s="11" t="str">
        <f t="shared" si="14"/>
        <v/>
      </c>
      <c r="AH10" s="10" t="s">
        <v>196</v>
      </c>
      <c r="AI10" s="11" t="str">
        <f t="shared" si="15"/>
        <v/>
      </c>
      <c r="AJ10" s="10" t="s">
        <v>196</v>
      </c>
      <c r="AK10" s="11" t="str">
        <f t="shared" si="16"/>
        <v/>
      </c>
      <c r="AL10" s="10" t="s">
        <v>207</v>
      </c>
      <c r="AM10" s="11" t="str">
        <f t="shared" si="17"/>
        <v/>
      </c>
      <c r="AN10" s="10" t="s">
        <v>208</v>
      </c>
      <c r="AO10" s="11" t="str">
        <f t="shared" si="18"/>
        <v/>
      </c>
      <c r="AP10" s="10" t="s">
        <v>196</v>
      </c>
      <c r="AQ10" s="11" t="str">
        <f t="shared" si="19"/>
        <v/>
      </c>
      <c r="AR10" s="10" t="s">
        <v>208</v>
      </c>
      <c r="AS10" s="11" t="str">
        <f t="shared" si="20"/>
        <v/>
      </c>
      <c r="AT10" s="10" t="s">
        <v>209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210</v>
      </c>
      <c r="C11" s="1"/>
      <c r="D11" s="10" t="s">
        <v>204</v>
      </c>
      <c r="E11" s="11" t="str">
        <f t="shared" si="0"/>
        <v/>
      </c>
      <c r="F11" s="10" t="s">
        <v>211</v>
      </c>
      <c r="G11" s="11" t="str">
        <f t="shared" si="1"/>
        <v/>
      </c>
      <c r="H11" s="10" t="s">
        <v>204</v>
      </c>
      <c r="I11" s="11" t="str">
        <f t="shared" si="2"/>
        <v/>
      </c>
      <c r="J11" s="10" t="s">
        <v>189</v>
      </c>
      <c r="K11" s="11" t="str">
        <f t="shared" si="3"/>
        <v/>
      </c>
      <c r="L11" s="10" t="s">
        <v>212</v>
      </c>
      <c r="M11" s="11" t="str">
        <f t="shared" si="4"/>
        <v/>
      </c>
      <c r="N11" s="10" t="s">
        <v>207</v>
      </c>
      <c r="O11" s="11" t="str">
        <f t="shared" si="5"/>
        <v/>
      </c>
      <c r="P11" s="10" t="s">
        <v>204</v>
      </c>
      <c r="Q11" s="11" t="str">
        <f t="shared" si="6"/>
        <v/>
      </c>
      <c r="R11" s="10" t="s">
        <v>204</v>
      </c>
      <c r="S11" s="11" t="str">
        <f t="shared" si="7"/>
        <v/>
      </c>
      <c r="T11" s="10" t="s">
        <v>213</v>
      </c>
      <c r="U11" s="11" t="str">
        <f t="shared" si="8"/>
        <v/>
      </c>
      <c r="V11" s="10" t="s">
        <v>213</v>
      </c>
      <c r="W11" s="11" t="str">
        <f t="shared" si="9"/>
        <v/>
      </c>
      <c r="X11" s="10" t="s">
        <v>214</v>
      </c>
      <c r="Y11" s="11" t="str">
        <f t="shared" si="10"/>
        <v/>
      </c>
      <c r="Z11" s="10" t="s">
        <v>213</v>
      </c>
      <c r="AA11" s="11" t="str">
        <f t="shared" si="11"/>
        <v/>
      </c>
      <c r="AB11" s="23" t="s">
        <v>214</v>
      </c>
      <c r="AC11" s="11" t="str">
        <f t="shared" si="12"/>
        <v/>
      </c>
      <c r="AD11" s="10" t="s">
        <v>215</v>
      </c>
      <c r="AE11" s="11" t="str">
        <f t="shared" si="13"/>
        <v/>
      </c>
      <c r="AF11" s="10" t="s">
        <v>216</v>
      </c>
      <c r="AG11" s="11" t="str">
        <f t="shared" si="14"/>
        <v/>
      </c>
      <c r="AH11" s="10" t="s">
        <v>217</v>
      </c>
      <c r="AI11" s="11" t="str">
        <f t="shared" si="15"/>
        <v/>
      </c>
      <c r="AJ11" s="10" t="s">
        <v>204</v>
      </c>
      <c r="AK11" s="11" t="str">
        <f t="shared" si="16"/>
        <v/>
      </c>
      <c r="AL11" s="10" t="s">
        <v>218</v>
      </c>
      <c r="AM11" s="11" t="str">
        <f t="shared" si="17"/>
        <v/>
      </c>
      <c r="AN11" s="10" t="s">
        <v>207</v>
      </c>
      <c r="AO11" s="11" t="str">
        <f t="shared" si="18"/>
        <v/>
      </c>
      <c r="AP11" s="10" t="s">
        <v>219</v>
      </c>
      <c r="AQ11" s="11" t="str">
        <f t="shared" si="19"/>
        <v/>
      </c>
      <c r="AR11" s="10" t="s">
        <v>291</v>
      </c>
      <c r="AS11" s="11" t="str">
        <f t="shared" si="20"/>
        <v/>
      </c>
      <c r="AT11" s="10" t="s">
        <v>196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220</v>
      </c>
      <c r="C12" s="1"/>
      <c r="D12" s="10" t="s">
        <v>221</v>
      </c>
      <c r="E12" s="11" t="str">
        <f t="shared" si="0"/>
        <v/>
      </c>
      <c r="F12" s="10" t="s">
        <v>196</v>
      </c>
      <c r="G12" s="11" t="str">
        <f t="shared" si="1"/>
        <v/>
      </c>
      <c r="H12" s="10" t="s">
        <v>196</v>
      </c>
      <c r="I12" s="11" t="str">
        <f t="shared" si="2"/>
        <v/>
      </c>
      <c r="J12" s="10" t="s">
        <v>222</v>
      </c>
      <c r="K12" s="11" t="str">
        <f t="shared" si="3"/>
        <v/>
      </c>
      <c r="L12" s="10" t="s">
        <v>212</v>
      </c>
      <c r="M12" s="11" t="str">
        <f t="shared" si="4"/>
        <v/>
      </c>
      <c r="N12" s="10" t="s">
        <v>204</v>
      </c>
      <c r="O12" s="11" t="str">
        <f t="shared" si="5"/>
        <v/>
      </c>
      <c r="P12" s="10" t="s">
        <v>219</v>
      </c>
      <c r="Q12" s="11" t="str">
        <f t="shared" si="6"/>
        <v/>
      </c>
      <c r="R12" s="10" t="s">
        <v>223</v>
      </c>
      <c r="S12" s="11" t="str">
        <f t="shared" si="7"/>
        <v/>
      </c>
      <c r="T12" s="10" t="s">
        <v>207</v>
      </c>
      <c r="U12" s="11" t="str">
        <f t="shared" si="8"/>
        <v/>
      </c>
      <c r="V12" s="10" t="s">
        <v>196</v>
      </c>
      <c r="W12" s="11" t="str">
        <f t="shared" si="9"/>
        <v/>
      </c>
      <c r="X12" s="10" t="s">
        <v>191</v>
      </c>
      <c r="Y12" s="11" t="str">
        <f t="shared" si="10"/>
        <v/>
      </c>
      <c r="Z12" s="10" t="s">
        <v>213</v>
      </c>
      <c r="AA12" s="11" t="str">
        <f t="shared" si="11"/>
        <v/>
      </c>
      <c r="AB12" s="23" t="s">
        <v>196</v>
      </c>
      <c r="AC12" s="11" t="str">
        <f t="shared" si="12"/>
        <v/>
      </c>
      <c r="AD12" s="10" t="s">
        <v>224</v>
      </c>
      <c r="AE12" s="11" t="str">
        <f t="shared" si="13"/>
        <v/>
      </c>
      <c r="AF12" s="10" t="s">
        <v>196</v>
      </c>
      <c r="AG12" s="11" t="str">
        <f t="shared" si="14"/>
        <v/>
      </c>
      <c r="AH12" s="10" t="s">
        <v>196</v>
      </c>
      <c r="AI12" s="11" t="str">
        <f t="shared" si="15"/>
        <v/>
      </c>
      <c r="AJ12" s="10" t="s">
        <v>216</v>
      </c>
      <c r="AK12" s="11" t="str">
        <f t="shared" si="16"/>
        <v/>
      </c>
      <c r="AL12" s="10" t="s">
        <v>196</v>
      </c>
      <c r="AM12" s="11" t="str">
        <f t="shared" si="17"/>
        <v/>
      </c>
      <c r="AN12" s="10" t="s">
        <v>204</v>
      </c>
      <c r="AO12" s="11" t="str">
        <f t="shared" si="18"/>
        <v/>
      </c>
      <c r="AP12" s="10" t="s">
        <v>196</v>
      </c>
      <c r="AQ12" s="11" t="str">
        <f t="shared" si="19"/>
        <v/>
      </c>
      <c r="AR12" s="10" t="s">
        <v>219</v>
      </c>
      <c r="AS12" s="11" t="str">
        <f t="shared" si="20"/>
        <v/>
      </c>
      <c r="AT12" s="10" t="s">
        <v>209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225</v>
      </c>
      <c r="C13" s="1"/>
      <c r="D13" s="10" t="s">
        <v>204</v>
      </c>
      <c r="E13" s="11" t="str">
        <f t="shared" si="0"/>
        <v/>
      </c>
      <c r="F13" s="10" t="s">
        <v>214</v>
      </c>
      <c r="G13" s="11" t="str">
        <f t="shared" si="1"/>
        <v/>
      </c>
      <c r="H13" s="10" t="s">
        <v>204</v>
      </c>
      <c r="I13" s="11" t="str">
        <f t="shared" si="2"/>
        <v/>
      </c>
      <c r="J13" s="10" t="s">
        <v>204</v>
      </c>
      <c r="K13" s="11" t="str">
        <f t="shared" si="3"/>
        <v/>
      </c>
      <c r="L13" s="10" t="s">
        <v>228</v>
      </c>
      <c r="M13" s="11" t="str">
        <f t="shared" si="4"/>
        <v/>
      </c>
      <c r="N13" s="10" t="s">
        <v>226</v>
      </c>
      <c r="O13" s="11" t="str">
        <f t="shared" si="5"/>
        <v/>
      </c>
      <c r="P13" s="10" t="s">
        <v>227</v>
      </c>
      <c r="Q13" s="11" t="str">
        <f t="shared" si="6"/>
        <v/>
      </c>
      <c r="R13" s="23" t="s">
        <v>204</v>
      </c>
      <c r="S13" s="11" t="str">
        <f t="shared" si="7"/>
        <v/>
      </c>
      <c r="T13" s="10" t="s">
        <v>204</v>
      </c>
      <c r="U13" s="11" t="str">
        <f t="shared" si="8"/>
        <v/>
      </c>
      <c r="V13" s="10" t="s">
        <v>204</v>
      </c>
      <c r="W13" s="11" t="str">
        <f t="shared" si="9"/>
        <v/>
      </c>
      <c r="X13" s="10" t="s">
        <v>204</v>
      </c>
      <c r="Y13" s="11" t="str">
        <f t="shared" si="10"/>
        <v/>
      </c>
      <c r="Z13" s="10" t="s">
        <v>204</v>
      </c>
      <c r="AA13" s="11" t="str">
        <f t="shared" si="11"/>
        <v/>
      </c>
      <c r="AB13" s="23" t="s">
        <v>204</v>
      </c>
      <c r="AC13" s="11" t="str">
        <f t="shared" si="12"/>
        <v/>
      </c>
      <c r="AD13" s="10" t="s">
        <v>214</v>
      </c>
      <c r="AE13" s="11" t="str">
        <f t="shared" si="13"/>
        <v/>
      </c>
      <c r="AF13" s="10" t="s">
        <v>216</v>
      </c>
      <c r="AG13" s="11" t="str">
        <f t="shared" si="14"/>
        <v/>
      </c>
      <c r="AH13" s="10" t="s">
        <v>228</v>
      </c>
      <c r="AI13" s="11" t="str">
        <f t="shared" si="15"/>
        <v/>
      </c>
      <c r="AJ13" s="10" t="s">
        <v>204</v>
      </c>
      <c r="AK13" s="11" t="str">
        <f t="shared" si="16"/>
        <v/>
      </c>
      <c r="AL13" s="10" t="s">
        <v>204</v>
      </c>
      <c r="AM13" s="11" t="str">
        <f t="shared" si="17"/>
        <v/>
      </c>
      <c r="AN13" s="10" t="s">
        <v>229</v>
      </c>
      <c r="AO13" s="11" t="str">
        <f t="shared" si="18"/>
        <v/>
      </c>
      <c r="AP13" s="10" t="s">
        <v>204</v>
      </c>
      <c r="AQ13" s="11" t="str">
        <f t="shared" si="19"/>
        <v/>
      </c>
      <c r="AR13" s="10" t="s">
        <v>292</v>
      </c>
      <c r="AS13" s="11" t="str">
        <f t="shared" si="20"/>
        <v/>
      </c>
      <c r="AT13" s="10" t="s">
        <v>209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230</v>
      </c>
      <c r="C14" s="1"/>
      <c r="D14" s="10" t="s">
        <v>231</v>
      </c>
      <c r="E14" s="11" t="str">
        <f t="shared" si="0"/>
        <v/>
      </c>
      <c r="F14" s="10" t="s">
        <v>232</v>
      </c>
      <c r="G14" s="11" t="str">
        <f t="shared" si="1"/>
        <v/>
      </c>
      <c r="H14" s="10" t="s">
        <v>233</v>
      </c>
      <c r="I14" s="11" t="str">
        <f t="shared" si="2"/>
        <v/>
      </c>
      <c r="J14" s="10" t="s">
        <v>234</v>
      </c>
      <c r="K14" s="11" t="str">
        <f t="shared" si="3"/>
        <v/>
      </c>
      <c r="L14" s="10" t="s">
        <v>235</v>
      </c>
      <c r="M14" s="11" t="str">
        <f t="shared" si="4"/>
        <v/>
      </c>
      <c r="N14" s="10" t="s">
        <v>236</v>
      </c>
      <c r="O14" s="11" t="str">
        <f t="shared" si="5"/>
        <v/>
      </c>
      <c r="P14" s="10" t="s">
        <v>234</v>
      </c>
      <c r="Q14" s="11" t="str">
        <f t="shared" si="6"/>
        <v/>
      </c>
      <c r="R14" s="10" t="s">
        <v>233</v>
      </c>
      <c r="S14" s="11" t="str">
        <f t="shared" si="7"/>
        <v/>
      </c>
      <c r="T14" s="10" t="s">
        <v>234</v>
      </c>
      <c r="U14" s="11" t="str">
        <f t="shared" si="8"/>
        <v/>
      </c>
      <c r="V14" s="10" t="s">
        <v>233</v>
      </c>
      <c r="W14" s="11" t="str">
        <f t="shared" si="9"/>
        <v/>
      </c>
      <c r="X14" s="10" t="s">
        <v>235</v>
      </c>
      <c r="Y14" s="11" t="str">
        <f t="shared" si="10"/>
        <v/>
      </c>
      <c r="Z14" s="10" t="s">
        <v>236</v>
      </c>
      <c r="AA14" s="11" t="str">
        <f t="shared" si="11"/>
        <v/>
      </c>
      <c r="AB14" s="23" t="s">
        <v>231</v>
      </c>
      <c r="AC14" s="11" t="str">
        <f t="shared" si="12"/>
        <v/>
      </c>
      <c r="AD14" s="10" t="s">
        <v>232</v>
      </c>
      <c r="AE14" s="11" t="str">
        <f t="shared" si="13"/>
        <v/>
      </c>
      <c r="AF14" s="10" t="s">
        <v>232</v>
      </c>
      <c r="AG14" s="11" t="str">
        <f t="shared" si="14"/>
        <v/>
      </c>
      <c r="AH14" s="10" t="s">
        <v>236</v>
      </c>
      <c r="AI14" s="11" t="str">
        <f t="shared" si="15"/>
        <v/>
      </c>
      <c r="AJ14" s="10" t="s">
        <v>237</v>
      </c>
      <c r="AK14" s="11" t="str">
        <f t="shared" si="16"/>
        <v/>
      </c>
      <c r="AL14" s="10" t="s">
        <v>238</v>
      </c>
      <c r="AM14" s="11" t="str">
        <f t="shared" si="17"/>
        <v/>
      </c>
      <c r="AN14" s="10" t="s">
        <v>238</v>
      </c>
      <c r="AO14" s="11" t="str">
        <f t="shared" si="18"/>
        <v/>
      </c>
      <c r="AP14" s="10" t="s">
        <v>235</v>
      </c>
      <c r="AQ14" s="11" t="str">
        <f t="shared" si="19"/>
        <v/>
      </c>
      <c r="AR14" s="10" t="s">
        <v>238</v>
      </c>
      <c r="AS14" s="11" t="str">
        <f t="shared" si="20"/>
        <v/>
      </c>
      <c r="AT14" s="10" t="s">
        <v>234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239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193</v>
      </c>
      <c r="AO15" s="11" t="str">
        <f t="shared" si="18"/>
        <v/>
      </c>
      <c r="AP15" s="10" t="s">
        <v>240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241</v>
      </c>
      <c r="C16" s="1"/>
      <c r="D16" s="10" t="s">
        <v>242</v>
      </c>
      <c r="E16" s="11" t="str">
        <f t="shared" si="0"/>
        <v/>
      </c>
      <c r="F16" s="10" t="s">
        <v>243</v>
      </c>
      <c r="G16" s="11" t="str">
        <f t="shared" si="1"/>
        <v/>
      </c>
      <c r="H16" s="10" t="s">
        <v>244</v>
      </c>
      <c r="I16" s="11" t="str">
        <f t="shared" si="2"/>
        <v/>
      </c>
      <c r="J16" s="10" t="s">
        <v>245</v>
      </c>
      <c r="K16" s="11" t="str">
        <f t="shared" si="3"/>
        <v/>
      </c>
      <c r="L16" s="10" t="s">
        <v>245</v>
      </c>
      <c r="M16" s="11" t="str">
        <f t="shared" si="4"/>
        <v/>
      </c>
      <c r="N16" s="10" t="s">
        <v>242</v>
      </c>
      <c r="O16" s="11" t="str">
        <f t="shared" si="5"/>
        <v/>
      </c>
      <c r="P16" s="10" t="s">
        <v>243</v>
      </c>
      <c r="Q16" s="11" t="str">
        <f t="shared" si="6"/>
        <v/>
      </c>
      <c r="R16" s="10" t="s">
        <v>243</v>
      </c>
      <c r="S16" s="11" t="str">
        <f t="shared" si="7"/>
        <v/>
      </c>
      <c r="T16" s="10" t="s">
        <v>246</v>
      </c>
      <c r="U16" s="11" t="str">
        <f t="shared" si="8"/>
        <v/>
      </c>
      <c r="V16" s="10" t="s">
        <v>243</v>
      </c>
      <c r="W16" s="11" t="str">
        <f t="shared" si="9"/>
        <v/>
      </c>
      <c r="X16" s="10" t="s">
        <v>243</v>
      </c>
      <c r="Y16" s="11" t="str">
        <f t="shared" si="10"/>
        <v/>
      </c>
      <c r="Z16" s="29" t="s">
        <v>245</v>
      </c>
      <c r="AA16" s="11" t="str">
        <f t="shared" si="11"/>
        <v/>
      </c>
      <c r="AB16" s="23" t="s">
        <v>243</v>
      </c>
      <c r="AC16" s="11" t="str">
        <f t="shared" si="12"/>
        <v/>
      </c>
      <c r="AD16" s="10" t="s">
        <v>247</v>
      </c>
      <c r="AE16" s="11" t="str">
        <f t="shared" si="13"/>
        <v/>
      </c>
      <c r="AF16" s="10" t="s">
        <v>243</v>
      </c>
      <c r="AG16" s="11" t="str">
        <f t="shared" si="14"/>
        <v/>
      </c>
      <c r="AH16" s="10" t="s">
        <v>244</v>
      </c>
      <c r="AI16" s="11" t="str">
        <f t="shared" si="15"/>
        <v/>
      </c>
      <c r="AJ16" s="10" t="s">
        <v>243</v>
      </c>
      <c r="AK16" s="11" t="str">
        <f t="shared" si="16"/>
        <v/>
      </c>
      <c r="AL16" s="31" t="s">
        <v>242</v>
      </c>
      <c r="AM16" s="11" t="str">
        <f t="shared" si="17"/>
        <v/>
      </c>
      <c r="AN16" s="10" t="s">
        <v>244</v>
      </c>
      <c r="AO16" s="11" t="str">
        <f t="shared" si="18"/>
        <v/>
      </c>
      <c r="AP16" s="10" t="s">
        <v>243</v>
      </c>
      <c r="AQ16" s="11" t="str">
        <f t="shared" si="19"/>
        <v/>
      </c>
      <c r="AR16" s="10" t="s">
        <v>293</v>
      </c>
      <c r="AS16" s="11" t="str">
        <f t="shared" si="20"/>
        <v/>
      </c>
      <c r="AT16" s="10" t="s">
        <v>244</v>
      </c>
      <c r="AU16" s="11" t="str">
        <f t="shared" si="21"/>
        <v/>
      </c>
    </row>
    <row r="17" spans="1:47" ht="14.4" customHeight="1" x14ac:dyDescent="0.3">
      <c r="A17" s="11"/>
      <c r="B17" s="14" t="s">
        <v>248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16" sqref="F16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249</v>
      </c>
      <c r="B1" s="17"/>
      <c r="C1" s="17"/>
      <c r="D1" s="17"/>
      <c r="E1" s="17"/>
    </row>
    <row r="2" spans="1:5" ht="18" customHeight="1" x14ac:dyDescent="0.3">
      <c r="A2" s="16" t="s">
        <v>250</v>
      </c>
      <c r="B2" s="16" t="s">
        <v>251</v>
      </c>
      <c r="C2" s="16" t="s">
        <v>252</v>
      </c>
      <c r="D2" s="16" t="s">
        <v>253</v>
      </c>
      <c r="E2" s="16" t="s">
        <v>254</v>
      </c>
    </row>
    <row r="3" spans="1:5" ht="18" customHeight="1" x14ac:dyDescent="0.3">
      <c r="A3" s="11">
        <f t="shared" ref="A3:A24" si="0">_xlfn.RANK.EQ(E3,$E$3:$E$90,0)</f>
        <v>1</v>
      </c>
      <c r="B3" s="1" t="str">
        <f>Wedstrijden_beheer!O1</f>
        <v>Maik</v>
      </c>
      <c r="C3" s="11">
        <f>SUM(Wedstrijden_beheer!P3:'Wedstrijden_beheer'!P194)</f>
        <v>162</v>
      </c>
      <c r="D3" s="11">
        <f>Bonus_beheer!O17</f>
        <v>0</v>
      </c>
      <c r="E3" s="11">
        <f t="shared" ref="E3:E24" si="1">C3+D3</f>
        <v>162</v>
      </c>
    </row>
    <row r="4" spans="1:5" ht="18" customHeight="1" x14ac:dyDescent="0.3">
      <c r="A4" s="11">
        <f t="shared" si="0"/>
        <v>2</v>
      </c>
      <c r="B4" s="1" t="str">
        <f>Wedstrijden_beheer!AA1</f>
        <v>Ivo</v>
      </c>
      <c r="C4" s="11">
        <f>SUM(Wedstrijden_beheer!AB3:'Wedstrijden_beheer'!AB194)</f>
        <v>143</v>
      </c>
      <c r="D4" s="11">
        <f>Bonus_beheer!AA17</f>
        <v>0</v>
      </c>
      <c r="E4" s="11">
        <f t="shared" si="1"/>
        <v>143</v>
      </c>
    </row>
    <row r="5" spans="1:5" ht="18" customHeight="1" x14ac:dyDescent="0.3">
      <c r="A5" s="11">
        <f t="shared" si="0"/>
        <v>2</v>
      </c>
      <c r="B5" s="1" t="str">
        <f>Wedstrijden_beheer!Y1</f>
        <v>Lesley</v>
      </c>
      <c r="C5" s="11">
        <f>SUM(Wedstrijden_beheer!Z3:'Wedstrijden_beheer'!Z194)</f>
        <v>143</v>
      </c>
      <c r="D5" s="11">
        <f>Bonus_beheer!Y17</f>
        <v>0</v>
      </c>
      <c r="E5" s="11">
        <f t="shared" si="1"/>
        <v>143</v>
      </c>
    </row>
    <row r="6" spans="1:5" ht="18" customHeight="1" x14ac:dyDescent="0.3">
      <c r="A6" s="11">
        <f t="shared" si="0"/>
        <v>4</v>
      </c>
      <c r="B6" s="1" t="str">
        <f>Wedstrijden_beheer!I1</f>
        <v>Abdussamed</v>
      </c>
      <c r="C6" s="11">
        <f>SUM(Wedstrijden_beheer!J3:'Wedstrijden_beheer'!J194)</f>
        <v>142</v>
      </c>
      <c r="D6" s="11">
        <f>Bonus_beheer!I17</f>
        <v>0</v>
      </c>
      <c r="E6" s="11">
        <f t="shared" si="1"/>
        <v>142</v>
      </c>
    </row>
    <row r="7" spans="1:5" ht="18" customHeight="1" x14ac:dyDescent="0.3">
      <c r="A7" s="11">
        <f t="shared" si="0"/>
        <v>5</v>
      </c>
      <c r="B7" s="1" t="str">
        <f>Wedstrijden_beheer!AE1</f>
        <v>Jeroen</v>
      </c>
      <c r="C7" s="11">
        <f>SUM(Wedstrijden_beheer!AF3:'Wedstrijden_beheer'!AF194)</f>
        <v>141</v>
      </c>
      <c r="D7" s="11">
        <f>Bonus_beheer!AE17</f>
        <v>0</v>
      </c>
      <c r="E7" s="11">
        <f t="shared" si="1"/>
        <v>141</v>
      </c>
    </row>
    <row r="8" spans="1:5" ht="18" customHeight="1" x14ac:dyDescent="0.3">
      <c r="A8" s="11">
        <f t="shared" si="0"/>
        <v>6</v>
      </c>
      <c r="B8" s="1" t="str">
        <f>Wedstrijden_beheer!G1</f>
        <v>Nikki</v>
      </c>
      <c r="C8" s="11">
        <f>SUM(Wedstrijden_beheer!H3:'Wedstrijden_beheer'!H194)</f>
        <v>139</v>
      </c>
      <c r="D8" s="11">
        <f>Bonus_beheer!G17</f>
        <v>0</v>
      </c>
      <c r="E8" s="11">
        <f t="shared" si="1"/>
        <v>139</v>
      </c>
    </row>
    <row r="9" spans="1:5" ht="18" customHeight="1" x14ac:dyDescent="0.3">
      <c r="A9" s="11">
        <f t="shared" si="0"/>
        <v>7</v>
      </c>
      <c r="B9" s="1" t="str">
        <f>Wedstrijden_beheer!U1</f>
        <v>Tom</v>
      </c>
      <c r="C9" s="11">
        <f>SUM(Wedstrijden_beheer!V3:'Wedstrijden_beheer'!V194)</f>
        <v>138</v>
      </c>
      <c r="D9" s="11">
        <f>Bonus_beheer!U17</f>
        <v>0</v>
      </c>
      <c r="E9" s="11">
        <f t="shared" si="1"/>
        <v>138</v>
      </c>
    </row>
    <row r="10" spans="1:5" ht="18" customHeight="1" x14ac:dyDescent="0.3">
      <c r="A10" s="11">
        <f t="shared" si="0"/>
        <v>7</v>
      </c>
      <c r="B10" s="1" t="str">
        <f>Wedstrijden_beheer!AG1</f>
        <v>Erwin</v>
      </c>
      <c r="C10" s="11">
        <f>SUM(Wedstrijden_beheer!AH3:'Wedstrijden_beheer'!AH194)</f>
        <v>138</v>
      </c>
      <c r="D10" s="11">
        <f>Bonus_beheer!AG17</f>
        <v>0</v>
      </c>
      <c r="E10" s="11">
        <f t="shared" si="1"/>
        <v>138</v>
      </c>
    </row>
    <row r="11" spans="1:5" ht="18" customHeight="1" x14ac:dyDescent="0.3">
      <c r="A11" s="11">
        <f t="shared" si="0"/>
        <v>9</v>
      </c>
      <c r="B11" s="1" t="str">
        <f>Wedstrijden_beheer!AO1</f>
        <v>Patrick</v>
      </c>
      <c r="C11" s="11">
        <f>SUM(Wedstrijden_beheer!AP3:'Wedstrijden_beheer'!AP194)</f>
        <v>135</v>
      </c>
      <c r="D11" s="11">
        <f>Bonus_beheer!AO17</f>
        <v>0</v>
      </c>
      <c r="E11" s="11">
        <f t="shared" si="1"/>
        <v>135</v>
      </c>
    </row>
    <row r="12" spans="1:5" ht="18" customHeight="1" x14ac:dyDescent="0.3">
      <c r="A12" s="11">
        <f t="shared" si="0"/>
        <v>10</v>
      </c>
      <c r="B12" s="1" t="str">
        <f>Wedstrijden_beheer!AK1</f>
        <v>Kim</v>
      </c>
      <c r="C12" s="11">
        <f>SUM(Wedstrijden_beheer!AL3:'Wedstrijden_beheer'!AL194)</f>
        <v>134</v>
      </c>
      <c r="D12" s="11">
        <f>Bonus_beheer!AK17</f>
        <v>0</v>
      </c>
      <c r="E12" s="11">
        <f t="shared" si="1"/>
        <v>134</v>
      </c>
    </row>
    <row r="13" spans="1:5" ht="18" customHeight="1" x14ac:dyDescent="0.3">
      <c r="A13" s="11">
        <f t="shared" si="0"/>
        <v>11</v>
      </c>
      <c r="B13" s="1" t="str">
        <f>Wedstrijden_beheer!E1</f>
        <v>Roland</v>
      </c>
      <c r="C13" s="11">
        <f>SUM(Wedstrijden_beheer!F3:'Wedstrijden_beheer'!F194)</f>
        <v>133</v>
      </c>
      <c r="D13" s="11">
        <f>Bonus_beheer!E17</f>
        <v>0</v>
      </c>
      <c r="E13" s="11">
        <f t="shared" si="1"/>
        <v>133</v>
      </c>
    </row>
    <row r="14" spans="1:5" ht="18" customHeight="1" x14ac:dyDescent="0.3">
      <c r="A14" s="11">
        <f t="shared" si="0"/>
        <v>12</v>
      </c>
      <c r="B14" s="1" t="str">
        <f>Wedstrijden_beheer!AQ1</f>
        <v>Jeno</v>
      </c>
      <c r="C14" s="11">
        <f>SUM(Wedstrijden_beheer!AV4:'Wedstrijden_beheer'!AV195)</f>
        <v>131</v>
      </c>
      <c r="D14" s="11">
        <f>Bonus_beheer!AU18</f>
        <v>0</v>
      </c>
      <c r="E14" s="11">
        <f t="shared" si="1"/>
        <v>131</v>
      </c>
    </row>
    <row r="15" spans="1:5" ht="18" customHeight="1" x14ac:dyDescent="0.3">
      <c r="A15" s="11">
        <f t="shared" si="0"/>
        <v>12</v>
      </c>
      <c r="B15" s="1" t="str">
        <f>Wedstrijden_beheer!AU1</f>
        <v>Raymond</v>
      </c>
      <c r="C15" s="11">
        <f>SUM(Wedstrijden_beheer!AV3:'Wedstrijden_beheer'!AV194)</f>
        <v>131</v>
      </c>
      <c r="D15" s="11">
        <f>Bonus_beheer!AU17</f>
        <v>0</v>
      </c>
      <c r="E15" s="11">
        <f t="shared" si="1"/>
        <v>131</v>
      </c>
    </row>
    <row r="16" spans="1:5" ht="18" customHeight="1" x14ac:dyDescent="0.3">
      <c r="A16" s="11">
        <f t="shared" si="0"/>
        <v>14</v>
      </c>
      <c r="B16" s="1" t="str">
        <f>Wedstrijden_beheer!W1</f>
        <v>Jos</v>
      </c>
      <c r="C16" s="11">
        <f>SUM(Wedstrijden_beheer!X3:'Wedstrijden_beheer'!X194)</f>
        <v>126</v>
      </c>
      <c r="D16" s="11">
        <f>Bonus_beheer!W17</f>
        <v>0</v>
      </c>
      <c r="E16" s="11">
        <f t="shared" si="1"/>
        <v>126</v>
      </c>
    </row>
    <row r="17" spans="1:5" ht="18" customHeight="1" x14ac:dyDescent="0.3">
      <c r="A17" s="11">
        <f t="shared" si="0"/>
        <v>15</v>
      </c>
      <c r="B17" s="1" t="str">
        <f>Wedstrijden_beheer!M1</f>
        <v>Bas</v>
      </c>
      <c r="C17" s="11">
        <f>SUM(Wedstrijden_beheer!N3:'Wedstrijden_beheer'!N194)</f>
        <v>122</v>
      </c>
      <c r="D17" s="11">
        <f>Bonus_beheer!M17</f>
        <v>0</v>
      </c>
      <c r="E17" s="11">
        <f t="shared" si="1"/>
        <v>122</v>
      </c>
    </row>
    <row r="18" spans="1:5" ht="18" customHeight="1" x14ac:dyDescent="0.3">
      <c r="A18" s="11">
        <f t="shared" si="0"/>
        <v>16</v>
      </c>
      <c r="B18" s="1" t="str">
        <f>Wedstrijden_beheer!S1</f>
        <v>Marc</v>
      </c>
      <c r="C18" s="11">
        <f>SUM(Wedstrijden_beheer!T3:'Wedstrijden_beheer'!T194)</f>
        <v>116</v>
      </c>
      <c r="D18" s="11">
        <f>Bonus_beheer!S17</f>
        <v>0</v>
      </c>
      <c r="E18" s="11">
        <f t="shared" si="1"/>
        <v>116</v>
      </c>
    </row>
    <row r="19" spans="1:5" ht="18" customHeight="1" x14ac:dyDescent="0.3">
      <c r="A19" s="11">
        <f t="shared" si="0"/>
        <v>17</v>
      </c>
      <c r="B19" s="1" t="str">
        <f>Wedstrijden_beheer!AC1</f>
        <v>Ron</v>
      </c>
      <c r="C19" s="11">
        <f>SUM(Wedstrijden_beheer!AD3:'Wedstrijden_beheer'!AD194)</f>
        <v>114</v>
      </c>
      <c r="D19" s="11">
        <f>Bonus_beheer!AC17</f>
        <v>0</v>
      </c>
      <c r="E19" s="11">
        <f t="shared" si="1"/>
        <v>114</v>
      </c>
    </row>
    <row r="20" spans="1:5" ht="18" customHeight="1" x14ac:dyDescent="0.3">
      <c r="A20" s="11">
        <f t="shared" si="0"/>
        <v>18</v>
      </c>
      <c r="B20" s="1" t="str">
        <f>Wedstrijden_beheer!AM1</f>
        <v>Kristel</v>
      </c>
      <c r="C20" s="11">
        <f>SUM(Wedstrijden_beheer!AN3:'Wedstrijden_beheer'!AN194)</f>
        <v>113</v>
      </c>
      <c r="D20" s="11">
        <f>Bonus_beheer!AM17</f>
        <v>0</v>
      </c>
      <c r="E20" s="11">
        <f t="shared" si="1"/>
        <v>113</v>
      </c>
    </row>
    <row r="21" spans="1:5" ht="18" customHeight="1" x14ac:dyDescent="0.3">
      <c r="A21" s="11">
        <f t="shared" si="0"/>
        <v>19</v>
      </c>
      <c r="B21" s="1" t="str">
        <f>Wedstrijden_beheer!K1</f>
        <v>Karsten</v>
      </c>
      <c r="C21" s="11">
        <f>SUM(Wedstrijden_beheer!L3:'Wedstrijden_beheer'!L194)</f>
        <v>110</v>
      </c>
      <c r="D21" s="11">
        <f>Bonus_beheer!K17</f>
        <v>0</v>
      </c>
      <c r="E21" s="11">
        <f t="shared" si="1"/>
        <v>110</v>
      </c>
    </row>
    <row r="22" spans="1:5" ht="18" customHeight="1" x14ac:dyDescent="0.3">
      <c r="A22" s="11">
        <f t="shared" si="0"/>
        <v>20</v>
      </c>
      <c r="B22" s="1" t="str">
        <f>Wedstrijden_beheer!AI1</f>
        <v>Tim</v>
      </c>
      <c r="C22" s="11">
        <f>SUM(Wedstrijden_beheer!AJ3:'Wedstrijden_beheer'!AJ194)</f>
        <v>104</v>
      </c>
      <c r="D22" s="11">
        <f>Bonus_beheer!AI17</f>
        <v>0</v>
      </c>
      <c r="E22" s="11">
        <f t="shared" si="1"/>
        <v>104</v>
      </c>
    </row>
    <row r="23" spans="1:5" x14ac:dyDescent="0.3">
      <c r="A23" s="11">
        <f t="shared" si="0"/>
        <v>21</v>
      </c>
      <c r="B23" s="1" t="str">
        <f>Wedstrijden_beheer!AS1</f>
        <v>Andre</v>
      </c>
      <c r="C23" s="11">
        <f>SUM(Wedstrijden_beheer!R4:'Wedstrijden_beheer'!R195)</f>
        <v>102</v>
      </c>
      <c r="D23" s="11">
        <f>Bonus_beheer!Q18</f>
        <v>0</v>
      </c>
      <c r="E23" s="11">
        <f t="shared" si="1"/>
        <v>102</v>
      </c>
    </row>
    <row r="24" spans="1:5" x14ac:dyDescent="0.3">
      <c r="A24" s="11">
        <f t="shared" si="0"/>
        <v>21</v>
      </c>
      <c r="B24" s="1" t="str">
        <f>Wedstrijden_beheer!Q1</f>
        <v>Simone</v>
      </c>
      <c r="C24" s="11">
        <f>SUM(Wedstrijden_beheer!R3:'Wedstrijden_beheer'!R194)</f>
        <v>102</v>
      </c>
      <c r="D24" s="11">
        <f>Bonus_beheer!Q17</f>
        <v>0</v>
      </c>
      <c r="E24" s="11">
        <f t="shared" si="1"/>
        <v>102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255</v>
      </c>
      <c r="B1" s="17"/>
    </row>
    <row r="2" spans="1:2" ht="18" customHeight="1" x14ac:dyDescent="0.3">
      <c r="A2" s="16" t="s">
        <v>256</v>
      </c>
      <c r="B2" s="16" t="s">
        <v>257</v>
      </c>
    </row>
    <row r="3" spans="1:2" ht="18" customHeight="1" x14ac:dyDescent="0.3">
      <c r="A3" s="1" t="s">
        <v>258</v>
      </c>
      <c r="B3" s="1" t="s">
        <v>259</v>
      </c>
    </row>
    <row r="4" spans="1:2" ht="18" customHeight="1" x14ac:dyDescent="0.3">
      <c r="A4" s="1" t="s">
        <v>260</v>
      </c>
      <c r="B4" s="1" t="s">
        <v>259</v>
      </c>
    </row>
    <row r="5" spans="1:2" ht="18" customHeight="1" x14ac:dyDescent="0.3">
      <c r="A5" s="1" t="s">
        <v>261</v>
      </c>
      <c r="B5" s="1" t="s">
        <v>262</v>
      </c>
    </row>
    <row r="6" spans="1:2" ht="18" customHeight="1" x14ac:dyDescent="0.3">
      <c r="A6" s="1" t="s">
        <v>263</v>
      </c>
      <c r="B6" s="1" t="s">
        <v>264</v>
      </c>
    </row>
    <row r="7" spans="1:2" ht="18" customHeight="1" x14ac:dyDescent="0.3">
      <c r="A7" s="1" t="s">
        <v>265</v>
      </c>
      <c r="B7" s="1" t="s">
        <v>266</v>
      </c>
    </row>
    <row r="8" spans="1:2" ht="18" customHeight="1" x14ac:dyDescent="0.3">
      <c r="A8" s="1" t="s">
        <v>267</v>
      </c>
      <c r="B8" s="1" t="s">
        <v>268</v>
      </c>
    </row>
    <row r="9" spans="1:2" ht="18" customHeight="1" x14ac:dyDescent="0.3">
      <c r="A9" s="1" t="s">
        <v>269</v>
      </c>
      <c r="B9" s="1" t="s">
        <v>270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271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256</v>
      </c>
      <c r="B2" s="16" t="s">
        <v>28</v>
      </c>
      <c r="C2" s="16" t="s">
        <v>272</v>
      </c>
    </row>
    <row r="3" spans="1:44" ht="18" customHeight="1" x14ac:dyDescent="0.3">
      <c r="A3" s="1" t="s">
        <v>273</v>
      </c>
      <c r="B3" s="1">
        <v>10</v>
      </c>
      <c r="C3" s="1" t="s">
        <v>274</v>
      </c>
    </row>
    <row r="4" spans="1:44" ht="18" customHeight="1" x14ac:dyDescent="0.3">
      <c r="A4" s="1" t="s">
        <v>275</v>
      </c>
      <c r="B4" s="1">
        <v>5</v>
      </c>
      <c r="C4" s="1" t="s">
        <v>276</v>
      </c>
    </row>
    <row r="5" spans="1:44" ht="18" customHeight="1" x14ac:dyDescent="0.3">
      <c r="A5" s="1" t="s">
        <v>277</v>
      </c>
      <c r="B5" s="1">
        <v>2</v>
      </c>
      <c r="C5" s="1" t="s">
        <v>278</v>
      </c>
    </row>
    <row r="6" spans="1:44" ht="18" customHeight="1" x14ac:dyDescent="0.3">
      <c r="A6" s="1" t="s">
        <v>279</v>
      </c>
      <c r="B6" s="1">
        <v>2</v>
      </c>
      <c r="C6" s="1" t="s">
        <v>280</v>
      </c>
    </row>
    <row r="7" spans="1:44" ht="18" customHeight="1" x14ac:dyDescent="0.3">
      <c r="A7" s="1" t="s">
        <v>281</v>
      </c>
      <c r="B7" s="1">
        <v>2</v>
      </c>
      <c r="C7" s="1" t="s">
        <v>282</v>
      </c>
    </row>
    <row r="8" spans="1:44" ht="18" customHeight="1" x14ac:dyDescent="0.3">
      <c r="A8" s="1" t="s">
        <v>283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284</v>
      </c>
      <c r="B1" s="26" t="s">
        <v>285</v>
      </c>
      <c r="C1" s="26" t="s">
        <v>286</v>
      </c>
    </row>
    <row r="2" spans="1:3" x14ac:dyDescent="0.3">
      <c r="A2" t="s">
        <v>287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288</v>
      </c>
      <c r="C5" t="s">
        <v>289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7c2036e6-2c6c-4cc0-93d3-66cc911cb074"/>
    <ds:schemaRef ds:uri="7b90d758-d430-4ffd-9227-0f539ac48821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2026-06-20T12:25:56Z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