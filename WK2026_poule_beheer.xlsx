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95" documentId="8_{E82BF418-5EC5-4A9D-9227-B9F99AE92E74}" xr6:coauthVersionLast="47" xr6:coauthVersionMax="47" xr10:uidLastSave="{66CB4532-7751-423F-B18E-6573E75C12C5}"/>
  <bookViews>
    <workbookView xWindow="38280" yWindow="-15" windowWidth="38640" windowHeight="211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0" i="1"/>
  <c r="AT63" i="1"/>
  <c r="AT66" i="1"/>
  <c r="AT69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52" i="1"/>
  <c r="AV56" i="1"/>
  <c r="AV59" i="1"/>
  <c r="AV60" i="1"/>
  <c r="AV66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4" i="3"/>
  <c r="B6" i="3"/>
  <c r="B12" i="3"/>
  <c r="B8" i="3"/>
  <c r="B14" i="3"/>
  <c r="B21" i="3"/>
  <c r="B11" i="3"/>
  <c r="B17" i="3"/>
  <c r="B5" i="3"/>
  <c r="B3" i="3"/>
  <c r="B20" i="3"/>
  <c r="B22" i="3"/>
  <c r="B15" i="3"/>
  <c r="B16" i="3"/>
  <c r="D16" i="3"/>
  <c r="B9" i="3"/>
  <c r="B4" i="3"/>
  <c r="B18" i="3"/>
  <c r="B19" i="3"/>
  <c r="B10" i="3"/>
  <c r="B13" i="3"/>
  <c r="B7" i="3"/>
  <c r="AR6" i="1"/>
  <c r="AR10" i="1"/>
  <c r="AR14" i="1"/>
  <c r="AR21" i="1"/>
  <c r="AR27" i="1"/>
  <c r="AR32" i="1"/>
  <c r="AR39" i="1"/>
  <c r="AR45" i="1"/>
  <c r="AR50" i="1"/>
  <c r="AR52" i="1"/>
  <c r="AR57" i="1"/>
  <c r="AR63" i="1"/>
  <c r="AR66" i="1"/>
  <c r="AR69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H9" i="1" s="1"/>
  <c r="AW12" i="1"/>
  <c r="AX12" i="1"/>
  <c r="AW13" i="1"/>
  <c r="N13" i="1" s="1"/>
  <c r="AX13" i="1"/>
  <c r="R13" i="1" s="1"/>
  <c r="AW16" i="1"/>
  <c r="AX16" i="1"/>
  <c r="AW17" i="1"/>
  <c r="V17" i="1" s="1"/>
  <c r="AX17" i="1"/>
  <c r="P17" i="1" s="1"/>
  <c r="AW18" i="1"/>
  <c r="AX18" i="1"/>
  <c r="AW19" i="1"/>
  <c r="H19" i="1" s="1"/>
  <c r="AX19" i="1"/>
  <c r="N19" i="1" s="1"/>
  <c r="AW20" i="1"/>
  <c r="AV20" i="1" s="1"/>
  <c r="AX20" i="1"/>
  <c r="J20" i="1" s="1"/>
  <c r="AW23" i="1"/>
  <c r="AX23" i="1"/>
  <c r="AW24" i="1"/>
  <c r="AX24" i="1"/>
  <c r="L24" i="1" s="1"/>
  <c r="AW25" i="1"/>
  <c r="AX25" i="1"/>
  <c r="AW26" i="1"/>
  <c r="AX26" i="1"/>
  <c r="AW29" i="1"/>
  <c r="AL29" i="1" s="1"/>
  <c r="AX29" i="1"/>
  <c r="AW30" i="1"/>
  <c r="AJ30" i="1" s="1"/>
  <c r="AX30" i="1"/>
  <c r="AT30" i="1" s="1"/>
  <c r="AW31" i="1"/>
  <c r="AX31" i="1"/>
  <c r="AN31" i="1" s="1"/>
  <c r="AW34" i="1"/>
  <c r="AL34" i="1" s="1"/>
  <c r="AX34" i="1"/>
  <c r="AW35" i="1"/>
  <c r="N35" i="1" s="1"/>
  <c r="AX35" i="1"/>
  <c r="R35" i="1" s="1"/>
  <c r="AW36" i="1"/>
  <c r="AX36" i="1"/>
  <c r="F36" i="1" s="1"/>
  <c r="AW37" i="1"/>
  <c r="AX37" i="1"/>
  <c r="AW38" i="1"/>
  <c r="N38" i="1" s="1"/>
  <c r="AX38" i="1"/>
  <c r="AR38" i="1" s="1"/>
  <c r="AW41" i="1"/>
  <c r="V41" i="1" s="1"/>
  <c r="AX41" i="1"/>
  <c r="AD41" i="1" s="1"/>
  <c r="AW42" i="1"/>
  <c r="AX42" i="1"/>
  <c r="N42" i="1" s="1"/>
  <c r="AW43" i="1"/>
  <c r="AX43" i="1"/>
  <c r="AW44" i="1"/>
  <c r="AX44" i="1"/>
  <c r="AV44" i="1" s="1"/>
  <c r="AW47" i="1"/>
  <c r="AX47" i="1"/>
  <c r="F47" i="1" s="1"/>
  <c r="AW48" i="1"/>
  <c r="AX48" i="1"/>
  <c r="R48" i="1" s="1"/>
  <c r="AW49" i="1"/>
  <c r="AX49" i="1"/>
  <c r="R49" i="1" s="1"/>
  <c r="AW52" i="1"/>
  <c r="AP52" i="1" s="1"/>
  <c r="AX52" i="1"/>
  <c r="AW53" i="1"/>
  <c r="AV53" i="1" s="1"/>
  <c r="AX53" i="1"/>
  <c r="AP53" i="1" s="1"/>
  <c r="AW54" i="1"/>
  <c r="AD54" i="1" s="1"/>
  <c r="AX54" i="1"/>
  <c r="AW55" i="1"/>
  <c r="H55" i="1" s="1"/>
  <c r="AX55" i="1"/>
  <c r="AW56" i="1"/>
  <c r="AP56" i="1" s="1"/>
  <c r="AX56" i="1"/>
  <c r="AW59" i="1"/>
  <c r="H59" i="1" s="1"/>
  <c r="AX59" i="1"/>
  <c r="AN59" i="1" s="1"/>
  <c r="AW60" i="1"/>
  <c r="X60" i="1" s="1"/>
  <c r="AX60" i="1"/>
  <c r="V60" i="1" s="1"/>
  <c r="AW61" i="1"/>
  <c r="H61" i="1" s="1"/>
  <c r="AX61" i="1"/>
  <c r="AW62" i="1"/>
  <c r="T62" i="1" s="1"/>
  <c r="AX62" i="1"/>
  <c r="AW65" i="1"/>
  <c r="R65" i="1" s="1"/>
  <c r="AX65" i="1"/>
  <c r="Z65" i="1" s="1"/>
  <c r="AW66" i="1"/>
  <c r="AX66" i="1"/>
  <c r="AD66" i="1" s="1"/>
  <c r="AW67" i="1"/>
  <c r="H67" i="1" s="1"/>
  <c r="AX67" i="1"/>
  <c r="AW68" i="1"/>
  <c r="T68" i="1" s="1"/>
  <c r="AX68" i="1"/>
  <c r="P68" i="1" s="1"/>
  <c r="AW71" i="1"/>
  <c r="X71" i="1" s="1"/>
  <c r="AX71" i="1"/>
  <c r="AF71" i="1" s="1"/>
  <c r="AW72" i="1"/>
  <c r="AN72" i="1" s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2" i="1"/>
  <c r="F53" i="1"/>
  <c r="F54" i="1"/>
  <c r="F56" i="1"/>
  <c r="F59" i="1"/>
  <c r="F60" i="1"/>
  <c r="F66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F72" i="1"/>
  <c r="AD72" i="1"/>
  <c r="AB72" i="1"/>
  <c r="Z72" i="1"/>
  <c r="P72" i="1"/>
  <c r="N72" i="1"/>
  <c r="AP71" i="1"/>
  <c r="AN71" i="1"/>
  <c r="AL71" i="1"/>
  <c r="AJ71" i="1"/>
  <c r="AH71" i="1"/>
  <c r="AB71" i="1"/>
  <c r="Z71" i="1"/>
  <c r="T71" i="1"/>
  <c r="R71" i="1"/>
  <c r="AD68" i="1"/>
  <c r="AB68" i="1"/>
  <c r="Z68" i="1"/>
  <c r="X68" i="1"/>
  <c r="V68" i="1"/>
  <c r="N68" i="1"/>
  <c r="L68" i="1"/>
  <c r="J68" i="1"/>
  <c r="H68" i="1"/>
  <c r="AP66" i="1"/>
  <c r="AN66" i="1"/>
  <c r="AL66" i="1"/>
  <c r="AJ66" i="1"/>
  <c r="AH66" i="1"/>
  <c r="AF66" i="1"/>
  <c r="AB66" i="1"/>
  <c r="Z66" i="1"/>
  <c r="X66" i="1"/>
  <c r="V66" i="1"/>
  <c r="T66" i="1"/>
  <c r="R66" i="1"/>
  <c r="P66" i="1"/>
  <c r="N66" i="1"/>
  <c r="L66" i="1"/>
  <c r="J66" i="1"/>
  <c r="H66" i="1"/>
  <c r="AF65" i="1"/>
  <c r="AD65" i="1"/>
  <c r="AB65" i="1"/>
  <c r="X65" i="1"/>
  <c r="V65" i="1"/>
  <c r="T65" i="1"/>
  <c r="X62" i="1"/>
  <c r="V62" i="1"/>
  <c r="R62" i="1"/>
  <c r="N62" i="1"/>
  <c r="AP60" i="1"/>
  <c r="AN60" i="1"/>
  <c r="AL60" i="1"/>
  <c r="AJ60" i="1"/>
  <c r="AH60" i="1"/>
  <c r="AF60" i="1"/>
  <c r="AD60" i="1"/>
  <c r="AB60" i="1"/>
  <c r="Z60" i="1"/>
  <c r="T60" i="1"/>
  <c r="R60" i="1"/>
  <c r="L60" i="1"/>
  <c r="AJ59" i="1"/>
  <c r="AH59" i="1"/>
  <c r="AF59" i="1"/>
  <c r="V59" i="1"/>
  <c r="T59" i="1"/>
  <c r="R59" i="1"/>
  <c r="P59" i="1"/>
  <c r="N59" i="1"/>
  <c r="L59" i="1"/>
  <c r="J59" i="1"/>
  <c r="X56" i="1"/>
  <c r="P56" i="1"/>
  <c r="N56" i="1"/>
  <c r="L56" i="1"/>
  <c r="J56" i="1"/>
  <c r="H56" i="1"/>
  <c r="AN55" i="1"/>
  <c r="N55" i="1"/>
  <c r="L55" i="1"/>
  <c r="J55" i="1"/>
  <c r="AP54" i="1"/>
  <c r="AN54" i="1"/>
  <c r="AL54" i="1"/>
  <c r="AJ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P52" i="1"/>
  <c r="H52" i="1"/>
  <c r="AD48" i="1"/>
  <c r="X48" i="1"/>
  <c r="L48" i="1"/>
  <c r="J48" i="1"/>
  <c r="AN47" i="1"/>
  <c r="L44" i="1"/>
  <c r="AB41" i="1"/>
  <c r="Z41" i="1"/>
  <c r="X41" i="1"/>
  <c r="AJ37" i="1"/>
  <c r="AF37" i="1"/>
  <c r="AB37" i="1"/>
  <c r="R37" i="1"/>
  <c r="P35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H72" i="1" l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4" i="3" s="1"/>
  <c r="AK17" i="2"/>
  <c r="D12" i="3" s="1"/>
  <c r="AM17" i="2"/>
  <c r="D15" i="3" s="1"/>
  <c r="AI17" i="2"/>
  <c r="D22" i="3" s="1"/>
  <c r="AO17" i="2"/>
  <c r="D3" i="3" s="1"/>
  <c r="AA17" i="2"/>
  <c r="D4" i="3" s="1"/>
  <c r="AC17" i="2"/>
  <c r="D19" i="3" s="1"/>
  <c r="AE17" i="2"/>
  <c r="D10" i="3" s="1"/>
  <c r="AG17" i="2"/>
  <c r="D11" i="3" s="1"/>
  <c r="E17" i="2"/>
  <c r="D5" i="3" s="1"/>
  <c r="I17" i="2"/>
  <c r="D7" i="3" s="1"/>
  <c r="K17" i="2"/>
  <c r="D20" i="3" s="1"/>
  <c r="M17" i="2"/>
  <c r="D18" i="3" s="1"/>
  <c r="G17" i="2"/>
  <c r="D13" i="3" s="1"/>
  <c r="O17" i="2"/>
  <c r="D6" i="3" s="1"/>
  <c r="S17" i="2"/>
  <c r="D21" i="3" s="1"/>
  <c r="U17" i="2"/>
  <c r="D8" i="3" s="1"/>
  <c r="W17" i="2"/>
  <c r="D14" i="3" s="1"/>
  <c r="Y17" i="2"/>
  <c r="D9" i="3" s="1"/>
  <c r="C17" i="3" l="1"/>
  <c r="E17" i="3" s="1"/>
  <c r="C16" i="3"/>
  <c r="E16" i="3" s="1"/>
  <c r="C24" i="3"/>
  <c r="E24" i="3" s="1"/>
  <c r="C23" i="3"/>
  <c r="E23" i="3" s="1"/>
  <c r="C3" i="3"/>
  <c r="E3" i="3" s="1"/>
  <c r="C19" i="3"/>
  <c r="E19" i="3" s="1"/>
  <c r="C21" i="3"/>
  <c r="E21" i="3" s="1"/>
  <c r="C10" i="3"/>
  <c r="E10" i="3" s="1"/>
  <c r="C6" i="3"/>
  <c r="E6" i="3" s="1"/>
  <c r="C18" i="3"/>
  <c r="E18" i="3" s="1"/>
  <c r="C22" i="3"/>
  <c r="E22" i="3" s="1"/>
  <c r="C5" i="3"/>
  <c r="E5" i="3" s="1"/>
  <c r="C14" i="3"/>
  <c r="E14" i="3" s="1"/>
  <c r="C20" i="3"/>
  <c r="E20" i="3" s="1"/>
  <c r="C12" i="3"/>
  <c r="E12" i="3" s="1"/>
  <c r="C4" i="3"/>
  <c r="E4" i="3" s="1"/>
  <c r="C13" i="3"/>
  <c r="E13" i="3" s="1"/>
  <c r="C9" i="3"/>
  <c r="E9" i="3" s="1"/>
  <c r="C7" i="3"/>
  <c r="E7" i="3" s="1"/>
  <c r="C15" i="3"/>
  <c r="E15" i="3" s="1"/>
  <c r="C8" i="3"/>
  <c r="E8" i="3" s="1"/>
  <c r="C11" i="3"/>
  <c r="E11" i="3" s="1"/>
  <c r="A23" i="3" l="1"/>
  <c r="A15" i="3"/>
  <c r="A7" i="3"/>
  <c r="A16" i="3"/>
  <c r="A11" i="3"/>
  <c r="A5" i="3"/>
  <c r="A9" i="3"/>
  <c r="A20" i="3"/>
  <c r="A6" i="3"/>
  <c r="A3" i="3"/>
  <c r="A22" i="3"/>
  <c r="A8" i="3"/>
  <c r="A18" i="3"/>
  <c r="A13" i="3"/>
  <c r="A24" i="3"/>
  <c r="A21" i="3"/>
  <c r="A14" i="3"/>
  <c r="A12" i="3"/>
  <c r="A10" i="3"/>
  <c r="A19" i="3"/>
  <c r="A4" i="3"/>
  <c r="A17" i="3"/>
</calcChain>
</file>

<file path=xl/sharedStrings.xml><?xml version="1.0" encoding="utf-8"?>
<sst xmlns="http://schemas.openxmlformats.org/spreadsheetml/2006/main" count="2348" uniqueCount="330">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</sst>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45" activePane="bottomRight" state="frozen"/>
      <selection pane="topRight"/>
      <selection pane="bottomLeft"/>
      <selection pane="bottomRight" activeCell="C73" sqref="C73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0.5703125" style="19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2" t="s">
        <v>0</v>
      </c>
      <c r="B1" s="52" t="s">
        <v>1</v>
      </c>
      <c r="C1" s="52" t="s">
        <v>2</v>
      </c>
      <c r="D1" s="52" t="s">
        <v>3</v>
      </c>
      <c r="E1" s="54" t="s">
        <v>4</v>
      </c>
      <c r="F1" s="55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324</v>
      </c>
      <c r="AT1" s="51"/>
      <c r="AU1" s="42" t="s">
        <v>24</v>
      </c>
      <c r="AV1" s="51"/>
      <c r="AW1" s="2" t="s">
        <v>25</v>
      </c>
      <c r="AX1" s="2" t="s">
        <v>26</v>
      </c>
    </row>
    <row r="2" spans="1:50" x14ac:dyDescent="0.25">
      <c r="A2" s="53"/>
      <c r="B2" s="56"/>
      <c r="C2" s="53"/>
      <c r="D2" s="56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8"/>
      <c r="AW3" s="7"/>
      <c r="AX3" s="7"/>
    </row>
    <row r="4" spans="1:50" ht="20.100000000000001" customHeight="1" x14ac:dyDescent="0.25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25">
      <c r="A74" s="9">
        <v>1.916666666666667</v>
      </c>
      <c r="B74" s="17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4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25">
      <c r="A78" s="9">
        <v>1.166666666666667</v>
      </c>
      <c r="B78" s="17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4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25">
      <c r="A79" s="9">
        <v>1.875</v>
      </c>
      <c r="B79" s="17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4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25">
      <c r="A80" s="9">
        <v>1.875</v>
      </c>
      <c r="B80" s="17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4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4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25">
      <c r="A84" s="9">
        <v>1</v>
      </c>
      <c r="B84" s="17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4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25">
      <c r="A85" s="9">
        <v>1.125</v>
      </c>
      <c r="B85" s="17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4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25">
      <c r="A86" s="9">
        <v>1.125</v>
      </c>
      <c r="B86" s="17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4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25">
      <c r="A87" s="9">
        <v>1.916666666666667</v>
      </c>
      <c r="B87" s="17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4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25">
      <c r="A88" s="9">
        <v>1.916666666666667</v>
      </c>
      <c r="B88" s="17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4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4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25">
      <c r="A92" s="9">
        <v>1.041666666666667</v>
      </c>
      <c r="B92" s="17" t="s">
        <v>79</v>
      </c>
      <c r="C92" s="10"/>
      <c r="D92" s="3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4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25">
      <c r="A93" s="9">
        <v>1.166666666666667</v>
      </c>
      <c r="B93" s="17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4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25">
      <c r="A94" s="9">
        <v>1.166666666666667</v>
      </c>
      <c r="B94" s="17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4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25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25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25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25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25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25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25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25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25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25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25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25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44" t="s">
        <v>131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25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44" t="s">
        <v>136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25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44" t="s">
        <v>143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25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44" t="s">
        <v>150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25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44" t="s">
        <v>155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25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44" t="s">
        <v>162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25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167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25">
      <c r="A146" s="44" t="s">
        <v>162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25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44" t="s">
        <v>172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25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44" t="s">
        <v>175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25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44" t="s">
        <v>180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25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187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25">
      <c r="A164" s="44" t="s">
        <v>188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25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44" t="s">
        <v>191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25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44" t="s">
        <v>194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25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44" t="s">
        <v>197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25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200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25">
      <c r="A178" s="44" t="s">
        <v>201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25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44" t="s">
        <v>204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25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207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25">
      <c r="A186" s="44" t="s">
        <v>208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25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211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25">
      <c r="A191" s="44" t="s">
        <v>212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25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59" t="str">
        <f>Wedstrijden_beheer!E1</f>
        <v>Roland</v>
      </c>
      <c r="E1" s="60"/>
      <c r="F1" s="61" t="str">
        <f>Wedstrijden_beheer!G1</f>
        <v>Nikki</v>
      </c>
      <c r="G1" s="43"/>
      <c r="H1" s="61" t="str">
        <f>Wedstrijden_beheer!I1</f>
        <v>Abdussamed</v>
      </c>
      <c r="I1" s="43"/>
      <c r="J1" s="61" t="str">
        <f>Wedstrijden_beheer!K1</f>
        <v>Karsten</v>
      </c>
      <c r="K1" s="43"/>
      <c r="L1" s="61" t="str">
        <f>Wedstrijden_beheer!M1</f>
        <v>Bas</v>
      </c>
      <c r="M1" s="43"/>
      <c r="N1" s="61" t="str">
        <f>Wedstrijden_beheer!O1</f>
        <v>Maik</v>
      </c>
      <c r="O1" s="43"/>
      <c r="P1" s="61" t="str">
        <f>Wedstrijden_beheer!Q1</f>
        <v>Simone</v>
      </c>
      <c r="Q1" s="43"/>
      <c r="R1" s="61" t="str">
        <f>Wedstrijden_beheer!S1</f>
        <v>Marc</v>
      </c>
      <c r="S1" s="43"/>
      <c r="T1" s="61" t="str">
        <f>Wedstrijden_beheer!U1</f>
        <v>Tom</v>
      </c>
      <c r="U1" s="43"/>
      <c r="V1" s="61" t="str">
        <f>Wedstrijden_beheer!W1</f>
        <v>Jos</v>
      </c>
      <c r="W1" s="43"/>
      <c r="X1" s="61" t="str">
        <f>Wedstrijden_beheer!Y1</f>
        <v>Lesley</v>
      </c>
      <c r="Y1" s="43"/>
      <c r="Z1" s="61" t="str">
        <f>Wedstrijden_beheer!AA1</f>
        <v>Ivo</v>
      </c>
      <c r="AA1" s="43"/>
      <c r="AB1" s="61" t="str">
        <f>Wedstrijden_beheer!AC1</f>
        <v>Ron</v>
      </c>
      <c r="AC1" s="43"/>
      <c r="AD1" s="61" t="str">
        <f>Wedstrijden_beheer!AE1</f>
        <v>Jeroen</v>
      </c>
      <c r="AE1" s="43"/>
      <c r="AF1" s="61" t="str">
        <f>Wedstrijden_beheer!AG1</f>
        <v>Erwin</v>
      </c>
      <c r="AG1" s="43"/>
      <c r="AH1" s="61" t="str">
        <f>Wedstrijden_beheer!AI1</f>
        <v>Tim</v>
      </c>
      <c r="AI1" s="43"/>
      <c r="AJ1" s="61" t="s">
        <v>20</v>
      </c>
      <c r="AK1" s="43"/>
      <c r="AL1" s="61" t="s">
        <v>21</v>
      </c>
      <c r="AM1" s="43"/>
      <c r="AN1" s="61" t="str">
        <f>Wedstrijden_beheer!AO1</f>
        <v>Patrick</v>
      </c>
      <c r="AO1" s="43"/>
      <c r="AP1" s="61" t="str">
        <f>Wedstrijden_beheer!AQ1</f>
        <v>Jeno</v>
      </c>
      <c r="AQ1" s="43"/>
      <c r="AR1" s="42" t="str">
        <f>Wedstrijden_beheer!AS1</f>
        <v>Andre</v>
      </c>
      <c r="AS1" s="51"/>
      <c r="AT1" s="42" t="str">
        <f>Wedstrijden_beheer!AU1</f>
        <v>Raymond</v>
      </c>
      <c r="AU1" s="51"/>
    </row>
    <row r="2" spans="1:47" s="28" customFormat="1" ht="14.45" customHeight="1" x14ac:dyDescent="0.25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5" customHeight="1" x14ac:dyDescent="0.2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5" customHeight="1" x14ac:dyDescent="0.2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G3" sqref="G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284</v>
      </c>
      <c r="B1" s="16"/>
      <c r="C1" s="16"/>
      <c r="D1" s="16"/>
      <c r="E1" s="16"/>
    </row>
    <row r="2" spans="1:5" ht="18" customHeight="1" x14ac:dyDescent="0.25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25">
      <c r="A3" s="11">
        <f>_xlfn.RANK.EQ(E3,$E$3:$E$90,0)</f>
        <v>1</v>
      </c>
      <c r="B3" s="1" t="str">
        <f>Wedstrijden_beheer!AO1</f>
        <v>Patrick</v>
      </c>
      <c r="C3" s="11">
        <f>SUM(Wedstrijden_beheer!AP3:'Wedstrijden_beheer'!AP194)</f>
        <v>213</v>
      </c>
      <c r="D3" s="11">
        <f>Bonus_beheer!AO17</f>
        <v>0</v>
      </c>
      <c r="E3" s="11">
        <f>C3+D3</f>
        <v>213</v>
      </c>
    </row>
    <row r="4" spans="1:5" ht="18" customHeight="1" x14ac:dyDescent="0.25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209</v>
      </c>
      <c r="D4" s="11">
        <f>Bonus_beheer!AA17</f>
        <v>0</v>
      </c>
      <c r="E4" s="11">
        <f>C4+D4</f>
        <v>209</v>
      </c>
    </row>
    <row r="5" spans="1:5" ht="18" customHeight="1" x14ac:dyDescent="0.25">
      <c r="A5" s="11">
        <f>_xlfn.RANK.EQ(E5,$E$3:$E$90,0)</f>
        <v>2</v>
      </c>
      <c r="B5" s="29" t="str">
        <f>Wedstrijden_beheer!E1</f>
        <v>Roland</v>
      </c>
      <c r="C5" s="11">
        <f>SUM(Wedstrijden_beheer!F3:'Wedstrijden_beheer'!F194)</f>
        <v>209</v>
      </c>
      <c r="D5" s="11">
        <f>Bonus_beheer!E17</f>
        <v>0</v>
      </c>
      <c r="E5" s="11">
        <f>C5+D5</f>
        <v>209</v>
      </c>
    </row>
    <row r="6" spans="1:5" ht="18" customHeight="1" x14ac:dyDescent="0.25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208</v>
      </c>
      <c r="D6" s="11">
        <f>Bonus_beheer!O17</f>
        <v>0</v>
      </c>
      <c r="E6" s="11">
        <f>C6+D6</f>
        <v>208</v>
      </c>
    </row>
    <row r="7" spans="1:5" ht="18" customHeight="1" x14ac:dyDescent="0.25">
      <c r="A7" s="11">
        <f>_xlfn.RANK.EQ(E7,$E$3:$E$90,0)</f>
        <v>4</v>
      </c>
      <c r="B7" s="1" t="str">
        <f>Wedstrijden_beheer!I1</f>
        <v>Abdussamed</v>
      </c>
      <c r="C7" s="11">
        <f>SUM(Wedstrijden_beheer!J3:'Wedstrijden_beheer'!J194)</f>
        <v>208</v>
      </c>
      <c r="D7" s="11">
        <f>Bonus_beheer!I17</f>
        <v>0</v>
      </c>
      <c r="E7" s="11">
        <f>C7+D7</f>
        <v>208</v>
      </c>
    </row>
    <row r="8" spans="1:5" ht="18" customHeight="1" x14ac:dyDescent="0.25">
      <c r="A8" s="11">
        <f>_xlfn.RANK.EQ(E8,$E$3:$E$90,0)</f>
        <v>6</v>
      </c>
      <c r="B8" s="1" t="str">
        <f>Wedstrijden_beheer!U1</f>
        <v>Tom</v>
      </c>
      <c r="C8" s="11">
        <f>SUM(Wedstrijden_beheer!V3:'Wedstrijden_beheer'!V194)</f>
        <v>204</v>
      </c>
      <c r="D8" s="11">
        <f>Bonus_beheer!U17</f>
        <v>0</v>
      </c>
      <c r="E8" s="11">
        <f>C8+D8</f>
        <v>204</v>
      </c>
    </row>
    <row r="9" spans="1:5" ht="18" customHeight="1" x14ac:dyDescent="0.25">
      <c r="A9" s="11">
        <f>_xlfn.RANK.EQ(E9,$E$3:$E$90,0)</f>
        <v>7</v>
      </c>
      <c r="B9" s="1" t="str">
        <f>Wedstrijden_beheer!Y1</f>
        <v>Lesley</v>
      </c>
      <c r="C9" s="11">
        <f>SUM(Wedstrijden_beheer!Z3:'Wedstrijden_beheer'!Z194)</f>
        <v>203</v>
      </c>
      <c r="D9" s="11">
        <f>Bonus_beheer!Y17</f>
        <v>0</v>
      </c>
      <c r="E9" s="11">
        <f>C9+D9</f>
        <v>203</v>
      </c>
    </row>
    <row r="10" spans="1:5" ht="18" customHeight="1" x14ac:dyDescent="0.25">
      <c r="A10" s="11">
        <f>_xlfn.RANK.EQ(E10,$E$3:$E$90,0)</f>
        <v>8</v>
      </c>
      <c r="B10" s="1" t="str">
        <f>Wedstrijden_beheer!AE1</f>
        <v>Jeroen</v>
      </c>
      <c r="C10" s="11">
        <f>SUM(Wedstrijden_beheer!AF3:'Wedstrijden_beheer'!AF194)</f>
        <v>202</v>
      </c>
      <c r="D10" s="11">
        <f>Bonus_beheer!AE17</f>
        <v>0</v>
      </c>
      <c r="E10" s="11">
        <f>C10+D10</f>
        <v>202</v>
      </c>
    </row>
    <row r="11" spans="1:5" ht="18" customHeight="1" x14ac:dyDescent="0.2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201</v>
      </c>
      <c r="D11" s="11">
        <f>Bonus_beheer!AG17</f>
        <v>0</v>
      </c>
      <c r="E11" s="11">
        <f>C11+D11</f>
        <v>201</v>
      </c>
    </row>
    <row r="12" spans="1:5" ht="18" customHeight="1" x14ac:dyDescent="0.25">
      <c r="A12" s="11">
        <f>_xlfn.RANK.EQ(E12,$E$3:$E$90,0)</f>
        <v>9</v>
      </c>
      <c r="B12" s="1" t="str">
        <f>Wedstrijden_beheer!AK1</f>
        <v>Kim</v>
      </c>
      <c r="C12" s="11">
        <f>SUM(Wedstrijden_beheer!AL3:'Wedstrijden_beheer'!AL194)</f>
        <v>201</v>
      </c>
      <c r="D12" s="11">
        <f>Bonus_beheer!AK17</f>
        <v>0</v>
      </c>
      <c r="E12" s="11">
        <f>C12+D12</f>
        <v>201</v>
      </c>
    </row>
    <row r="13" spans="1:5" ht="18" customHeight="1" x14ac:dyDescent="0.25">
      <c r="A13" s="11">
        <f>_xlfn.RANK.EQ(E13,$E$3:$E$90,0)</f>
        <v>11</v>
      </c>
      <c r="B13" s="1" t="str">
        <f>Wedstrijden_beheer!G1</f>
        <v>Nikki</v>
      </c>
      <c r="C13" s="11">
        <f>SUM(Wedstrijden_beheer!H3:'Wedstrijden_beheer'!H194)</f>
        <v>200</v>
      </c>
      <c r="D13" s="11">
        <f>Bonus_beheer!G17</f>
        <v>0</v>
      </c>
      <c r="E13" s="11">
        <f>C13+D13</f>
        <v>200</v>
      </c>
    </row>
    <row r="14" spans="1:5" ht="18" customHeight="1" x14ac:dyDescent="0.25">
      <c r="A14" s="11">
        <f>_xlfn.RANK.EQ(E14,$E$3:$E$90,0)</f>
        <v>12</v>
      </c>
      <c r="B14" s="1" t="str">
        <f>Wedstrijden_beheer!W1</f>
        <v>Jos</v>
      </c>
      <c r="C14" s="11">
        <f>SUM(Wedstrijden_beheer!X3:'Wedstrijden_beheer'!X194)</f>
        <v>189</v>
      </c>
      <c r="D14" s="11">
        <f>Bonus_beheer!W17</f>
        <v>0</v>
      </c>
      <c r="E14" s="11">
        <f>C14+D14</f>
        <v>189</v>
      </c>
    </row>
    <row r="15" spans="1:5" ht="18" customHeight="1" x14ac:dyDescent="0.25">
      <c r="A15" s="11">
        <f>_xlfn.RANK.EQ(E15,$E$3:$E$90,0)</f>
        <v>12</v>
      </c>
      <c r="B15" s="1" t="str">
        <f>Wedstrijden_beheer!AM1</f>
        <v>Kristel</v>
      </c>
      <c r="C15" s="11">
        <f>SUM(Wedstrijden_beheer!AN3:'Wedstrijden_beheer'!AN194)</f>
        <v>189</v>
      </c>
      <c r="D15" s="11">
        <f>Bonus_beheer!AM17</f>
        <v>0</v>
      </c>
      <c r="E15" s="11">
        <f>C15+D15</f>
        <v>189</v>
      </c>
    </row>
    <row r="16" spans="1:5" ht="18" customHeight="1" x14ac:dyDescent="0.25">
      <c r="A16" s="11">
        <f>_xlfn.RANK.EQ(E16,$E$3:$E$90,0)</f>
        <v>14</v>
      </c>
      <c r="B16" s="1" t="str">
        <f>Wedstrijden_beheer!AQ1</f>
        <v>Jeno</v>
      </c>
      <c r="C16" s="11">
        <f>SUM(Wedstrijden_beheer!AV4:'Wedstrijden_beheer'!AV195)</f>
        <v>182</v>
      </c>
      <c r="D16" s="11">
        <f>Bonus_beheer!AU18</f>
        <v>0</v>
      </c>
      <c r="E16" s="11">
        <f>C16+D16</f>
        <v>182</v>
      </c>
    </row>
    <row r="17" spans="1:5" ht="18" customHeight="1" x14ac:dyDescent="0.25">
      <c r="A17" s="11">
        <f>_xlfn.RANK.EQ(E17,$E$3:$E$90,0)</f>
        <v>14</v>
      </c>
      <c r="B17" s="1" t="str">
        <f>Wedstrijden_beheer!AU1</f>
        <v>Raymond</v>
      </c>
      <c r="C17" s="11">
        <f>SUM(Wedstrijden_beheer!AV3:'Wedstrijden_beheer'!AV194)</f>
        <v>182</v>
      </c>
      <c r="D17" s="11">
        <f>Bonus_beheer!AU17</f>
        <v>0</v>
      </c>
      <c r="E17" s="11">
        <f>C17+D17</f>
        <v>182</v>
      </c>
    </row>
    <row r="18" spans="1:5" ht="18" customHeight="1" x14ac:dyDescent="0.2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180</v>
      </c>
      <c r="D18" s="11">
        <f>Bonus_beheer!M17</f>
        <v>0</v>
      </c>
      <c r="E18" s="11">
        <f>C18+D18</f>
        <v>180</v>
      </c>
    </row>
    <row r="19" spans="1:5" ht="18" customHeight="1" x14ac:dyDescent="0.2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177</v>
      </c>
      <c r="D19" s="11">
        <f>Bonus_beheer!AC17</f>
        <v>0</v>
      </c>
      <c r="E19" s="11">
        <f>C19+D19</f>
        <v>177</v>
      </c>
    </row>
    <row r="20" spans="1:5" ht="18" customHeight="1" x14ac:dyDescent="0.25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163</v>
      </c>
      <c r="D20" s="11">
        <f>Bonus_beheer!K17</f>
        <v>0</v>
      </c>
      <c r="E20" s="11">
        <f>C20+D20</f>
        <v>163</v>
      </c>
    </row>
    <row r="21" spans="1:5" ht="18" customHeight="1" x14ac:dyDescent="0.25">
      <c r="A21" s="11">
        <f>_xlfn.RANK.EQ(E21,$E$3:$E$90,0)</f>
        <v>19</v>
      </c>
      <c r="B21" s="1" t="str">
        <f>Wedstrijden_beheer!S1</f>
        <v>Marc</v>
      </c>
      <c r="C21" s="11">
        <f>SUM(Wedstrijden_beheer!T3:'Wedstrijden_beheer'!T194)</f>
        <v>153</v>
      </c>
      <c r="D21" s="11">
        <f>Bonus_beheer!S17</f>
        <v>0</v>
      </c>
      <c r="E21" s="11">
        <f>C21+D21</f>
        <v>153</v>
      </c>
    </row>
    <row r="22" spans="1:5" ht="18" customHeight="1" x14ac:dyDescent="0.25">
      <c r="A22" s="11">
        <f>_xlfn.RANK.EQ(E22,$E$3:$E$90,0)</f>
        <v>20</v>
      </c>
      <c r="B22" s="1" t="str">
        <f>Wedstrijden_beheer!AI1</f>
        <v>Tim</v>
      </c>
      <c r="C22" s="11">
        <f>SUM(Wedstrijden_beheer!AJ3:'Wedstrijden_beheer'!AJ194)</f>
        <v>151</v>
      </c>
      <c r="D22" s="11">
        <f>Bonus_beheer!AI17</f>
        <v>0</v>
      </c>
      <c r="E22" s="11">
        <f>C22+D22</f>
        <v>151</v>
      </c>
    </row>
    <row r="23" spans="1:5" x14ac:dyDescent="0.2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149</v>
      </c>
      <c r="D23" s="11">
        <f>Bonus_beheer!Q18</f>
        <v>0</v>
      </c>
      <c r="E23" s="11">
        <f>C23+D23</f>
        <v>149</v>
      </c>
    </row>
    <row r="24" spans="1:5" x14ac:dyDescent="0.25">
      <c r="A24" s="11">
        <f>_xlfn.RANK.EQ(E24,$E$3:$E$90,0)</f>
        <v>21</v>
      </c>
      <c r="B24" s="1" t="str">
        <f>Wedstrijden_beheer!Q1</f>
        <v>Simone</v>
      </c>
      <c r="C24" s="11">
        <f>SUM(Wedstrijden_beheer!R3:'Wedstrijden_beheer'!R194)</f>
        <v>149</v>
      </c>
      <c r="D24" s="11">
        <f>Bonus_beheer!Q17</f>
        <v>0</v>
      </c>
      <c r="E24" s="11">
        <f>C24+D24</f>
        <v>149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290</v>
      </c>
      <c r="B1" s="16"/>
    </row>
    <row r="2" spans="1:2" ht="18" customHeight="1" x14ac:dyDescent="0.25">
      <c r="A2" s="38" t="s">
        <v>291</v>
      </c>
      <c r="B2" s="38" t="s">
        <v>292</v>
      </c>
    </row>
    <row r="3" spans="1:2" ht="18" customHeight="1" x14ac:dyDescent="0.25">
      <c r="A3" s="1" t="s">
        <v>293</v>
      </c>
      <c r="B3" s="1" t="s">
        <v>294</v>
      </c>
    </row>
    <row r="4" spans="1:2" ht="18" customHeight="1" x14ac:dyDescent="0.25">
      <c r="A4" s="1" t="s">
        <v>295</v>
      </c>
      <c r="B4" s="1" t="s">
        <v>294</v>
      </c>
    </row>
    <row r="5" spans="1:2" ht="18" customHeight="1" x14ac:dyDescent="0.25">
      <c r="A5" s="1" t="s">
        <v>296</v>
      </c>
      <c r="B5" s="1" t="s">
        <v>297</v>
      </c>
    </row>
    <row r="6" spans="1:2" ht="18" customHeight="1" x14ac:dyDescent="0.25">
      <c r="A6" s="1" t="s">
        <v>298</v>
      </c>
      <c r="B6" s="1" t="s">
        <v>299</v>
      </c>
    </row>
    <row r="7" spans="1:2" ht="18" customHeight="1" x14ac:dyDescent="0.25">
      <c r="A7" s="1" t="s">
        <v>300</v>
      </c>
      <c r="B7" s="1" t="s">
        <v>301</v>
      </c>
    </row>
    <row r="8" spans="1:2" ht="18" customHeight="1" x14ac:dyDescent="0.25">
      <c r="A8" s="1" t="s">
        <v>302</v>
      </c>
      <c r="B8" s="1" t="s">
        <v>303</v>
      </c>
    </row>
    <row r="9" spans="1:2" ht="18" customHeight="1" x14ac:dyDescent="0.2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291</v>
      </c>
      <c r="B2" s="38" t="s">
        <v>28</v>
      </c>
      <c r="C2" s="38" t="s">
        <v>307</v>
      </c>
    </row>
    <row r="3" spans="1:44" ht="18" customHeight="1" x14ac:dyDescent="0.25">
      <c r="A3" s="1" t="s">
        <v>308</v>
      </c>
      <c r="B3" s="1">
        <v>10</v>
      </c>
      <c r="C3" s="1" t="s">
        <v>309</v>
      </c>
    </row>
    <row r="4" spans="1:44" ht="18" customHeight="1" x14ac:dyDescent="0.25">
      <c r="A4" s="1" t="s">
        <v>310</v>
      </c>
      <c r="B4" s="1">
        <v>5</v>
      </c>
      <c r="C4" s="1" t="s">
        <v>311</v>
      </c>
    </row>
    <row r="5" spans="1:44" ht="18" customHeight="1" x14ac:dyDescent="0.25">
      <c r="A5" s="1" t="s">
        <v>312</v>
      </c>
      <c r="B5" s="1">
        <v>2</v>
      </c>
      <c r="C5" s="1" t="s">
        <v>313</v>
      </c>
    </row>
    <row r="6" spans="1:44" ht="18" customHeight="1" x14ac:dyDescent="0.25">
      <c r="A6" s="1" t="s">
        <v>314</v>
      </c>
      <c r="B6" s="1">
        <v>2</v>
      </c>
      <c r="C6" s="1" t="s">
        <v>315</v>
      </c>
    </row>
    <row r="7" spans="1:44" ht="18" customHeight="1" x14ac:dyDescent="0.25">
      <c r="A7" s="1" t="s">
        <v>316</v>
      </c>
      <c r="B7" s="1">
        <v>2</v>
      </c>
      <c r="C7" s="1" t="s">
        <v>317</v>
      </c>
    </row>
    <row r="8" spans="1:44" ht="18" customHeight="1" x14ac:dyDescent="0.2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319</v>
      </c>
      <c r="B1" s="22" t="s">
        <v>320</v>
      </c>
      <c r="C1" s="22" t="s">
        <v>321</v>
      </c>
    </row>
    <row r="2" spans="1:3" x14ac:dyDescent="0.25">
      <c r="A2" t="s">
        <v>322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323</v>
      </c>
      <c r="C5" t="s">
        <v>324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7c2036e6-2c6c-4cc0-93d3-66cc911cb074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2026-06-23T05:27:34Z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