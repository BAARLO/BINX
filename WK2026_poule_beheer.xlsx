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69" documentId="8_{E82BF418-5EC5-4A9D-9227-B9F99AE92E74}" xr6:coauthVersionLast="47" xr6:coauthVersionMax="47" xr10:uidLastSave="{42704847-EA8E-4AB1-AFB7-9C5671A4F568}"/>
  <bookViews>
    <workbookView xWindow="-120" yWindow="-120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B132" i="1" s="1"/>
  <c r="AV132" i="1"/>
  <c r="AT132" i="1"/>
  <c r="AR132" i="1"/>
  <c r="AP132" i="1"/>
  <c r="AN132" i="1"/>
  <c r="AL132" i="1"/>
  <c r="AJ132" i="1"/>
  <c r="AX129" i="1"/>
  <c r="AW129" i="1"/>
  <c r="AP129" i="1" s="1"/>
  <c r="AV129" i="1"/>
  <c r="AT129" i="1"/>
  <c r="AR129" i="1"/>
  <c r="AN129" i="1"/>
  <c r="AL129" i="1"/>
  <c r="AJ129" i="1"/>
  <c r="AH129" i="1"/>
  <c r="AF129" i="1"/>
  <c r="AD129" i="1"/>
  <c r="AB129" i="1"/>
  <c r="Z129" i="1"/>
  <c r="X129" i="1"/>
  <c r="V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H127" i="1" s="1"/>
  <c r="AL127" i="1"/>
  <c r="AJ127" i="1"/>
  <c r="AX124" i="1"/>
  <c r="AW124" i="1"/>
  <c r="AB124" i="1" s="1"/>
  <c r="AV124" i="1"/>
  <c r="AT124" i="1"/>
  <c r="AR124" i="1"/>
  <c r="AP124" i="1"/>
  <c r="AN124" i="1"/>
  <c r="AL124" i="1"/>
  <c r="AJ124" i="1"/>
  <c r="AH124" i="1"/>
  <c r="AF124" i="1"/>
  <c r="AD124" i="1"/>
  <c r="V124" i="1"/>
  <c r="AX123" i="1"/>
  <c r="AW123" i="1"/>
  <c r="T123" i="1" s="1"/>
  <c r="P123" i="1"/>
  <c r="L123" i="1"/>
  <c r="H123" i="1"/>
  <c r="AX122" i="1"/>
  <c r="AW122" i="1"/>
  <c r="L122" i="1" s="1"/>
  <c r="AV122" i="1"/>
  <c r="AT122" i="1"/>
  <c r="AR122" i="1"/>
  <c r="AP122" i="1"/>
  <c r="AN122" i="1"/>
  <c r="AL122" i="1"/>
  <c r="N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F132" i="1" l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7" i="3"/>
  <c r="B4" i="3"/>
  <c r="B11" i="3"/>
  <c r="B23" i="3"/>
  <c r="B12" i="3"/>
  <c r="B16" i="3"/>
  <c r="B3" i="3"/>
  <c r="B6" i="3"/>
  <c r="B22" i="3"/>
  <c r="B20" i="3"/>
  <c r="B13" i="3"/>
  <c r="B15" i="3"/>
  <c r="D15" i="3"/>
  <c r="B10" i="3"/>
  <c r="B9" i="3"/>
  <c r="B19" i="3"/>
  <c r="B18" i="3"/>
  <c r="B5" i="3"/>
  <c r="B17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13" i="3" s="1"/>
  <c r="AI17" i="2"/>
  <c r="D20" i="3" s="1"/>
  <c r="AO17" i="2"/>
  <c r="D6" i="3" s="1"/>
  <c r="AA17" i="2"/>
  <c r="D9" i="3" s="1"/>
  <c r="AC17" i="2"/>
  <c r="D18" i="3" s="1"/>
  <c r="AE17" i="2"/>
  <c r="D5" i="3" s="1"/>
  <c r="AG17" i="2"/>
  <c r="D12" i="3" s="1"/>
  <c r="E17" i="2"/>
  <c r="D3" i="3" s="1"/>
  <c r="I17" i="2"/>
  <c r="D8" i="3" s="1"/>
  <c r="K17" i="2"/>
  <c r="D22" i="3" s="1"/>
  <c r="M17" i="2"/>
  <c r="D19" i="3" s="1"/>
  <c r="G17" i="2"/>
  <c r="D17" i="3" s="1"/>
  <c r="O17" i="2"/>
  <c r="D14" i="3" s="1"/>
  <c r="S17" i="2"/>
  <c r="D23" i="3" s="1"/>
  <c r="U17" i="2"/>
  <c r="D4" i="3" s="1"/>
  <c r="W17" i="2"/>
  <c r="D11" i="3" s="1"/>
  <c r="Y17" i="2"/>
  <c r="D10" i="3" s="1"/>
  <c r="C16" i="3" l="1"/>
  <c r="E16" i="3" s="1"/>
  <c r="C15" i="3"/>
  <c r="E15" i="3" s="1"/>
  <c r="C21" i="3"/>
  <c r="E21" i="3" s="1"/>
  <c r="C24" i="3"/>
  <c r="E24" i="3" s="1"/>
  <c r="C6" i="3"/>
  <c r="E6" i="3" s="1"/>
  <c r="C18" i="3"/>
  <c r="E18" i="3" s="1"/>
  <c r="C23" i="3"/>
  <c r="E23" i="3" s="1"/>
  <c r="C5" i="3"/>
  <c r="E5" i="3" s="1"/>
  <c r="C14" i="3"/>
  <c r="E14" i="3" s="1"/>
  <c r="C19" i="3"/>
  <c r="E19" i="3" s="1"/>
  <c r="C20" i="3"/>
  <c r="E20" i="3" s="1"/>
  <c r="C3" i="3"/>
  <c r="E3" i="3" s="1"/>
  <c r="C11" i="3"/>
  <c r="E11" i="3" s="1"/>
  <c r="C22" i="3"/>
  <c r="E22" i="3" s="1"/>
  <c r="C7" i="3"/>
  <c r="E7" i="3" s="1"/>
  <c r="C9" i="3"/>
  <c r="E9" i="3" s="1"/>
  <c r="C17" i="3"/>
  <c r="E17" i="3" s="1"/>
  <c r="C10" i="3"/>
  <c r="E10" i="3" s="1"/>
  <c r="C8" i="3"/>
  <c r="E8" i="3" s="1"/>
  <c r="C13" i="3"/>
  <c r="E13" i="3" s="1"/>
  <c r="C4" i="3"/>
  <c r="E4" i="3" s="1"/>
  <c r="C12" i="3"/>
  <c r="E12" i="3" s="1"/>
  <c r="A24" i="3" l="1"/>
  <c r="A13" i="3"/>
  <c r="A8" i="3"/>
  <c r="A15" i="3"/>
  <c r="A12" i="3"/>
  <c r="A3" i="3"/>
  <c r="A10" i="3"/>
  <c r="A22" i="3"/>
  <c r="A14" i="3"/>
  <c r="A6" i="3"/>
  <c r="A20" i="3"/>
  <c r="A4" i="3"/>
  <c r="A19" i="3"/>
  <c r="A17" i="3"/>
  <c r="A21" i="3"/>
  <c r="A23" i="3"/>
  <c r="A11" i="3"/>
  <c r="A7" i="3"/>
  <c r="A5" i="3"/>
  <c r="A18" i="3"/>
  <c r="A9" i="3"/>
  <c r="A16" i="3"/>
</calcChain>
</file>

<file path=xl/sharedStrings.xml><?xml version="1.0" encoding="utf-8"?>
<sst xmlns="http://schemas.openxmlformats.org/spreadsheetml/2006/main" count="2739" uniqueCount="296">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</sst>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9" activePane="bottomRight" state="frozen"/>
      <selection pane="topRight"/>
      <selection pane="bottomLeft"/>
      <selection pane="bottomRight" activeCell="C133" sqref="C133"/>
    </sheetView>
  </sheetViews>
  <sheetFormatPr defaultRowHeight="15" x14ac:dyDescent="0.25"/>
  <cols>
    <col min="1" max="1" width="10.5703125" customWidth="1"/>
    <col min="2" max="2" width="20.57031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1" t="s">
        <v>0</v>
      </c>
      <c r="B1" s="51" t="s">
        <v>1</v>
      </c>
      <c r="C1" s="51" t="s">
        <v>2</v>
      </c>
      <c r="D1" s="51" t="s">
        <v>3</v>
      </c>
      <c r="E1" s="57" t="s">
        <v>4</v>
      </c>
      <c r="F1" s="58"/>
      <c r="G1" s="46" t="s">
        <v>5</v>
      </c>
      <c r="H1" s="47"/>
      <c r="I1" s="46" t="s">
        <v>6</v>
      </c>
      <c r="J1" s="47"/>
      <c r="K1" s="46" t="s">
        <v>7</v>
      </c>
      <c r="L1" s="47"/>
      <c r="M1" s="46" t="s">
        <v>8</v>
      </c>
      <c r="N1" s="47"/>
      <c r="O1" s="46" t="s">
        <v>9</v>
      </c>
      <c r="P1" s="47"/>
      <c r="Q1" s="46" t="s">
        <v>10</v>
      </c>
      <c r="R1" s="47"/>
      <c r="S1" s="46" t="s">
        <v>11</v>
      </c>
      <c r="T1" s="47"/>
      <c r="U1" s="46" t="s">
        <v>12</v>
      </c>
      <c r="V1" s="47"/>
      <c r="W1" s="46" t="s">
        <v>13</v>
      </c>
      <c r="X1" s="47"/>
      <c r="Y1" s="46" t="s">
        <v>14</v>
      </c>
      <c r="Z1" s="47"/>
      <c r="AA1" s="46" t="s">
        <v>15</v>
      </c>
      <c r="AB1" s="47"/>
      <c r="AC1" s="46" t="s">
        <v>16</v>
      </c>
      <c r="AD1" s="47"/>
      <c r="AE1" s="46" t="s">
        <v>17</v>
      </c>
      <c r="AF1" s="47"/>
      <c r="AG1" s="46" t="s">
        <v>18</v>
      </c>
      <c r="AH1" s="47"/>
      <c r="AI1" s="46" t="s">
        <v>19</v>
      </c>
      <c r="AJ1" s="47"/>
      <c r="AK1" s="46" t="s">
        <v>20</v>
      </c>
      <c r="AL1" s="47"/>
      <c r="AM1" s="46" t="s">
        <v>21</v>
      </c>
      <c r="AN1" s="47"/>
      <c r="AO1" s="46" t="s">
        <v>22</v>
      </c>
      <c r="AP1" s="47"/>
      <c r="AQ1" s="46" t="s">
        <v>23</v>
      </c>
      <c r="AR1" s="47"/>
      <c r="AS1" s="46" t="s">
        <v>289</v>
      </c>
      <c r="AT1" s="59"/>
      <c r="AU1" s="46" t="s">
        <v>24</v>
      </c>
      <c r="AV1" s="59"/>
      <c r="AW1" s="2" t="s">
        <v>25</v>
      </c>
      <c r="AX1" s="2" t="s">
        <v>26</v>
      </c>
    </row>
    <row r="2" spans="1:50" x14ac:dyDescent="0.25">
      <c r="A2" s="56"/>
      <c r="B2" s="52"/>
      <c r="C2" s="56"/>
      <c r="D2" s="52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8" t="s">
        <v>29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50"/>
      <c r="AW3" s="7"/>
      <c r="AX3" s="7"/>
    </row>
    <row r="4" spans="1:50" ht="20.100000000000001" customHeight="1" x14ac:dyDescent="0.25">
      <c r="A4" s="43" t="s">
        <v>30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5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3" t="s">
        <v>40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5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3" t="s">
        <v>51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5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3" t="s">
        <v>58</v>
      </c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5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294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3" t="s">
        <v>75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5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42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42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42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42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42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42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42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42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42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42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42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42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42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48" t="s">
        <v>128</v>
      </c>
      <c r="B113" s="53"/>
      <c r="C113" s="54"/>
      <c r="D113" s="53"/>
      <c r="E113" s="54"/>
      <c r="F113" s="53"/>
      <c r="G113" s="54"/>
      <c r="H113" s="53"/>
      <c r="I113" s="54"/>
      <c r="J113" s="53"/>
      <c r="K113" s="54"/>
      <c r="L113" s="53"/>
      <c r="M113" s="54"/>
      <c r="N113" s="53"/>
      <c r="O113" s="54"/>
      <c r="P113" s="53"/>
      <c r="Q113" s="54"/>
      <c r="R113" s="53"/>
      <c r="S113" s="54"/>
      <c r="T113" s="53"/>
      <c r="U113" s="54"/>
      <c r="V113" s="53"/>
      <c r="W113" s="54"/>
      <c r="X113" s="53"/>
      <c r="Y113" s="54"/>
      <c r="Z113" s="53"/>
      <c r="AA113" s="54"/>
      <c r="AB113" s="53"/>
      <c r="AC113" s="54"/>
      <c r="AD113" s="53"/>
      <c r="AE113" s="54"/>
      <c r="AF113" s="53"/>
      <c r="AG113" s="54"/>
      <c r="AH113" s="53"/>
      <c r="AI113" s="54"/>
      <c r="AJ113" s="53"/>
      <c r="AK113" s="54"/>
      <c r="AL113" s="53"/>
      <c r="AM113" s="54"/>
      <c r="AN113" s="53"/>
      <c r="AO113" s="54"/>
      <c r="AP113" s="53"/>
      <c r="AQ113" s="53"/>
      <c r="AR113" s="53"/>
      <c r="AS113" s="53"/>
      <c r="AT113" s="53"/>
      <c r="AU113" s="54"/>
      <c r="AV113" s="47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42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5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42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295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5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42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5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42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5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42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 t="s">
        <v>34</v>
      </c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 t="s">
        <v>36</v>
      </c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5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42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 t="s">
        <v>33</v>
      </c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 t="s">
        <v>35</v>
      </c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 t="s">
        <v>33</v>
      </c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 t="s">
        <v>36</v>
      </c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5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42"/>
      <c r="AW140" s="8"/>
      <c r="AX140" s="8"/>
    </row>
    <row r="141" spans="1:50" ht="18" customHeight="1" x14ac:dyDescent="0.25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48" t="s">
        <v>135</v>
      </c>
      <c r="B145" s="53"/>
      <c r="C145" s="54"/>
      <c r="D145" s="53"/>
      <c r="E145" s="54"/>
      <c r="F145" s="53"/>
      <c r="G145" s="54"/>
      <c r="H145" s="53"/>
      <c r="I145" s="54"/>
      <c r="J145" s="53"/>
      <c r="K145" s="54"/>
      <c r="L145" s="53"/>
      <c r="M145" s="54"/>
      <c r="N145" s="53"/>
      <c r="O145" s="54"/>
      <c r="P145" s="53"/>
      <c r="Q145" s="54"/>
      <c r="R145" s="53"/>
      <c r="S145" s="54"/>
      <c r="T145" s="53"/>
      <c r="U145" s="54"/>
      <c r="V145" s="53"/>
      <c r="W145" s="54"/>
      <c r="X145" s="53"/>
      <c r="Y145" s="54"/>
      <c r="Z145" s="53"/>
      <c r="AA145" s="54"/>
      <c r="AB145" s="53"/>
      <c r="AC145" s="54"/>
      <c r="AD145" s="53"/>
      <c r="AE145" s="54"/>
      <c r="AF145" s="53"/>
      <c r="AG145" s="54"/>
      <c r="AH145" s="53"/>
      <c r="AI145" s="54"/>
      <c r="AJ145" s="53"/>
      <c r="AK145" s="54"/>
      <c r="AL145" s="53"/>
      <c r="AM145" s="54"/>
      <c r="AN145" s="53"/>
      <c r="AO145" s="54"/>
      <c r="AP145" s="53"/>
      <c r="AQ145" s="53"/>
      <c r="AR145" s="53"/>
      <c r="AS145" s="53"/>
      <c r="AT145" s="53"/>
      <c r="AU145" s="54"/>
      <c r="AV145" s="47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42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/>
      <c r="D147" s="1" t="s">
        <v>60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7" t="s">
        <v>53</v>
      </c>
      <c r="C148" s="10"/>
      <c r="D148" s="1" t="s">
        <v>136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39" t="s">
        <v>137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42"/>
      <c r="AW150" s="8"/>
      <c r="AX150" s="8"/>
    </row>
    <row r="151" spans="1:50" ht="18" customHeight="1" x14ac:dyDescent="0.25">
      <c r="A151" s="9">
        <v>1.916666666666667</v>
      </c>
      <c r="B151" s="17" t="s">
        <v>138</v>
      </c>
      <c r="C151" s="10"/>
      <c r="D151" s="1" t="s">
        <v>139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39" t="s">
        <v>140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42"/>
      <c r="AW153" s="8"/>
      <c r="AX153" s="8"/>
    </row>
    <row r="154" spans="1:50" ht="18" customHeight="1" x14ac:dyDescent="0.25">
      <c r="A154" s="9">
        <v>1.083333333333333</v>
      </c>
      <c r="B154" s="17" t="s">
        <v>141</v>
      </c>
      <c r="C154" s="10"/>
      <c r="D154" s="1" t="s">
        <v>142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7" t="s">
        <v>143</v>
      </c>
      <c r="C155" s="10"/>
      <c r="D155" s="1" t="s">
        <v>144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39" t="s">
        <v>145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42"/>
      <c r="AW157" s="8"/>
      <c r="AX157" s="8"/>
    </row>
    <row r="158" spans="1:50" ht="18" customHeight="1" x14ac:dyDescent="0.25">
      <c r="A158" s="9">
        <v>1.083333333333333</v>
      </c>
      <c r="B158" s="17" t="s">
        <v>146</v>
      </c>
      <c r="C158" s="10"/>
      <c r="D158" s="1" t="s">
        <v>147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7" t="s">
        <v>148</v>
      </c>
      <c r="C159" s="10"/>
      <c r="D159" s="1" t="s">
        <v>149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7" t="s">
        <v>150</v>
      </c>
      <c r="C160" s="10"/>
      <c r="D160" s="1" t="s">
        <v>151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48" t="s">
        <v>152</v>
      </c>
      <c r="B163" s="53"/>
      <c r="C163" s="54"/>
      <c r="D163" s="53"/>
      <c r="E163" s="54"/>
      <c r="F163" s="53"/>
      <c r="G163" s="54"/>
      <c r="H163" s="53"/>
      <c r="I163" s="54"/>
      <c r="J163" s="53"/>
      <c r="K163" s="54"/>
      <c r="L163" s="53"/>
      <c r="M163" s="54"/>
      <c r="N163" s="53"/>
      <c r="O163" s="54"/>
      <c r="P163" s="53"/>
      <c r="Q163" s="54"/>
      <c r="R163" s="53"/>
      <c r="S163" s="54"/>
      <c r="T163" s="53"/>
      <c r="U163" s="54"/>
      <c r="V163" s="53"/>
      <c r="W163" s="54"/>
      <c r="X163" s="53"/>
      <c r="Y163" s="54"/>
      <c r="Z163" s="53"/>
      <c r="AA163" s="54"/>
      <c r="AB163" s="53"/>
      <c r="AC163" s="54"/>
      <c r="AD163" s="53"/>
      <c r="AE163" s="54"/>
      <c r="AF163" s="53"/>
      <c r="AG163" s="54"/>
      <c r="AH163" s="53"/>
      <c r="AI163" s="54"/>
      <c r="AJ163" s="53"/>
      <c r="AK163" s="54"/>
      <c r="AL163" s="53"/>
      <c r="AM163" s="54"/>
      <c r="AN163" s="53"/>
      <c r="AO163" s="54"/>
      <c r="AP163" s="53"/>
      <c r="AQ163" s="53"/>
      <c r="AR163" s="53"/>
      <c r="AS163" s="53"/>
      <c r="AT163" s="53"/>
      <c r="AU163" s="54"/>
      <c r="AV163" s="47"/>
      <c r="AW163" s="7"/>
      <c r="AX163" s="7"/>
    </row>
    <row r="164" spans="1:50" ht="20.100000000000001" customHeight="1" x14ac:dyDescent="0.25">
      <c r="A164" s="39" t="s">
        <v>153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42"/>
      <c r="AW164" s="8"/>
      <c r="AX164" s="8"/>
    </row>
    <row r="165" spans="1:50" ht="18" customHeight="1" x14ac:dyDescent="0.25">
      <c r="A165" s="9">
        <v>1.916666666666667</v>
      </c>
      <c r="B165" s="17" t="s">
        <v>154</v>
      </c>
      <c r="C165" s="10"/>
      <c r="D165" s="1" t="s">
        <v>155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39" t="s">
        <v>156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42"/>
      <c r="AW167" s="8"/>
      <c r="AX167" s="8"/>
    </row>
    <row r="168" spans="1:50" ht="18" customHeight="1" x14ac:dyDescent="0.25">
      <c r="A168" s="9">
        <v>1.875</v>
      </c>
      <c r="B168" s="17" t="s">
        <v>157</v>
      </c>
      <c r="C168" s="10"/>
      <c r="D168" s="1" t="s">
        <v>158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39" t="s">
        <v>159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42"/>
      <c r="AW170" s="8"/>
      <c r="AX170" s="8"/>
    </row>
    <row r="171" spans="1:50" ht="18" customHeight="1" x14ac:dyDescent="0.25">
      <c r="A171" s="9">
        <v>1.958333333333333</v>
      </c>
      <c r="B171" s="17" t="s">
        <v>160</v>
      </c>
      <c r="C171" s="10"/>
      <c r="D171" s="1" t="s">
        <v>161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39" t="s">
        <v>162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42"/>
      <c r="AW173" s="8"/>
      <c r="AX173" s="8"/>
    </row>
    <row r="174" spans="1:50" ht="18" customHeight="1" x14ac:dyDescent="0.25">
      <c r="A174" s="9">
        <v>1.125</v>
      </c>
      <c r="B174" s="17" t="s">
        <v>163</v>
      </c>
      <c r="C174" s="10"/>
      <c r="D174" s="1" t="s">
        <v>164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48" t="s">
        <v>165</v>
      </c>
      <c r="B177" s="53"/>
      <c r="C177" s="54"/>
      <c r="D177" s="53"/>
      <c r="E177" s="54"/>
      <c r="F177" s="53"/>
      <c r="G177" s="54"/>
      <c r="H177" s="53"/>
      <c r="I177" s="54"/>
      <c r="J177" s="53"/>
      <c r="K177" s="54"/>
      <c r="L177" s="53"/>
      <c r="M177" s="54"/>
      <c r="N177" s="53"/>
      <c r="O177" s="54"/>
      <c r="P177" s="53"/>
      <c r="Q177" s="54"/>
      <c r="R177" s="53"/>
      <c r="S177" s="54"/>
      <c r="T177" s="53"/>
      <c r="U177" s="54"/>
      <c r="V177" s="53"/>
      <c r="W177" s="54"/>
      <c r="X177" s="53"/>
      <c r="Y177" s="54"/>
      <c r="Z177" s="53"/>
      <c r="AA177" s="54"/>
      <c r="AB177" s="53"/>
      <c r="AC177" s="54"/>
      <c r="AD177" s="53"/>
      <c r="AE177" s="54"/>
      <c r="AF177" s="53"/>
      <c r="AG177" s="54"/>
      <c r="AH177" s="53"/>
      <c r="AI177" s="54"/>
      <c r="AJ177" s="53"/>
      <c r="AK177" s="54"/>
      <c r="AL177" s="53"/>
      <c r="AM177" s="54"/>
      <c r="AN177" s="53"/>
      <c r="AO177" s="54"/>
      <c r="AP177" s="53"/>
      <c r="AQ177" s="53"/>
      <c r="AR177" s="53"/>
      <c r="AS177" s="53"/>
      <c r="AT177" s="53"/>
      <c r="AU177" s="54"/>
      <c r="AV177" s="47"/>
      <c r="AW177" s="7"/>
      <c r="AX177" s="7"/>
    </row>
    <row r="178" spans="1:50" ht="20.100000000000001" customHeight="1" x14ac:dyDescent="0.25">
      <c r="A178" s="39" t="s">
        <v>166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42"/>
      <c r="AW178" s="8"/>
      <c r="AX178" s="8"/>
    </row>
    <row r="179" spans="1:50" ht="18" customHeight="1" x14ac:dyDescent="0.25">
      <c r="A179" s="9">
        <v>1.875</v>
      </c>
      <c r="B179" s="17" t="s">
        <v>167</v>
      </c>
      <c r="C179" s="10"/>
      <c r="D179" s="1" t="s">
        <v>168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39" t="s">
        <v>169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42"/>
      <c r="AW181" s="8"/>
      <c r="AX181" s="8"/>
    </row>
    <row r="182" spans="1:50" ht="18" customHeight="1" x14ac:dyDescent="0.25">
      <c r="A182" s="9">
        <v>1.875</v>
      </c>
      <c r="B182" s="17" t="s">
        <v>170</v>
      </c>
      <c r="C182" s="10"/>
      <c r="D182" s="1" t="s">
        <v>171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48" t="s">
        <v>172</v>
      </c>
      <c r="B185" s="53"/>
      <c r="C185" s="54"/>
      <c r="D185" s="53"/>
      <c r="E185" s="54"/>
      <c r="F185" s="53"/>
      <c r="G185" s="54"/>
      <c r="H185" s="53"/>
      <c r="I185" s="54"/>
      <c r="J185" s="53"/>
      <c r="K185" s="54"/>
      <c r="L185" s="53"/>
      <c r="M185" s="54"/>
      <c r="N185" s="53"/>
      <c r="O185" s="54"/>
      <c r="P185" s="53"/>
      <c r="Q185" s="54"/>
      <c r="R185" s="53"/>
      <c r="S185" s="54"/>
      <c r="T185" s="53"/>
      <c r="U185" s="54"/>
      <c r="V185" s="53"/>
      <c r="W185" s="54"/>
      <c r="X185" s="53"/>
      <c r="Y185" s="54"/>
      <c r="Z185" s="53"/>
      <c r="AA185" s="54"/>
      <c r="AB185" s="53"/>
      <c r="AC185" s="54"/>
      <c r="AD185" s="53"/>
      <c r="AE185" s="54"/>
      <c r="AF185" s="53"/>
      <c r="AG185" s="54"/>
      <c r="AH185" s="53"/>
      <c r="AI185" s="54"/>
      <c r="AJ185" s="53"/>
      <c r="AK185" s="54"/>
      <c r="AL185" s="53"/>
      <c r="AM185" s="54"/>
      <c r="AN185" s="53"/>
      <c r="AO185" s="54"/>
      <c r="AP185" s="53"/>
      <c r="AQ185" s="53"/>
      <c r="AR185" s="53"/>
      <c r="AS185" s="53"/>
      <c r="AT185" s="53"/>
      <c r="AU185" s="54"/>
      <c r="AV185" s="47"/>
      <c r="AW185" s="7"/>
      <c r="AX185" s="7"/>
    </row>
    <row r="186" spans="1:50" ht="20.100000000000001" customHeight="1" x14ac:dyDescent="0.25">
      <c r="A186" s="39" t="s">
        <v>173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42"/>
      <c r="AW186" s="8"/>
      <c r="AX186" s="8"/>
    </row>
    <row r="187" spans="1:50" ht="18" customHeight="1" x14ac:dyDescent="0.25">
      <c r="A187" s="9">
        <v>1.958333333333333</v>
      </c>
      <c r="B187" s="17" t="s">
        <v>174</v>
      </c>
      <c r="C187" s="10"/>
      <c r="D187" s="1" t="s">
        <v>175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48" t="s">
        <v>176</v>
      </c>
      <c r="B190" s="53"/>
      <c r="C190" s="54"/>
      <c r="D190" s="53"/>
      <c r="E190" s="54"/>
      <c r="F190" s="53"/>
      <c r="G190" s="54"/>
      <c r="H190" s="53"/>
      <c r="I190" s="54"/>
      <c r="J190" s="53"/>
      <c r="K190" s="54"/>
      <c r="L190" s="53"/>
      <c r="M190" s="54"/>
      <c r="N190" s="53"/>
      <c r="O190" s="54"/>
      <c r="P190" s="53"/>
      <c r="Q190" s="54"/>
      <c r="R190" s="53"/>
      <c r="S190" s="54"/>
      <c r="T190" s="53"/>
      <c r="U190" s="54"/>
      <c r="V190" s="53"/>
      <c r="W190" s="54"/>
      <c r="X190" s="53"/>
      <c r="Y190" s="54"/>
      <c r="Z190" s="53"/>
      <c r="AA190" s="54"/>
      <c r="AB190" s="53"/>
      <c r="AC190" s="54"/>
      <c r="AD190" s="53"/>
      <c r="AE190" s="54"/>
      <c r="AF190" s="53"/>
      <c r="AG190" s="54"/>
      <c r="AH190" s="53"/>
      <c r="AI190" s="54"/>
      <c r="AJ190" s="53"/>
      <c r="AK190" s="54"/>
      <c r="AL190" s="53"/>
      <c r="AM190" s="54"/>
      <c r="AN190" s="53"/>
      <c r="AO190" s="54"/>
      <c r="AP190" s="53"/>
      <c r="AQ190" s="53"/>
      <c r="AR190" s="53"/>
      <c r="AS190" s="53"/>
      <c r="AT190" s="53"/>
      <c r="AU190" s="54"/>
      <c r="AV190" s="47"/>
      <c r="AW190" s="7"/>
      <c r="AX190" s="7"/>
    </row>
    <row r="191" spans="1:50" ht="20.100000000000001" customHeight="1" x14ac:dyDescent="0.25">
      <c r="A191" s="39" t="s">
        <v>177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42"/>
      <c r="AW191" s="8"/>
      <c r="AX191" s="8"/>
    </row>
    <row r="192" spans="1:50" ht="18" customHeight="1" x14ac:dyDescent="0.25">
      <c r="A192" s="9">
        <v>1.875</v>
      </c>
      <c r="B192" s="17" t="s">
        <v>178</v>
      </c>
      <c r="C192" s="10"/>
      <c r="D192" s="1" t="s">
        <v>179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6" sqref="G26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1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1" customWidth="1"/>
    <col min="15" max="15" width="10.5703125" customWidth="1"/>
    <col min="16" max="16" width="12.5703125" style="21" customWidth="1"/>
    <col min="17" max="17" width="10.5703125" customWidth="1"/>
    <col min="18" max="18" width="12.5703125" style="21" customWidth="1"/>
    <col min="19" max="19" width="10.5703125" customWidth="1"/>
    <col min="20" max="20" width="12.5703125" customWidth="1"/>
    <col min="21" max="21" width="10.5703125" customWidth="1"/>
    <col min="22" max="22" width="12.5703125" style="21" customWidth="1"/>
    <col min="23" max="23" width="10.5703125" customWidth="1"/>
    <col min="24" max="24" width="12.5703125" style="21" customWidth="1"/>
    <col min="25" max="25" width="10.5703125" customWidth="1"/>
    <col min="26" max="26" width="12.5703125" style="21" customWidth="1"/>
    <col min="27" max="27" width="10.5703125" customWidth="1"/>
    <col min="28" max="28" width="12.5703125" style="21" customWidth="1"/>
    <col min="29" max="29" width="10.5703125" customWidth="1"/>
    <col min="30" max="30" width="12.5703125" style="21" customWidth="1"/>
    <col min="31" max="31" width="10.5703125" customWidth="1"/>
    <col min="32" max="32" width="12.5703125" style="21" customWidth="1"/>
    <col min="33" max="33" width="10.5703125" customWidth="1"/>
    <col min="34" max="34" width="12.5703125" style="21" customWidth="1"/>
    <col min="35" max="35" width="10.5703125" customWidth="1"/>
    <col min="36" max="36" width="12.5703125" style="21" customWidth="1"/>
    <col min="37" max="37" width="10.5703125" customWidth="1"/>
    <col min="38" max="38" width="12.5703125" style="21" customWidth="1"/>
    <col min="39" max="39" width="10.5703125" customWidth="1"/>
    <col min="40" max="40" width="12.5703125" style="21" customWidth="1"/>
    <col min="41" max="41" width="10.5703125" customWidth="1"/>
    <col min="42" max="42" width="12.5703125" customWidth="1"/>
    <col min="43" max="43" width="10.5703125" customWidth="1"/>
    <col min="44" max="44" width="12.5703125" style="21" customWidth="1"/>
    <col min="45" max="45" width="10.5703125" customWidth="1"/>
    <col min="46" max="46" width="12.5703125" style="21" customWidth="1"/>
    <col min="47" max="47" width="10.5703125" customWidth="1"/>
  </cols>
  <sheetData>
    <row r="1" spans="1:47" x14ac:dyDescent="0.25">
      <c r="A1" s="2"/>
      <c r="B1" s="2"/>
      <c r="C1" s="2"/>
      <c r="D1" s="61" t="str">
        <f>Wedstrijden_beheer!E1</f>
        <v>Roland</v>
      </c>
      <c r="E1" s="62"/>
      <c r="F1" s="60" t="str">
        <f>Wedstrijden_beheer!G1</f>
        <v>Nikki</v>
      </c>
      <c r="G1" s="47"/>
      <c r="H1" s="60" t="str">
        <f>Wedstrijden_beheer!I1</f>
        <v>Abdussamed</v>
      </c>
      <c r="I1" s="47"/>
      <c r="J1" s="60" t="str">
        <f>Wedstrijden_beheer!K1</f>
        <v>Karsten</v>
      </c>
      <c r="K1" s="47"/>
      <c r="L1" s="60" t="str">
        <f>Wedstrijden_beheer!M1</f>
        <v>Bas</v>
      </c>
      <c r="M1" s="47"/>
      <c r="N1" s="60" t="str">
        <f>Wedstrijden_beheer!O1</f>
        <v>Maik</v>
      </c>
      <c r="O1" s="47"/>
      <c r="P1" s="60" t="str">
        <f>Wedstrijden_beheer!Q1</f>
        <v>Simone</v>
      </c>
      <c r="Q1" s="47"/>
      <c r="R1" s="60" t="str">
        <f>Wedstrijden_beheer!S1</f>
        <v>Marc</v>
      </c>
      <c r="S1" s="47"/>
      <c r="T1" s="60" t="str">
        <f>Wedstrijden_beheer!U1</f>
        <v>Tom</v>
      </c>
      <c r="U1" s="47"/>
      <c r="V1" s="60" t="str">
        <f>Wedstrijden_beheer!W1</f>
        <v>Jos</v>
      </c>
      <c r="W1" s="47"/>
      <c r="X1" s="60" t="str">
        <f>Wedstrijden_beheer!Y1</f>
        <v>Lesley</v>
      </c>
      <c r="Y1" s="47"/>
      <c r="Z1" s="60" t="str">
        <f>Wedstrijden_beheer!AA1</f>
        <v>Ivo</v>
      </c>
      <c r="AA1" s="47"/>
      <c r="AB1" s="60" t="str">
        <f>Wedstrijden_beheer!AC1</f>
        <v>Ron</v>
      </c>
      <c r="AC1" s="47"/>
      <c r="AD1" s="60" t="str">
        <f>Wedstrijden_beheer!AE1</f>
        <v>Jeroen</v>
      </c>
      <c r="AE1" s="47"/>
      <c r="AF1" s="60" t="str">
        <f>Wedstrijden_beheer!AG1</f>
        <v>Erwin</v>
      </c>
      <c r="AG1" s="47"/>
      <c r="AH1" s="60" t="str">
        <f>Wedstrijden_beheer!AI1</f>
        <v>Tim</v>
      </c>
      <c r="AI1" s="47"/>
      <c r="AJ1" s="60" t="s">
        <v>20</v>
      </c>
      <c r="AK1" s="47"/>
      <c r="AL1" s="60" t="s">
        <v>21</v>
      </c>
      <c r="AM1" s="47"/>
      <c r="AN1" s="60" t="str">
        <f>Wedstrijden_beheer!AO1</f>
        <v>Patrick</v>
      </c>
      <c r="AO1" s="47"/>
      <c r="AP1" s="60" t="str">
        <f>Wedstrijden_beheer!AQ1</f>
        <v>Jeno</v>
      </c>
      <c r="AQ1" s="47"/>
      <c r="AR1" s="46" t="str">
        <f>Wedstrijden_beheer!AS1</f>
        <v>Andre</v>
      </c>
      <c r="AS1" s="59"/>
      <c r="AT1" s="46" t="str">
        <f>Wedstrijden_beheer!AU1</f>
        <v>Raymond</v>
      </c>
      <c r="AU1" s="59"/>
    </row>
    <row r="2" spans="1:47" s="28" customFormat="1" ht="14.45" customHeight="1" x14ac:dyDescent="0.25">
      <c r="A2" s="34"/>
      <c r="B2" s="35" t="s">
        <v>180</v>
      </c>
      <c r="C2" s="34" t="s">
        <v>181</v>
      </c>
      <c r="D2" s="36" t="s">
        <v>182</v>
      </c>
      <c r="E2" s="34" t="s">
        <v>28</v>
      </c>
      <c r="F2" s="34" t="s">
        <v>182</v>
      </c>
      <c r="G2" s="34" t="s">
        <v>28</v>
      </c>
      <c r="H2" s="34" t="s">
        <v>182</v>
      </c>
      <c r="I2" s="34" t="s">
        <v>28</v>
      </c>
      <c r="J2" s="34" t="s">
        <v>182</v>
      </c>
      <c r="K2" s="34" t="s">
        <v>28</v>
      </c>
      <c r="L2" s="34" t="s">
        <v>182</v>
      </c>
      <c r="M2" s="34" t="s">
        <v>28</v>
      </c>
      <c r="N2" s="36" t="s">
        <v>182</v>
      </c>
      <c r="O2" s="34" t="s">
        <v>28</v>
      </c>
      <c r="P2" s="36" t="s">
        <v>182</v>
      </c>
      <c r="Q2" s="34" t="s">
        <v>28</v>
      </c>
      <c r="R2" s="36" t="s">
        <v>182</v>
      </c>
      <c r="S2" s="34" t="s">
        <v>28</v>
      </c>
      <c r="T2" s="34" t="s">
        <v>182</v>
      </c>
      <c r="U2" s="34" t="s">
        <v>28</v>
      </c>
      <c r="V2" s="36" t="s">
        <v>182</v>
      </c>
      <c r="W2" s="34" t="s">
        <v>28</v>
      </c>
      <c r="X2" s="36" t="s">
        <v>182</v>
      </c>
      <c r="Y2" s="34" t="s">
        <v>28</v>
      </c>
      <c r="Z2" s="36" t="s">
        <v>182</v>
      </c>
      <c r="AA2" s="34" t="s">
        <v>28</v>
      </c>
      <c r="AB2" s="36" t="s">
        <v>182</v>
      </c>
      <c r="AC2" s="34" t="s">
        <v>28</v>
      </c>
      <c r="AD2" s="36" t="s">
        <v>182</v>
      </c>
      <c r="AE2" s="34" t="s">
        <v>28</v>
      </c>
      <c r="AF2" s="36" t="s">
        <v>182</v>
      </c>
      <c r="AG2" s="34" t="s">
        <v>28</v>
      </c>
      <c r="AH2" s="36" t="s">
        <v>182</v>
      </c>
      <c r="AI2" s="34" t="s">
        <v>28</v>
      </c>
      <c r="AJ2" s="36" t="s">
        <v>182</v>
      </c>
      <c r="AK2" s="34" t="s">
        <v>28</v>
      </c>
      <c r="AL2" s="37" t="s">
        <v>182</v>
      </c>
      <c r="AM2" s="34" t="s">
        <v>28</v>
      </c>
      <c r="AN2" s="36" t="s">
        <v>182</v>
      </c>
      <c r="AO2" s="34" t="s">
        <v>28</v>
      </c>
      <c r="AP2" s="34" t="s">
        <v>182</v>
      </c>
      <c r="AQ2" s="34" t="s">
        <v>28</v>
      </c>
      <c r="AR2" s="36" t="s">
        <v>182</v>
      </c>
      <c r="AS2" s="34" t="s">
        <v>28</v>
      </c>
      <c r="AT2" s="36" t="s">
        <v>182</v>
      </c>
      <c r="AU2" s="34" t="s">
        <v>28</v>
      </c>
    </row>
    <row r="3" spans="1:47" ht="14.45" customHeight="1" x14ac:dyDescent="0.25">
      <c r="A3" s="11">
        <v>1</v>
      </c>
      <c r="B3" s="1" t="s">
        <v>183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184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186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187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188</v>
      </c>
      <c r="C6" s="1" t="s">
        <v>191</v>
      </c>
      <c r="D6" s="24" t="s">
        <v>189</v>
      </c>
      <c r="E6" s="11">
        <f t="shared" si="0"/>
        <v>0</v>
      </c>
      <c r="F6" s="10" t="s">
        <v>190</v>
      </c>
      <c r="G6" s="11">
        <f t="shared" si="1"/>
        <v>0</v>
      </c>
      <c r="H6" s="10" t="s">
        <v>191</v>
      </c>
      <c r="I6" s="11">
        <f t="shared" si="2"/>
        <v>10</v>
      </c>
      <c r="J6" s="10" t="s">
        <v>190</v>
      </c>
      <c r="K6" s="11">
        <f t="shared" si="3"/>
        <v>0</v>
      </c>
      <c r="L6" s="10" t="s">
        <v>189</v>
      </c>
      <c r="M6" s="11">
        <f t="shared" si="4"/>
        <v>0</v>
      </c>
      <c r="N6" s="10" t="s">
        <v>189</v>
      </c>
      <c r="O6" s="11">
        <f t="shared" si="5"/>
        <v>0</v>
      </c>
      <c r="P6" s="10" t="s">
        <v>191</v>
      </c>
      <c r="Q6" s="11">
        <f t="shared" si="6"/>
        <v>10</v>
      </c>
      <c r="R6" s="10" t="s">
        <v>190</v>
      </c>
      <c r="S6" s="11">
        <f t="shared" si="7"/>
        <v>0</v>
      </c>
      <c r="T6" s="10" t="s">
        <v>191</v>
      </c>
      <c r="U6" s="11">
        <f t="shared" si="8"/>
        <v>10</v>
      </c>
      <c r="V6" s="10" t="s">
        <v>189</v>
      </c>
      <c r="W6" s="11">
        <f t="shared" si="9"/>
        <v>0</v>
      </c>
      <c r="X6" s="10" t="s">
        <v>191</v>
      </c>
      <c r="Y6" s="11">
        <f t="shared" si="10"/>
        <v>10</v>
      </c>
      <c r="Z6" s="10" t="s">
        <v>189</v>
      </c>
      <c r="AA6" s="11">
        <f t="shared" si="11"/>
        <v>0</v>
      </c>
      <c r="AB6" s="21" t="s">
        <v>190</v>
      </c>
      <c r="AC6" s="11">
        <f t="shared" si="12"/>
        <v>0</v>
      </c>
      <c r="AD6" s="10" t="s">
        <v>189</v>
      </c>
      <c r="AE6" s="11">
        <f t="shared" si="13"/>
        <v>0</v>
      </c>
      <c r="AF6" s="10" t="s">
        <v>191</v>
      </c>
      <c r="AG6" s="11">
        <f t="shared" si="14"/>
        <v>10</v>
      </c>
      <c r="AH6" s="10" t="s">
        <v>189</v>
      </c>
      <c r="AI6" s="11">
        <f t="shared" si="15"/>
        <v>0</v>
      </c>
      <c r="AJ6" s="10" t="s">
        <v>191</v>
      </c>
      <c r="AK6" s="11">
        <f t="shared" si="16"/>
        <v>10</v>
      </c>
      <c r="AL6" s="10" t="s">
        <v>191</v>
      </c>
      <c r="AM6" s="11">
        <f t="shared" si="17"/>
        <v>10</v>
      </c>
      <c r="AN6" s="10" t="s">
        <v>191</v>
      </c>
      <c r="AO6" s="11">
        <f t="shared" si="18"/>
        <v>10</v>
      </c>
      <c r="AP6" s="10" t="s">
        <v>191</v>
      </c>
      <c r="AQ6" s="11">
        <f t="shared" si="19"/>
        <v>10</v>
      </c>
      <c r="AR6" s="10" t="s">
        <v>290</v>
      </c>
      <c r="AS6" s="11">
        <f t="shared" si="20"/>
        <v>0</v>
      </c>
      <c r="AT6" s="10" t="s">
        <v>189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192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193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194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196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197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198</v>
      </c>
      <c r="C9" s="1"/>
      <c r="D9" s="10" t="s">
        <v>199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199</v>
      </c>
      <c r="I9" s="11" t="str">
        <f t="shared" si="2"/>
        <v/>
      </c>
      <c r="J9" s="10" t="s">
        <v>200</v>
      </c>
      <c r="K9" s="11" t="str">
        <f t="shared" si="3"/>
        <v/>
      </c>
      <c r="L9" s="10" t="s">
        <v>200</v>
      </c>
      <c r="M9" s="11" t="str">
        <f t="shared" si="4"/>
        <v/>
      </c>
      <c r="N9" s="10" t="s">
        <v>199</v>
      </c>
      <c r="O9" s="11" t="str">
        <f t="shared" si="5"/>
        <v/>
      </c>
      <c r="P9" s="10" t="s">
        <v>200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199</v>
      </c>
      <c r="U9" s="11" t="str">
        <f t="shared" si="8"/>
        <v/>
      </c>
      <c r="V9" s="10" t="s">
        <v>199</v>
      </c>
      <c r="W9" s="11" t="str">
        <f t="shared" si="9"/>
        <v/>
      </c>
      <c r="X9" s="10" t="s">
        <v>199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200</v>
      </c>
      <c r="AS9" s="11" t="str">
        <f t="shared" si="20"/>
        <v/>
      </c>
      <c r="AT9" s="10" t="s">
        <v>201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202</v>
      </c>
      <c r="C10" s="1"/>
      <c r="D10" s="10" t="s">
        <v>196</v>
      </c>
      <c r="E10" s="11" t="str">
        <f t="shared" si="0"/>
        <v/>
      </c>
      <c r="F10" s="10" t="s">
        <v>196</v>
      </c>
      <c r="G10" s="11" t="str">
        <f t="shared" si="1"/>
        <v/>
      </c>
      <c r="H10" s="10" t="s">
        <v>196</v>
      </c>
      <c r="I10" s="11" t="str">
        <f t="shared" si="2"/>
        <v/>
      </c>
      <c r="J10" s="10" t="s">
        <v>190</v>
      </c>
      <c r="K10" s="11" t="str">
        <f t="shared" si="3"/>
        <v/>
      </c>
      <c r="L10" s="10" t="s">
        <v>203</v>
      </c>
      <c r="M10" s="11" t="str">
        <f t="shared" si="4"/>
        <v/>
      </c>
      <c r="N10" s="10" t="s">
        <v>204</v>
      </c>
      <c r="O10" s="11" t="str">
        <f t="shared" si="5"/>
        <v/>
      </c>
      <c r="P10" s="10" t="s">
        <v>196</v>
      </c>
      <c r="Q10" s="11" t="str">
        <f t="shared" si="6"/>
        <v/>
      </c>
      <c r="R10" s="10" t="s">
        <v>196</v>
      </c>
      <c r="S10" s="11" t="str">
        <f t="shared" si="7"/>
        <v/>
      </c>
      <c r="T10" s="10" t="s">
        <v>205</v>
      </c>
      <c r="U10" s="11" t="str">
        <f t="shared" si="8"/>
        <v/>
      </c>
      <c r="V10" s="10" t="s">
        <v>206</v>
      </c>
      <c r="W10" s="11" t="str">
        <f t="shared" si="9"/>
        <v/>
      </c>
      <c r="X10" s="10" t="s">
        <v>191</v>
      </c>
      <c r="Y10" s="11" t="str">
        <f t="shared" si="10"/>
        <v/>
      </c>
      <c r="Z10" s="10" t="s">
        <v>196</v>
      </c>
      <c r="AA10" s="11" t="str">
        <f t="shared" si="11"/>
        <v/>
      </c>
      <c r="AB10" s="21" t="s">
        <v>196</v>
      </c>
      <c r="AC10" s="11" t="str">
        <f t="shared" si="12"/>
        <v/>
      </c>
      <c r="AD10" s="10" t="s">
        <v>196</v>
      </c>
      <c r="AE10" s="11" t="str">
        <f t="shared" si="13"/>
        <v/>
      </c>
      <c r="AF10" s="10" t="s">
        <v>196</v>
      </c>
      <c r="AG10" s="11" t="str">
        <f t="shared" si="14"/>
        <v/>
      </c>
      <c r="AH10" s="10" t="s">
        <v>196</v>
      </c>
      <c r="AI10" s="11" t="str">
        <f t="shared" si="15"/>
        <v/>
      </c>
      <c r="AJ10" s="10" t="s">
        <v>196</v>
      </c>
      <c r="AK10" s="11" t="str">
        <f t="shared" si="16"/>
        <v/>
      </c>
      <c r="AL10" s="10" t="s">
        <v>207</v>
      </c>
      <c r="AM10" s="11" t="str">
        <f t="shared" si="17"/>
        <v/>
      </c>
      <c r="AN10" s="10" t="s">
        <v>208</v>
      </c>
      <c r="AO10" s="11" t="str">
        <f t="shared" si="18"/>
        <v/>
      </c>
      <c r="AP10" s="10" t="s">
        <v>196</v>
      </c>
      <c r="AQ10" s="11" t="str">
        <f t="shared" si="19"/>
        <v/>
      </c>
      <c r="AR10" s="10" t="s">
        <v>208</v>
      </c>
      <c r="AS10" s="11" t="str">
        <f t="shared" si="20"/>
        <v/>
      </c>
      <c r="AT10" s="10" t="s">
        <v>209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210</v>
      </c>
      <c r="C11" s="1"/>
      <c r="D11" s="10" t="s">
        <v>204</v>
      </c>
      <c r="E11" s="11" t="str">
        <f t="shared" si="0"/>
        <v/>
      </c>
      <c r="F11" s="10" t="s">
        <v>211</v>
      </c>
      <c r="G11" s="11" t="str">
        <f t="shared" si="1"/>
        <v/>
      </c>
      <c r="H11" s="10" t="s">
        <v>204</v>
      </c>
      <c r="I11" s="11" t="str">
        <f t="shared" si="2"/>
        <v/>
      </c>
      <c r="J11" s="10" t="s">
        <v>189</v>
      </c>
      <c r="K11" s="11" t="str">
        <f t="shared" si="3"/>
        <v/>
      </c>
      <c r="L11" s="10" t="s">
        <v>212</v>
      </c>
      <c r="M11" s="11" t="str">
        <f t="shared" si="4"/>
        <v/>
      </c>
      <c r="N11" s="10" t="s">
        <v>207</v>
      </c>
      <c r="O11" s="11" t="str">
        <f t="shared" si="5"/>
        <v/>
      </c>
      <c r="P11" s="10" t="s">
        <v>204</v>
      </c>
      <c r="Q11" s="11" t="str">
        <f t="shared" si="6"/>
        <v/>
      </c>
      <c r="R11" s="10" t="s">
        <v>204</v>
      </c>
      <c r="S11" s="11" t="str">
        <f t="shared" si="7"/>
        <v/>
      </c>
      <c r="T11" s="10" t="s">
        <v>213</v>
      </c>
      <c r="U11" s="11" t="str">
        <f t="shared" si="8"/>
        <v/>
      </c>
      <c r="V11" s="10" t="s">
        <v>213</v>
      </c>
      <c r="W11" s="11" t="str">
        <f t="shared" si="9"/>
        <v/>
      </c>
      <c r="X11" s="10" t="s">
        <v>214</v>
      </c>
      <c r="Y11" s="11" t="str">
        <f t="shared" si="10"/>
        <v/>
      </c>
      <c r="Z11" s="10" t="s">
        <v>213</v>
      </c>
      <c r="AA11" s="11" t="str">
        <f t="shared" si="11"/>
        <v/>
      </c>
      <c r="AB11" s="21" t="s">
        <v>214</v>
      </c>
      <c r="AC11" s="11" t="str">
        <f t="shared" si="12"/>
        <v/>
      </c>
      <c r="AD11" s="10" t="s">
        <v>215</v>
      </c>
      <c r="AE11" s="11" t="str">
        <f t="shared" si="13"/>
        <v/>
      </c>
      <c r="AF11" s="10" t="s">
        <v>216</v>
      </c>
      <c r="AG11" s="11" t="str">
        <f t="shared" si="14"/>
        <v/>
      </c>
      <c r="AH11" s="10" t="s">
        <v>217</v>
      </c>
      <c r="AI11" s="11" t="str">
        <f t="shared" si="15"/>
        <v/>
      </c>
      <c r="AJ11" s="10" t="s">
        <v>204</v>
      </c>
      <c r="AK11" s="11" t="str">
        <f t="shared" si="16"/>
        <v/>
      </c>
      <c r="AL11" s="10" t="s">
        <v>218</v>
      </c>
      <c r="AM11" s="11" t="str">
        <f t="shared" si="17"/>
        <v/>
      </c>
      <c r="AN11" s="10" t="s">
        <v>207</v>
      </c>
      <c r="AO11" s="11" t="str">
        <f t="shared" si="18"/>
        <v/>
      </c>
      <c r="AP11" s="10" t="s">
        <v>219</v>
      </c>
      <c r="AQ11" s="11" t="str">
        <f t="shared" si="19"/>
        <v/>
      </c>
      <c r="AR11" s="10" t="s">
        <v>291</v>
      </c>
      <c r="AS11" s="11" t="str">
        <f t="shared" si="20"/>
        <v/>
      </c>
      <c r="AT11" s="10" t="s">
        <v>196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220</v>
      </c>
      <c r="C12" s="1"/>
      <c r="D12" s="10" t="s">
        <v>221</v>
      </c>
      <c r="E12" s="11" t="str">
        <f t="shared" si="0"/>
        <v/>
      </c>
      <c r="F12" s="10" t="s">
        <v>196</v>
      </c>
      <c r="G12" s="11" t="str">
        <f t="shared" si="1"/>
        <v/>
      </c>
      <c r="H12" s="10" t="s">
        <v>196</v>
      </c>
      <c r="I12" s="11" t="str">
        <f t="shared" si="2"/>
        <v/>
      </c>
      <c r="J12" s="10" t="s">
        <v>222</v>
      </c>
      <c r="K12" s="11" t="str">
        <f t="shared" si="3"/>
        <v/>
      </c>
      <c r="L12" s="10" t="s">
        <v>212</v>
      </c>
      <c r="M12" s="11" t="str">
        <f t="shared" si="4"/>
        <v/>
      </c>
      <c r="N12" s="10" t="s">
        <v>204</v>
      </c>
      <c r="O12" s="11" t="str">
        <f t="shared" si="5"/>
        <v/>
      </c>
      <c r="P12" s="10" t="s">
        <v>219</v>
      </c>
      <c r="Q12" s="11" t="str">
        <f t="shared" si="6"/>
        <v/>
      </c>
      <c r="R12" s="10" t="s">
        <v>223</v>
      </c>
      <c r="S12" s="11" t="str">
        <f t="shared" si="7"/>
        <v/>
      </c>
      <c r="T12" s="10" t="s">
        <v>207</v>
      </c>
      <c r="U12" s="11" t="str">
        <f t="shared" si="8"/>
        <v/>
      </c>
      <c r="V12" s="10" t="s">
        <v>196</v>
      </c>
      <c r="W12" s="11" t="str">
        <f t="shared" si="9"/>
        <v/>
      </c>
      <c r="X12" s="10" t="s">
        <v>191</v>
      </c>
      <c r="Y12" s="11" t="str">
        <f t="shared" si="10"/>
        <v/>
      </c>
      <c r="Z12" s="10" t="s">
        <v>213</v>
      </c>
      <c r="AA12" s="11" t="str">
        <f t="shared" si="11"/>
        <v/>
      </c>
      <c r="AB12" s="21" t="s">
        <v>196</v>
      </c>
      <c r="AC12" s="11" t="str">
        <f t="shared" si="12"/>
        <v/>
      </c>
      <c r="AD12" s="10" t="s">
        <v>224</v>
      </c>
      <c r="AE12" s="11" t="str">
        <f t="shared" si="13"/>
        <v/>
      </c>
      <c r="AF12" s="10" t="s">
        <v>196</v>
      </c>
      <c r="AG12" s="11" t="str">
        <f t="shared" si="14"/>
        <v/>
      </c>
      <c r="AH12" s="10" t="s">
        <v>196</v>
      </c>
      <c r="AI12" s="11" t="str">
        <f t="shared" si="15"/>
        <v/>
      </c>
      <c r="AJ12" s="10" t="s">
        <v>216</v>
      </c>
      <c r="AK12" s="11" t="str">
        <f t="shared" si="16"/>
        <v/>
      </c>
      <c r="AL12" s="10" t="s">
        <v>196</v>
      </c>
      <c r="AM12" s="11" t="str">
        <f t="shared" si="17"/>
        <v/>
      </c>
      <c r="AN12" s="10" t="s">
        <v>204</v>
      </c>
      <c r="AO12" s="11" t="str">
        <f t="shared" si="18"/>
        <v/>
      </c>
      <c r="AP12" s="10" t="s">
        <v>196</v>
      </c>
      <c r="AQ12" s="11" t="str">
        <f t="shared" si="19"/>
        <v/>
      </c>
      <c r="AR12" s="10" t="s">
        <v>219</v>
      </c>
      <c r="AS12" s="11" t="str">
        <f t="shared" si="20"/>
        <v/>
      </c>
      <c r="AT12" s="10" t="s">
        <v>209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225</v>
      </c>
      <c r="C13" s="1"/>
      <c r="D13" s="10" t="s">
        <v>204</v>
      </c>
      <c r="E13" s="11" t="str">
        <f t="shared" si="0"/>
        <v/>
      </c>
      <c r="F13" s="10" t="s">
        <v>214</v>
      </c>
      <c r="G13" s="11" t="str">
        <f t="shared" si="1"/>
        <v/>
      </c>
      <c r="H13" s="10" t="s">
        <v>204</v>
      </c>
      <c r="I13" s="11" t="str">
        <f t="shared" si="2"/>
        <v/>
      </c>
      <c r="J13" s="10" t="s">
        <v>204</v>
      </c>
      <c r="K13" s="11" t="str">
        <f t="shared" si="3"/>
        <v/>
      </c>
      <c r="L13" s="10" t="s">
        <v>228</v>
      </c>
      <c r="M13" s="11" t="str">
        <f t="shared" si="4"/>
        <v/>
      </c>
      <c r="N13" s="10" t="s">
        <v>226</v>
      </c>
      <c r="O13" s="11" t="str">
        <f t="shared" si="5"/>
        <v/>
      </c>
      <c r="P13" s="10" t="s">
        <v>227</v>
      </c>
      <c r="Q13" s="11" t="str">
        <f t="shared" si="6"/>
        <v/>
      </c>
      <c r="R13" s="21" t="s">
        <v>204</v>
      </c>
      <c r="S13" s="11" t="str">
        <f t="shared" si="7"/>
        <v/>
      </c>
      <c r="T13" s="10" t="s">
        <v>204</v>
      </c>
      <c r="U13" s="11" t="str">
        <f t="shared" si="8"/>
        <v/>
      </c>
      <c r="V13" s="10" t="s">
        <v>204</v>
      </c>
      <c r="W13" s="11" t="str">
        <f t="shared" si="9"/>
        <v/>
      </c>
      <c r="X13" s="10" t="s">
        <v>204</v>
      </c>
      <c r="Y13" s="11" t="str">
        <f t="shared" si="10"/>
        <v/>
      </c>
      <c r="Z13" s="10" t="s">
        <v>204</v>
      </c>
      <c r="AA13" s="11" t="str">
        <f t="shared" si="11"/>
        <v/>
      </c>
      <c r="AB13" s="21" t="s">
        <v>204</v>
      </c>
      <c r="AC13" s="11" t="str">
        <f t="shared" si="12"/>
        <v/>
      </c>
      <c r="AD13" s="10" t="s">
        <v>214</v>
      </c>
      <c r="AE13" s="11" t="str">
        <f t="shared" si="13"/>
        <v/>
      </c>
      <c r="AF13" s="10" t="s">
        <v>216</v>
      </c>
      <c r="AG13" s="11" t="str">
        <f t="shared" si="14"/>
        <v/>
      </c>
      <c r="AH13" s="10" t="s">
        <v>228</v>
      </c>
      <c r="AI13" s="11" t="str">
        <f t="shared" si="15"/>
        <v/>
      </c>
      <c r="AJ13" s="10" t="s">
        <v>204</v>
      </c>
      <c r="AK13" s="11" t="str">
        <f t="shared" si="16"/>
        <v/>
      </c>
      <c r="AL13" s="10" t="s">
        <v>204</v>
      </c>
      <c r="AM13" s="11" t="str">
        <f t="shared" si="17"/>
        <v/>
      </c>
      <c r="AN13" s="10" t="s">
        <v>229</v>
      </c>
      <c r="AO13" s="11" t="str">
        <f t="shared" si="18"/>
        <v/>
      </c>
      <c r="AP13" s="10" t="s">
        <v>204</v>
      </c>
      <c r="AQ13" s="11" t="str">
        <f t="shared" si="19"/>
        <v/>
      </c>
      <c r="AR13" s="10" t="s">
        <v>292</v>
      </c>
      <c r="AS13" s="11" t="str">
        <f t="shared" si="20"/>
        <v/>
      </c>
      <c r="AT13" s="10" t="s">
        <v>209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230</v>
      </c>
      <c r="C14" s="1"/>
      <c r="D14" s="10" t="s">
        <v>231</v>
      </c>
      <c r="E14" s="11" t="str">
        <f t="shared" si="0"/>
        <v/>
      </c>
      <c r="F14" s="10" t="s">
        <v>232</v>
      </c>
      <c r="G14" s="11" t="str">
        <f t="shared" si="1"/>
        <v/>
      </c>
      <c r="H14" s="10" t="s">
        <v>233</v>
      </c>
      <c r="I14" s="11" t="str">
        <f t="shared" si="2"/>
        <v/>
      </c>
      <c r="J14" s="10" t="s">
        <v>234</v>
      </c>
      <c r="K14" s="11" t="str">
        <f t="shared" si="3"/>
        <v/>
      </c>
      <c r="L14" s="10" t="s">
        <v>235</v>
      </c>
      <c r="M14" s="11" t="str">
        <f t="shared" si="4"/>
        <v/>
      </c>
      <c r="N14" s="10" t="s">
        <v>236</v>
      </c>
      <c r="O14" s="11" t="str">
        <f t="shared" si="5"/>
        <v/>
      </c>
      <c r="P14" s="10" t="s">
        <v>234</v>
      </c>
      <c r="Q14" s="11" t="str">
        <f t="shared" si="6"/>
        <v/>
      </c>
      <c r="R14" s="10" t="s">
        <v>233</v>
      </c>
      <c r="S14" s="11" t="str">
        <f t="shared" si="7"/>
        <v/>
      </c>
      <c r="T14" s="10" t="s">
        <v>234</v>
      </c>
      <c r="U14" s="11" t="str">
        <f t="shared" si="8"/>
        <v/>
      </c>
      <c r="V14" s="10" t="s">
        <v>233</v>
      </c>
      <c r="W14" s="11" t="str">
        <f t="shared" si="9"/>
        <v/>
      </c>
      <c r="X14" s="10" t="s">
        <v>235</v>
      </c>
      <c r="Y14" s="11" t="str">
        <f t="shared" si="10"/>
        <v/>
      </c>
      <c r="Z14" s="10" t="s">
        <v>236</v>
      </c>
      <c r="AA14" s="11" t="str">
        <f t="shared" si="11"/>
        <v/>
      </c>
      <c r="AB14" s="21" t="s">
        <v>231</v>
      </c>
      <c r="AC14" s="11" t="str">
        <f t="shared" si="12"/>
        <v/>
      </c>
      <c r="AD14" s="10" t="s">
        <v>232</v>
      </c>
      <c r="AE14" s="11" t="str">
        <f t="shared" si="13"/>
        <v/>
      </c>
      <c r="AF14" s="10" t="s">
        <v>232</v>
      </c>
      <c r="AG14" s="11" t="str">
        <f t="shared" si="14"/>
        <v/>
      </c>
      <c r="AH14" s="10" t="s">
        <v>236</v>
      </c>
      <c r="AI14" s="11" t="str">
        <f t="shared" si="15"/>
        <v/>
      </c>
      <c r="AJ14" s="10" t="s">
        <v>237</v>
      </c>
      <c r="AK14" s="11" t="str">
        <f t="shared" si="16"/>
        <v/>
      </c>
      <c r="AL14" s="10" t="s">
        <v>238</v>
      </c>
      <c r="AM14" s="11" t="str">
        <f t="shared" si="17"/>
        <v/>
      </c>
      <c r="AN14" s="10" t="s">
        <v>238</v>
      </c>
      <c r="AO14" s="11" t="str">
        <f t="shared" si="18"/>
        <v/>
      </c>
      <c r="AP14" s="10" t="s">
        <v>235</v>
      </c>
      <c r="AQ14" s="11" t="str">
        <f t="shared" si="19"/>
        <v/>
      </c>
      <c r="AR14" s="10" t="s">
        <v>238</v>
      </c>
      <c r="AS14" s="11" t="str">
        <f t="shared" si="20"/>
        <v/>
      </c>
      <c r="AT14" s="10" t="s">
        <v>234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239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193</v>
      </c>
      <c r="AO15" s="11" t="str">
        <f t="shared" si="18"/>
        <v/>
      </c>
      <c r="AP15" s="10" t="s">
        <v>240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241</v>
      </c>
      <c r="C16" s="1"/>
      <c r="D16" s="10" t="s">
        <v>242</v>
      </c>
      <c r="E16" s="11" t="str">
        <f t="shared" si="0"/>
        <v/>
      </c>
      <c r="F16" s="10" t="s">
        <v>243</v>
      </c>
      <c r="G16" s="11" t="str">
        <f t="shared" si="1"/>
        <v/>
      </c>
      <c r="H16" s="10" t="s">
        <v>244</v>
      </c>
      <c r="I16" s="11" t="str">
        <f t="shared" si="2"/>
        <v/>
      </c>
      <c r="J16" s="10" t="s">
        <v>245</v>
      </c>
      <c r="K16" s="11" t="str">
        <f t="shared" si="3"/>
        <v/>
      </c>
      <c r="L16" s="10" t="s">
        <v>245</v>
      </c>
      <c r="M16" s="11" t="str">
        <f t="shared" si="4"/>
        <v/>
      </c>
      <c r="N16" s="10" t="s">
        <v>242</v>
      </c>
      <c r="O16" s="11" t="str">
        <f t="shared" si="5"/>
        <v/>
      </c>
      <c r="P16" s="10" t="s">
        <v>243</v>
      </c>
      <c r="Q16" s="11" t="str">
        <f t="shared" si="6"/>
        <v/>
      </c>
      <c r="R16" s="10" t="s">
        <v>243</v>
      </c>
      <c r="S16" s="11" t="str">
        <f t="shared" si="7"/>
        <v/>
      </c>
      <c r="T16" s="10" t="s">
        <v>246</v>
      </c>
      <c r="U16" s="11" t="str">
        <f t="shared" si="8"/>
        <v/>
      </c>
      <c r="V16" s="10" t="s">
        <v>243</v>
      </c>
      <c r="W16" s="11" t="str">
        <f t="shared" si="9"/>
        <v/>
      </c>
      <c r="X16" s="10" t="s">
        <v>243</v>
      </c>
      <c r="Y16" s="11" t="str">
        <f t="shared" si="10"/>
        <v/>
      </c>
      <c r="Z16" s="25" t="s">
        <v>245</v>
      </c>
      <c r="AA16" s="11" t="str">
        <f t="shared" si="11"/>
        <v/>
      </c>
      <c r="AB16" s="21" t="s">
        <v>243</v>
      </c>
      <c r="AC16" s="11" t="str">
        <f t="shared" si="12"/>
        <v/>
      </c>
      <c r="AD16" s="10" t="s">
        <v>247</v>
      </c>
      <c r="AE16" s="11" t="str">
        <f t="shared" si="13"/>
        <v/>
      </c>
      <c r="AF16" s="10" t="s">
        <v>243</v>
      </c>
      <c r="AG16" s="11" t="str">
        <f t="shared" si="14"/>
        <v/>
      </c>
      <c r="AH16" s="10" t="s">
        <v>244</v>
      </c>
      <c r="AI16" s="11" t="str">
        <f t="shared" si="15"/>
        <v/>
      </c>
      <c r="AJ16" s="10" t="s">
        <v>243</v>
      </c>
      <c r="AK16" s="11" t="str">
        <f t="shared" si="16"/>
        <v/>
      </c>
      <c r="AL16" s="27" t="s">
        <v>242</v>
      </c>
      <c r="AM16" s="11" t="str">
        <f t="shared" si="17"/>
        <v/>
      </c>
      <c r="AN16" s="10" t="s">
        <v>244</v>
      </c>
      <c r="AO16" s="11" t="str">
        <f t="shared" si="18"/>
        <v/>
      </c>
      <c r="AP16" s="10" t="s">
        <v>243</v>
      </c>
      <c r="AQ16" s="11" t="str">
        <f t="shared" si="19"/>
        <v/>
      </c>
      <c r="AR16" s="10" t="s">
        <v>293</v>
      </c>
      <c r="AS16" s="11" t="str">
        <f t="shared" si="20"/>
        <v/>
      </c>
      <c r="AT16" s="10" t="s">
        <v>244</v>
      </c>
      <c r="AU16" s="11" t="str">
        <f t="shared" si="21"/>
        <v/>
      </c>
    </row>
    <row r="17" spans="1:47" ht="14.45" customHeight="1" x14ac:dyDescent="0.25">
      <c r="A17" s="11"/>
      <c r="B17" s="14" t="s">
        <v>248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C44" sqref="C44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249</v>
      </c>
      <c r="B1" s="16"/>
      <c r="C1" s="16"/>
      <c r="D1" s="16"/>
      <c r="E1" s="16"/>
    </row>
    <row r="2" spans="1:5" ht="18" customHeight="1" x14ac:dyDescent="0.25">
      <c r="A2" s="38" t="s">
        <v>250</v>
      </c>
      <c r="B2" s="38" t="s">
        <v>251</v>
      </c>
      <c r="C2" s="38" t="s">
        <v>252</v>
      </c>
      <c r="D2" s="38" t="s">
        <v>253</v>
      </c>
      <c r="E2" s="38" t="s">
        <v>254</v>
      </c>
    </row>
    <row r="3" spans="1:5" ht="18" customHeight="1" x14ac:dyDescent="0.25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431</v>
      </c>
      <c r="D3" s="11">
        <f>Bonus_beheer!E17</f>
        <v>0</v>
      </c>
      <c r="E3" s="11">
        <f>C3+D3</f>
        <v>431</v>
      </c>
    </row>
    <row r="4" spans="1:5" ht="18" customHeight="1" x14ac:dyDescent="0.25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420</v>
      </c>
      <c r="D4" s="11">
        <f>Bonus_beheer!U17</f>
        <v>10</v>
      </c>
      <c r="E4" s="11">
        <f>C4+D4</f>
        <v>430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424</v>
      </c>
      <c r="D5" s="11">
        <f>Bonus_beheer!AE17</f>
        <v>0</v>
      </c>
      <c r="E5" s="11">
        <f>C5+D5</f>
        <v>424</v>
      </c>
    </row>
    <row r="6" spans="1:5" ht="18" customHeight="1" x14ac:dyDescent="0.25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405</v>
      </c>
      <c r="D6" s="11">
        <f>Bonus_beheer!AO17</f>
        <v>10</v>
      </c>
      <c r="E6" s="11">
        <f>C6+D6</f>
        <v>415</v>
      </c>
    </row>
    <row r="7" spans="1:5" ht="18" customHeight="1" x14ac:dyDescent="0.25">
      <c r="A7" s="11">
        <f>_xlfn.RANK.EQ(E7,$E$3:$E$90,0)</f>
        <v>5</v>
      </c>
      <c r="B7" s="1" t="str">
        <f>Wedstrijden_beheer!AK1</f>
        <v>Kim</v>
      </c>
      <c r="C7" s="11">
        <f>SUM(Wedstrijden_beheer!AL3:'Wedstrijden_beheer'!AL194)</f>
        <v>404</v>
      </c>
      <c r="D7" s="11">
        <f>Bonus_beheer!AK17</f>
        <v>10</v>
      </c>
      <c r="E7" s="11">
        <f>C7+D7</f>
        <v>414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402</v>
      </c>
      <c r="D8" s="11">
        <f>Bonus_beheer!I17</f>
        <v>10</v>
      </c>
      <c r="E8" s="11">
        <f>C8+D8</f>
        <v>412</v>
      </c>
    </row>
    <row r="9" spans="1:5" ht="18" customHeight="1" x14ac:dyDescent="0.25">
      <c r="A9" s="11">
        <f>_xlfn.RANK.EQ(E9,$E$3:$E$90,0)</f>
        <v>7</v>
      </c>
      <c r="B9" s="1" t="str">
        <f>Wedstrijden_beheer!AA1</f>
        <v>Ivo</v>
      </c>
      <c r="C9" s="11">
        <f>SUM(Wedstrijden_beheer!AB3:'Wedstrijden_beheer'!AB194)</f>
        <v>406</v>
      </c>
      <c r="D9" s="11">
        <f>Bonus_beheer!AA17</f>
        <v>0</v>
      </c>
      <c r="E9" s="11">
        <f>C9+D9</f>
        <v>406</v>
      </c>
    </row>
    <row r="10" spans="1:5" ht="18" customHeight="1" x14ac:dyDescent="0.25">
      <c r="A10" s="11">
        <f>_xlfn.RANK.EQ(E10,$E$3:$E$90,0)</f>
        <v>8</v>
      </c>
      <c r="B10" s="1" t="str">
        <f>Wedstrijden_beheer!Y1</f>
        <v>Lesley</v>
      </c>
      <c r="C10" s="11">
        <f>SUM(Wedstrijden_beheer!Z3:'Wedstrijden_beheer'!Z194)</f>
        <v>395</v>
      </c>
      <c r="D10" s="11">
        <f>Bonus_beheer!Y17</f>
        <v>10</v>
      </c>
      <c r="E10" s="11">
        <f>C10+D10</f>
        <v>405</v>
      </c>
    </row>
    <row r="11" spans="1:5" ht="18" customHeight="1" x14ac:dyDescent="0.25">
      <c r="A11" s="11">
        <f>_xlfn.RANK.EQ(E11,$E$3:$E$90,0)</f>
        <v>9</v>
      </c>
      <c r="B11" s="1" t="str">
        <f>Wedstrijden_beheer!W1</f>
        <v>Jos</v>
      </c>
      <c r="C11" s="11">
        <f>SUM(Wedstrijden_beheer!X3:'Wedstrijden_beheer'!X194)</f>
        <v>390</v>
      </c>
      <c r="D11" s="11">
        <f>Bonus_beheer!W17</f>
        <v>10</v>
      </c>
      <c r="E11" s="11">
        <f>C11+D11</f>
        <v>400</v>
      </c>
    </row>
    <row r="12" spans="1:5" ht="18" customHeight="1" x14ac:dyDescent="0.25">
      <c r="A12" s="11">
        <f>_xlfn.RANK.EQ(E12,$E$3:$E$90,0)</f>
        <v>10</v>
      </c>
      <c r="B12" s="1" t="str">
        <f>Wedstrijden_beheer!AG1</f>
        <v>Erwin</v>
      </c>
      <c r="C12" s="11">
        <f>SUM(Wedstrijden_beheer!AH3:'Wedstrijden_beheer'!AH194)</f>
        <v>382</v>
      </c>
      <c r="D12" s="11">
        <f>Bonus_beheer!AG17</f>
        <v>10</v>
      </c>
      <c r="E12" s="11">
        <f>C12+D12</f>
        <v>392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381</v>
      </c>
      <c r="D13" s="11">
        <f>Bonus_beheer!AM17</f>
        <v>10</v>
      </c>
      <c r="E13" s="11">
        <f>C13+D13</f>
        <v>391</v>
      </c>
    </row>
    <row r="14" spans="1:5" ht="18" customHeight="1" x14ac:dyDescent="0.25">
      <c r="A14" s="11">
        <f>_xlfn.RANK.EQ(E14,$E$3:$E$90,0)</f>
        <v>12</v>
      </c>
      <c r="B14" s="1" t="str">
        <f>Wedstrijden_beheer!O1</f>
        <v>Maik</v>
      </c>
      <c r="C14" s="11">
        <f>SUM(Wedstrijden_beheer!P3:'Wedstrijden_beheer'!P194)</f>
        <v>377</v>
      </c>
      <c r="D14" s="11">
        <f>Bonus_beheer!O17</f>
        <v>10</v>
      </c>
      <c r="E14" s="11">
        <f>C14+D14</f>
        <v>387</v>
      </c>
    </row>
    <row r="15" spans="1:5" ht="18" customHeight="1" x14ac:dyDescent="0.25">
      <c r="A15" s="11">
        <f>_xlfn.RANK.EQ(E15,$E$3:$E$90,0)</f>
        <v>13</v>
      </c>
      <c r="B15" s="1" t="str">
        <f>Wedstrijden_beheer!AQ1</f>
        <v>Jeno</v>
      </c>
      <c r="C15" s="11">
        <f>SUM(Wedstrijden_beheer!AV4:'Wedstrijden_beheer'!AV195)</f>
        <v>371</v>
      </c>
      <c r="D15" s="11">
        <f>Bonus_beheer!AU18</f>
        <v>0</v>
      </c>
      <c r="E15" s="11">
        <f>C15+D15</f>
        <v>371</v>
      </c>
    </row>
    <row r="16" spans="1:5" ht="18" customHeight="1" x14ac:dyDescent="0.25">
      <c r="A16" s="11">
        <f>_xlfn.RANK.EQ(E16,$E$3:$E$90,0)</f>
        <v>13</v>
      </c>
      <c r="B16" s="1" t="str">
        <f>Wedstrijden_beheer!AU1</f>
        <v>Raymond</v>
      </c>
      <c r="C16" s="11">
        <f>SUM(Wedstrijden_beheer!AV3:'Wedstrijden_beheer'!AV194)</f>
        <v>371</v>
      </c>
      <c r="D16" s="11">
        <f>Bonus_beheer!AU17</f>
        <v>0</v>
      </c>
      <c r="E16" s="11">
        <f>C16+D16</f>
        <v>371</v>
      </c>
    </row>
    <row r="17" spans="1:5" ht="18" customHeight="1" x14ac:dyDescent="0.25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365</v>
      </c>
      <c r="D17" s="11">
        <f>Bonus_beheer!G17</f>
        <v>0</v>
      </c>
      <c r="E17" s="11">
        <f>C17+D17</f>
        <v>365</v>
      </c>
    </row>
    <row r="18" spans="1:5" ht="18" customHeight="1" x14ac:dyDescent="0.25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350</v>
      </c>
      <c r="D18" s="11">
        <f>Bonus_beheer!AC17</f>
        <v>0</v>
      </c>
      <c r="E18" s="11">
        <f>C18+D18</f>
        <v>350</v>
      </c>
    </row>
    <row r="19" spans="1:5" ht="18" customHeight="1" x14ac:dyDescent="0.25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329</v>
      </c>
      <c r="D19" s="11">
        <f>Bonus_beheer!M17</f>
        <v>10</v>
      </c>
      <c r="E19" s="11">
        <f>C19+D19</f>
        <v>339</v>
      </c>
    </row>
    <row r="20" spans="1:5" ht="18" customHeight="1" x14ac:dyDescent="0.25">
      <c r="A20" s="11">
        <f>_xlfn.RANK.EQ(E20,$E$3:$E$90,0)</f>
        <v>18</v>
      </c>
      <c r="B20" s="1" t="str">
        <f>Wedstrijden_beheer!AI1</f>
        <v>Tim</v>
      </c>
      <c r="C20" s="11">
        <f>SUM(Wedstrijden_beheer!AJ3:'Wedstrijden_beheer'!AJ194)</f>
        <v>328</v>
      </c>
      <c r="D20" s="11">
        <f>Bonus_beheer!AI17</f>
        <v>10</v>
      </c>
      <c r="E20" s="11">
        <f>C20+D20</f>
        <v>338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318</v>
      </c>
      <c r="D21" s="11">
        <f>Bonus_beheer!Q17</f>
        <v>10</v>
      </c>
      <c r="E21" s="11">
        <f>C21+D21</f>
        <v>328</v>
      </c>
    </row>
    <row r="22" spans="1:5" ht="18" customHeight="1" x14ac:dyDescent="0.25">
      <c r="A22" s="11">
        <f>_xlfn.RANK.EQ(E22,$E$3:$E$90,0)</f>
        <v>20</v>
      </c>
      <c r="B22" s="1" t="str">
        <f>Wedstrijden_beheer!K1</f>
        <v>Karsten</v>
      </c>
      <c r="C22" s="11">
        <f>SUM(Wedstrijden_beheer!L3:'Wedstrijden_beheer'!L194)</f>
        <v>326</v>
      </c>
      <c r="D22" s="11">
        <f>Bonus_beheer!K17</f>
        <v>0</v>
      </c>
      <c r="E22" s="11">
        <f>C22+D22</f>
        <v>326</v>
      </c>
    </row>
    <row r="23" spans="1:5" x14ac:dyDescent="0.25">
      <c r="A23" s="11">
        <f>_xlfn.RANK.EQ(E23,$E$3:$E$90,0)</f>
        <v>21</v>
      </c>
      <c r="B23" s="1" t="str">
        <f>Wedstrijden_beheer!S1</f>
        <v>Marc</v>
      </c>
      <c r="C23" s="11">
        <f>SUM(Wedstrijden_beheer!T3:'Wedstrijden_beheer'!T194)</f>
        <v>319</v>
      </c>
      <c r="D23" s="11">
        <f>Bonus_beheer!S17</f>
        <v>0</v>
      </c>
      <c r="E23" s="11">
        <f>C23+D23</f>
        <v>319</v>
      </c>
    </row>
    <row r="24" spans="1:5" x14ac:dyDescent="0.25">
      <c r="A24" s="11">
        <f>_xlfn.RANK.EQ(E24,$E$3:$E$90,0)</f>
        <v>22</v>
      </c>
      <c r="B24" s="1" t="str">
        <f>Wedstrijden_beheer!AS1</f>
        <v>Andre</v>
      </c>
      <c r="C24" s="11">
        <f>SUM(Wedstrijden_beheer!R4:'Wedstrijden_beheer'!R195)</f>
        <v>318</v>
      </c>
      <c r="D24" s="11">
        <f>Bonus_beheer!Q18</f>
        <v>0</v>
      </c>
      <c r="E24" s="11">
        <f>C24+D24</f>
        <v>318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255</v>
      </c>
      <c r="B1" s="16"/>
    </row>
    <row r="2" spans="1:2" ht="18" customHeight="1" x14ac:dyDescent="0.25">
      <c r="A2" s="38" t="s">
        <v>256</v>
      </c>
      <c r="B2" s="38" t="s">
        <v>257</v>
      </c>
    </row>
    <row r="3" spans="1:2" ht="18" customHeight="1" x14ac:dyDescent="0.25">
      <c r="A3" s="1" t="s">
        <v>258</v>
      </c>
      <c r="B3" s="1" t="s">
        <v>259</v>
      </c>
    </row>
    <row r="4" spans="1:2" ht="18" customHeight="1" x14ac:dyDescent="0.25">
      <c r="A4" s="1" t="s">
        <v>260</v>
      </c>
      <c r="B4" s="1" t="s">
        <v>259</v>
      </c>
    </row>
    <row r="5" spans="1:2" ht="18" customHeight="1" x14ac:dyDescent="0.25">
      <c r="A5" s="1" t="s">
        <v>261</v>
      </c>
      <c r="B5" s="1" t="s">
        <v>262</v>
      </c>
    </row>
    <row r="6" spans="1:2" ht="18" customHeight="1" x14ac:dyDescent="0.25">
      <c r="A6" s="1" t="s">
        <v>263</v>
      </c>
      <c r="B6" s="1" t="s">
        <v>264</v>
      </c>
    </row>
    <row r="7" spans="1:2" ht="18" customHeight="1" x14ac:dyDescent="0.25">
      <c r="A7" s="1" t="s">
        <v>265</v>
      </c>
      <c r="B7" s="1" t="s">
        <v>266</v>
      </c>
    </row>
    <row r="8" spans="1:2" ht="18" customHeight="1" x14ac:dyDescent="0.25">
      <c r="A8" s="1" t="s">
        <v>267</v>
      </c>
      <c r="B8" s="1" t="s">
        <v>268</v>
      </c>
    </row>
    <row r="9" spans="1:2" ht="18" customHeight="1" x14ac:dyDescent="0.25">
      <c r="A9" s="1" t="s">
        <v>269</v>
      </c>
      <c r="B9" s="1" t="s">
        <v>270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271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8" t="s">
        <v>256</v>
      </c>
      <c r="B2" s="38" t="s">
        <v>28</v>
      </c>
      <c r="C2" s="38" t="s">
        <v>272</v>
      </c>
    </row>
    <row r="3" spans="1:44" ht="18" customHeight="1" x14ac:dyDescent="0.25">
      <c r="A3" s="1" t="s">
        <v>273</v>
      </c>
      <c r="B3" s="1">
        <v>10</v>
      </c>
      <c r="C3" s="1" t="s">
        <v>274</v>
      </c>
    </row>
    <row r="4" spans="1:44" ht="18" customHeight="1" x14ac:dyDescent="0.25">
      <c r="A4" s="1" t="s">
        <v>275</v>
      </c>
      <c r="B4" s="1">
        <v>5</v>
      </c>
      <c r="C4" s="1" t="s">
        <v>276</v>
      </c>
    </row>
    <row r="5" spans="1:44" ht="18" customHeight="1" x14ac:dyDescent="0.25">
      <c r="A5" s="1" t="s">
        <v>277</v>
      </c>
      <c r="B5" s="1">
        <v>2</v>
      </c>
      <c r="C5" s="1" t="s">
        <v>278</v>
      </c>
    </row>
    <row r="6" spans="1:44" ht="18" customHeight="1" x14ac:dyDescent="0.25">
      <c r="A6" s="1" t="s">
        <v>279</v>
      </c>
      <c r="B6" s="1">
        <v>2</v>
      </c>
      <c r="C6" s="1" t="s">
        <v>280</v>
      </c>
    </row>
    <row r="7" spans="1:44" ht="18" customHeight="1" x14ac:dyDescent="0.25">
      <c r="A7" s="1" t="s">
        <v>281</v>
      </c>
      <c r="B7" s="1">
        <v>2</v>
      </c>
      <c r="C7" s="1" t="s">
        <v>282</v>
      </c>
    </row>
    <row r="8" spans="1:44" ht="18" customHeight="1" x14ac:dyDescent="0.25">
      <c r="A8" s="1" t="s">
        <v>283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284</v>
      </c>
      <c r="B1" s="22" t="s">
        <v>285</v>
      </c>
      <c r="C1" s="22" t="s">
        <v>286</v>
      </c>
    </row>
    <row r="2" spans="1:3" x14ac:dyDescent="0.25">
      <c r="A2" t="s">
        <v>287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288</v>
      </c>
      <c r="C5" t="s">
        <v>289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2026-07-02T05:59:23Z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