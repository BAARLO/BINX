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38" documentId="13_ncr:1_{E3B635D9-D5C4-4B81-9F43-C2CD39A8463F}" xr6:coauthVersionLast="47" xr6:coauthVersionMax="47" xr10:uidLastSave="{8189BF48-3314-49F1-99D0-BA7969191D60}"/>
  <bookViews>
    <workbookView xWindow="-23148" yWindow="2808" windowWidth="23256" windowHeight="13896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60" i="1" l="1"/>
  <c r="Z160" i="1"/>
  <c r="AD159" i="1"/>
  <c r="Z159" i="1"/>
  <c r="AV158" i="1"/>
  <c r="AT158" i="1"/>
  <c r="AR158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F158" i="1"/>
  <c r="AV155" i="1"/>
  <c r="AT155" i="1"/>
  <c r="AR155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F155" i="1"/>
  <c r="AV154" i="1"/>
  <c r="AT154" i="1"/>
  <c r="AR154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F154" i="1"/>
  <c r="AV151" i="1" l="1"/>
  <c r="AT151" i="1"/>
  <c r="AR151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F151" i="1"/>
  <c r="AV148" i="1"/>
  <c r="AT148" i="1"/>
  <c r="AR148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F148" i="1"/>
  <c r="AV147" i="1"/>
  <c r="AT147" i="1"/>
  <c r="AR147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F147" i="1"/>
  <c r="AX142" i="1" l="1"/>
  <c r="AW142" i="1"/>
  <c r="AX141" i="1"/>
  <c r="AW141" i="1"/>
  <c r="AX138" i="1"/>
  <c r="AW138" i="1"/>
  <c r="AX137" i="1"/>
  <c r="AW137" i="1"/>
  <c r="AX136" i="1"/>
  <c r="AW136" i="1"/>
  <c r="AX133" i="1"/>
  <c r="AW133" i="1"/>
  <c r="AX132" i="1"/>
  <c r="AW132" i="1"/>
  <c r="AX129" i="1"/>
  <c r="AW129" i="1"/>
  <c r="AX128" i="1"/>
  <c r="AW128" i="1"/>
  <c r="AX127" i="1"/>
  <c r="AW127" i="1"/>
  <c r="AX124" i="1"/>
  <c r="AW124" i="1"/>
  <c r="AX123" i="1"/>
  <c r="AW123" i="1"/>
  <c r="AX122" i="1"/>
  <c r="AW122" i="1"/>
  <c r="AX119" i="1"/>
  <c r="AW119" i="1"/>
  <c r="AX118" i="1"/>
  <c r="AW118" i="1"/>
  <c r="AX115" i="1"/>
  <c r="AW115" i="1"/>
  <c r="AV142" i="1" l="1"/>
  <c r="R142" i="1"/>
  <c r="F142" i="1"/>
  <c r="AN142" i="1"/>
  <c r="AJ142" i="1"/>
  <c r="AL142" i="1"/>
  <c r="J142" i="1"/>
  <c r="AP142" i="1"/>
  <c r="L142" i="1"/>
  <c r="AR142" i="1"/>
  <c r="N142" i="1"/>
  <c r="P142" i="1"/>
  <c r="AT142" i="1"/>
  <c r="T142" i="1"/>
  <c r="V142" i="1"/>
  <c r="H142" i="1"/>
  <c r="X142" i="1"/>
  <c r="H133" i="1"/>
  <c r="F129" i="1"/>
  <c r="AV137" i="1"/>
  <c r="Z142" i="1"/>
  <c r="H138" i="1"/>
  <c r="AB142" i="1"/>
  <c r="AT122" i="1"/>
  <c r="AD142" i="1"/>
  <c r="N118" i="1"/>
  <c r="J138" i="1"/>
  <c r="T138" i="1"/>
  <c r="R138" i="1"/>
  <c r="AT132" i="1"/>
  <c r="AR122" i="1"/>
  <c r="AF138" i="1"/>
  <c r="AP122" i="1"/>
  <c r="AF136" i="1"/>
  <c r="V138" i="1"/>
  <c r="AL138" i="1"/>
  <c r="AR138" i="1"/>
  <c r="AJ138" i="1"/>
  <c r="AH141" i="1"/>
  <c r="AT124" i="1"/>
  <c r="AF137" i="1"/>
  <c r="AJ127" i="1"/>
  <c r="N133" i="1"/>
  <c r="X118" i="1"/>
  <c r="AT118" i="1"/>
  <c r="AJ136" i="1"/>
  <c r="N138" i="1"/>
  <c r="X138" i="1"/>
  <c r="AF142" i="1"/>
  <c r="AL136" i="1"/>
  <c r="AV128" i="1"/>
  <c r="F141" i="1"/>
  <c r="J136" i="1"/>
  <c r="P123" i="1"/>
  <c r="AD136" i="1"/>
  <c r="V136" i="1"/>
  <c r="AL122" i="1"/>
  <c r="Z137" i="1"/>
  <c r="J141" i="1"/>
  <c r="AB132" i="1"/>
  <c r="AH136" i="1"/>
  <c r="F138" i="1"/>
  <c r="AB138" i="1"/>
  <c r="AH142" i="1"/>
  <c r="AV115" i="1"/>
  <c r="X129" i="1"/>
  <c r="L133" i="1"/>
  <c r="AD137" i="1"/>
  <c r="AJ137" i="1"/>
  <c r="AL137" i="1"/>
  <c r="AN137" i="1"/>
  <c r="V129" i="1"/>
  <c r="AL127" i="1"/>
  <c r="V118" i="1"/>
  <c r="L122" i="1"/>
  <c r="T136" i="1"/>
  <c r="AR137" i="1"/>
  <c r="L138" i="1"/>
  <c r="AD138" i="1"/>
  <c r="H141" i="1"/>
  <c r="F133" i="1"/>
  <c r="X137" i="1"/>
  <c r="AR115" i="1"/>
  <c r="AT137" i="1"/>
  <c r="AT115" i="1"/>
  <c r="J133" i="1"/>
  <c r="Z136" i="1"/>
  <c r="AB137" i="1"/>
  <c r="P138" i="1"/>
  <c r="AH138" i="1"/>
  <c r="AP129" i="1"/>
  <c r="H129" i="1"/>
  <c r="Z118" i="1"/>
  <c r="AV124" i="1"/>
  <c r="Z129" i="1"/>
  <c r="AB118" i="1"/>
  <c r="AN119" i="1"/>
  <c r="AV122" i="1"/>
  <c r="J129" i="1"/>
  <c r="AB129" i="1"/>
  <c r="AV132" i="1"/>
  <c r="P133" i="1"/>
  <c r="X136" i="1"/>
  <c r="AP136" i="1"/>
  <c r="AH137" i="1"/>
  <c r="V137" i="1"/>
  <c r="T141" i="1"/>
  <c r="T133" i="1"/>
  <c r="V141" i="1"/>
  <c r="F118" i="1"/>
  <c r="AD118" i="1"/>
  <c r="L129" i="1"/>
  <c r="AJ129" i="1"/>
  <c r="H118" i="1"/>
  <c r="AJ118" i="1"/>
  <c r="N122" i="1"/>
  <c r="AH127" i="1"/>
  <c r="N129" i="1"/>
  <c r="AN129" i="1"/>
  <c r="AF133" i="1"/>
  <c r="AB136" i="1"/>
  <c r="R136" i="1"/>
  <c r="AJ141" i="1"/>
  <c r="AL141" i="1"/>
  <c r="J118" i="1"/>
  <c r="AN118" i="1"/>
  <c r="H123" i="1"/>
  <c r="P129" i="1"/>
  <c r="AR129" i="1"/>
  <c r="L118" i="1"/>
  <c r="AP118" i="1"/>
  <c r="AN122" i="1"/>
  <c r="AT128" i="1"/>
  <c r="R129" i="1"/>
  <c r="AV129" i="1"/>
  <c r="AH133" i="1"/>
  <c r="AP137" i="1"/>
  <c r="Z138" i="1"/>
  <c r="AV141" i="1"/>
  <c r="X141" i="1"/>
  <c r="AN141" i="1"/>
  <c r="Z141" i="1"/>
  <c r="AP141" i="1"/>
  <c r="L141" i="1"/>
  <c r="AB141" i="1"/>
  <c r="AR141" i="1"/>
  <c r="N141" i="1"/>
  <c r="AD141" i="1"/>
  <c r="AT141" i="1"/>
  <c r="P141" i="1"/>
  <c r="AF141" i="1"/>
  <c r="R141" i="1"/>
  <c r="AN138" i="1"/>
  <c r="AP138" i="1"/>
  <c r="AT138" i="1"/>
  <c r="AV138" i="1"/>
  <c r="F137" i="1"/>
  <c r="H137" i="1"/>
  <c r="J137" i="1"/>
  <c r="L137" i="1"/>
  <c r="N137" i="1"/>
  <c r="P137" i="1"/>
  <c r="R137" i="1"/>
  <c r="T137" i="1"/>
  <c r="H128" i="1"/>
  <c r="P128" i="1"/>
  <c r="R133" i="1"/>
  <c r="AN136" i="1"/>
  <c r="L128" i="1"/>
  <c r="L123" i="1"/>
  <c r="T128" i="1"/>
  <c r="AD129" i="1"/>
  <c r="V133" i="1"/>
  <c r="AR136" i="1"/>
  <c r="AF118" i="1"/>
  <c r="V128" i="1"/>
  <c r="AF129" i="1"/>
  <c r="X133" i="1"/>
  <c r="AT136" i="1"/>
  <c r="AH118" i="1"/>
  <c r="T123" i="1"/>
  <c r="X128" i="1"/>
  <c r="AH129" i="1"/>
  <c r="Z133" i="1"/>
  <c r="AV136" i="1"/>
  <c r="AB133" i="1"/>
  <c r="AL118" i="1"/>
  <c r="V124" i="1"/>
  <c r="AB128" i="1"/>
  <c r="AL129" i="1"/>
  <c r="AD133" i="1"/>
  <c r="F128" i="1"/>
  <c r="Z128" i="1"/>
  <c r="AD128" i="1"/>
  <c r="AF124" i="1"/>
  <c r="AF128" i="1"/>
  <c r="AR118" i="1"/>
  <c r="AH124" i="1"/>
  <c r="AH128" i="1"/>
  <c r="AT129" i="1"/>
  <c r="AJ133" i="1"/>
  <c r="AD124" i="1"/>
  <c r="AJ124" i="1"/>
  <c r="AN124" i="1"/>
  <c r="H136" i="1"/>
  <c r="N119" i="1"/>
  <c r="AP128" i="1"/>
  <c r="AP119" i="1"/>
  <c r="AR124" i="1"/>
  <c r="AR128" i="1"/>
  <c r="AL132" i="1"/>
  <c r="L136" i="1"/>
  <c r="N128" i="1"/>
  <c r="AL124" i="1"/>
  <c r="F136" i="1"/>
  <c r="AN128" i="1"/>
  <c r="AP124" i="1"/>
  <c r="AJ132" i="1"/>
  <c r="J115" i="1"/>
  <c r="AR119" i="1"/>
  <c r="AN132" i="1"/>
  <c r="N136" i="1"/>
  <c r="P136" i="1"/>
  <c r="J128" i="1"/>
  <c r="R128" i="1"/>
  <c r="AJ128" i="1"/>
  <c r="AL128" i="1"/>
  <c r="L115" i="1"/>
  <c r="AT119" i="1"/>
  <c r="AP132" i="1"/>
  <c r="V115" i="1"/>
  <c r="AV119" i="1"/>
  <c r="AB124" i="1"/>
  <c r="AR132" i="1"/>
  <c r="AL133" i="1"/>
  <c r="AN133" i="1"/>
  <c r="AP133" i="1"/>
  <c r="AR133" i="1"/>
  <c r="AT133" i="1"/>
  <c r="AV133" i="1"/>
  <c r="F132" i="1"/>
  <c r="H132" i="1"/>
  <c r="J132" i="1"/>
  <c r="L132" i="1"/>
  <c r="N132" i="1"/>
  <c r="P132" i="1"/>
  <c r="R132" i="1"/>
  <c r="T132" i="1"/>
  <c r="V132" i="1"/>
  <c r="X132" i="1"/>
  <c r="Z132" i="1"/>
  <c r="AD132" i="1"/>
  <c r="AF132" i="1"/>
  <c r="AH132" i="1"/>
  <c r="T129" i="1"/>
  <c r="AP127" i="1"/>
  <c r="AT127" i="1"/>
  <c r="H127" i="1"/>
  <c r="Z127" i="1"/>
  <c r="AN127" i="1"/>
  <c r="AR127" i="1"/>
  <c r="AV127" i="1"/>
  <c r="F127" i="1"/>
  <c r="J127" i="1"/>
  <c r="L127" i="1"/>
  <c r="N127" i="1"/>
  <c r="P127" i="1"/>
  <c r="R127" i="1"/>
  <c r="T127" i="1"/>
  <c r="V127" i="1"/>
  <c r="X127" i="1"/>
  <c r="AB127" i="1"/>
  <c r="AD127" i="1"/>
  <c r="AF127" i="1"/>
  <c r="L124" i="1"/>
  <c r="N124" i="1"/>
  <c r="F124" i="1"/>
  <c r="H124" i="1"/>
  <c r="J124" i="1"/>
  <c r="P124" i="1"/>
  <c r="R124" i="1"/>
  <c r="T124" i="1"/>
  <c r="X124" i="1"/>
  <c r="Z124" i="1"/>
  <c r="V123" i="1"/>
  <c r="Z123" i="1"/>
  <c r="X123" i="1"/>
  <c r="AD123" i="1"/>
  <c r="AB123" i="1"/>
  <c r="AF123" i="1"/>
  <c r="AH123" i="1"/>
  <c r="AJ123" i="1"/>
  <c r="AL123" i="1"/>
  <c r="AN123" i="1"/>
  <c r="AR123" i="1"/>
  <c r="AT123" i="1"/>
  <c r="AP123" i="1"/>
  <c r="AV123" i="1"/>
  <c r="F123" i="1"/>
  <c r="J123" i="1"/>
  <c r="N123" i="1"/>
  <c r="R123" i="1"/>
  <c r="P122" i="1"/>
  <c r="R122" i="1"/>
  <c r="T122" i="1"/>
  <c r="V122" i="1"/>
  <c r="X122" i="1"/>
  <c r="Z122" i="1"/>
  <c r="AB122" i="1"/>
  <c r="AD122" i="1"/>
  <c r="AF122" i="1"/>
  <c r="AH122" i="1"/>
  <c r="AJ122" i="1"/>
  <c r="F122" i="1"/>
  <c r="H122" i="1"/>
  <c r="J122" i="1"/>
  <c r="F119" i="1"/>
  <c r="H119" i="1"/>
  <c r="J119" i="1"/>
  <c r="L119" i="1"/>
  <c r="P119" i="1"/>
  <c r="R119" i="1"/>
  <c r="T119" i="1"/>
  <c r="V119" i="1"/>
  <c r="X119" i="1"/>
  <c r="Z119" i="1"/>
  <c r="AB119" i="1"/>
  <c r="AD119" i="1"/>
  <c r="AF119" i="1"/>
  <c r="AH119" i="1"/>
  <c r="AJ119" i="1"/>
  <c r="AL119" i="1"/>
  <c r="AV118" i="1"/>
  <c r="P118" i="1"/>
  <c r="R118" i="1"/>
  <c r="T118" i="1"/>
  <c r="F115" i="1"/>
  <c r="H115" i="1"/>
  <c r="Z115" i="1"/>
  <c r="N115" i="1"/>
  <c r="P115" i="1"/>
  <c r="X115" i="1"/>
  <c r="AB115" i="1"/>
  <c r="AH115" i="1"/>
  <c r="AJ115" i="1"/>
  <c r="AL115" i="1"/>
  <c r="AN115" i="1"/>
  <c r="R115" i="1"/>
  <c r="AD115" i="1"/>
  <c r="AF115" i="1"/>
  <c r="AP115" i="1"/>
  <c r="T115" i="1"/>
  <c r="AT139" i="1" l="1"/>
  <c r="AR139" i="1"/>
  <c r="AT134" i="1"/>
  <c r="AR134" i="1"/>
  <c r="AT130" i="1"/>
  <c r="AR130" i="1"/>
  <c r="AT125" i="1"/>
  <c r="AR125" i="1"/>
  <c r="AT120" i="1"/>
  <c r="AR120" i="1"/>
  <c r="AT116" i="1"/>
  <c r="AR116" i="1"/>
  <c r="AX110" i="1" l="1"/>
  <c r="AW110" i="1"/>
  <c r="AV110" i="1" s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5" i="1"/>
  <c r="AT81" i="1"/>
  <c r="AT89" i="1"/>
  <c r="AT97" i="1"/>
  <c r="AT105" i="1"/>
  <c r="AT111" i="1"/>
  <c r="AT112" i="1"/>
  <c r="AT143" i="1"/>
  <c r="AT144" i="1"/>
  <c r="AT149" i="1"/>
  <c r="AT152" i="1"/>
  <c r="AT156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2" i="3"/>
  <c r="D22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3" i="3"/>
  <c r="B3" i="3"/>
  <c r="B5" i="3"/>
  <c r="B10" i="3"/>
  <c r="B23" i="3"/>
  <c r="B11" i="3"/>
  <c r="B18" i="3"/>
  <c r="B7" i="3"/>
  <c r="B6" i="3"/>
  <c r="B24" i="3"/>
  <c r="B20" i="3"/>
  <c r="B12" i="3"/>
  <c r="B17" i="3"/>
  <c r="D17" i="3"/>
  <c r="B15" i="3"/>
  <c r="B9" i="3"/>
  <c r="B19" i="3"/>
  <c r="B16" i="3"/>
  <c r="B4" i="3"/>
  <c r="B14" i="3"/>
  <c r="B8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5" i="1"/>
  <c r="AR81" i="1"/>
  <c r="AR89" i="1"/>
  <c r="AR97" i="1"/>
  <c r="AR105" i="1"/>
  <c r="AR111" i="1"/>
  <c r="AR112" i="1"/>
  <c r="AR143" i="1"/>
  <c r="AR144" i="1"/>
  <c r="AR149" i="1"/>
  <c r="AR152" i="1"/>
  <c r="AR156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X8" i="1"/>
  <c r="AW9" i="1"/>
  <c r="AX9" i="1"/>
  <c r="AW12" i="1"/>
  <c r="AX12" i="1"/>
  <c r="AW13" i="1"/>
  <c r="AX13" i="1"/>
  <c r="AW16" i="1"/>
  <c r="AX16" i="1"/>
  <c r="AW17" i="1"/>
  <c r="AX17" i="1"/>
  <c r="AW18" i="1"/>
  <c r="AX18" i="1"/>
  <c r="AW19" i="1"/>
  <c r="AX19" i="1"/>
  <c r="AW20" i="1"/>
  <c r="AX20" i="1"/>
  <c r="AW23" i="1"/>
  <c r="AX23" i="1"/>
  <c r="AW24" i="1"/>
  <c r="AX24" i="1"/>
  <c r="AW25" i="1"/>
  <c r="AX25" i="1"/>
  <c r="AW26" i="1"/>
  <c r="AX26" i="1"/>
  <c r="AW29" i="1"/>
  <c r="AX29" i="1"/>
  <c r="AW30" i="1"/>
  <c r="AX30" i="1"/>
  <c r="AW31" i="1"/>
  <c r="AX31" i="1"/>
  <c r="AW34" i="1"/>
  <c r="AX34" i="1"/>
  <c r="AW35" i="1"/>
  <c r="J35" i="1" s="1"/>
  <c r="AX35" i="1"/>
  <c r="AW36" i="1"/>
  <c r="AX36" i="1"/>
  <c r="AW37" i="1"/>
  <c r="AX37" i="1"/>
  <c r="AW38" i="1"/>
  <c r="AX38" i="1"/>
  <c r="AW41" i="1"/>
  <c r="AX41" i="1"/>
  <c r="AW42" i="1"/>
  <c r="AX42" i="1"/>
  <c r="AW43" i="1"/>
  <c r="AX43" i="1"/>
  <c r="AW44" i="1"/>
  <c r="AX44" i="1"/>
  <c r="AW47" i="1"/>
  <c r="AX47" i="1"/>
  <c r="AW48" i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R59" i="1" s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T160" i="1" l="1"/>
  <c r="AR160" i="1"/>
  <c r="AP160" i="1"/>
  <c r="AN160" i="1"/>
  <c r="AL160" i="1"/>
  <c r="AJ160" i="1"/>
  <c r="AH160" i="1"/>
  <c r="AF160" i="1"/>
  <c r="X160" i="1"/>
  <c r="V160" i="1"/>
  <c r="T160" i="1"/>
  <c r="R160" i="1"/>
  <c r="P160" i="1"/>
  <c r="N160" i="1"/>
  <c r="L160" i="1"/>
  <c r="J160" i="1"/>
  <c r="H160" i="1"/>
  <c r="AV160" i="1"/>
  <c r="F160" i="1"/>
  <c r="AB160" i="1"/>
  <c r="AJ159" i="1"/>
  <c r="X159" i="1"/>
  <c r="V159" i="1"/>
  <c r="T159" i="1"/>
  <c r="P159" i="1"/>
  <c r="N159" i="1"/>
  <c r="L159" i="1"/>
  <c r="H159" i="1"/>
  <c r="AP159" i="1"/>
  <c r="AH159" i="1"/>
  <c r="J159" i="1"/>
  <c r="AR159" i="1"/>
  <c r="AF159" i="1"/>
  <c r="AT159" i="1"/>
  <c r="AL159" i="1"/>
  <c r="R159" i="1"/>
  <c r="AB159" i="1"/>
  <c r="F159" i="1"/>
  <c r="AN159" i="1"/>
  <c r="AV159" i="1"/>
  <c r="V59" i="1"/>
  <c r="R103" i="1"/>
  <c r="R99" i="1"/>
  <c r="R83" i="1"/>
  <c r="H66" i="1"/>
  <c r="F77" i="1"/>
  <c r="AD65" i="1"/>
  <c r="X77" i="1"/>
  <c r="P99" i="1"/>
  <c r="F35" i="1"/>
  <c r="X83" i="1"/>
  <c r="AB65" i="1"/>
  <c r="AJ103" i="1"/>
  <c r="H77" i="1"/>
  <c r="H83" i="1"/>
  <c r="P102" i="1"/>
  <c r="AV96" i="1"/>
  <c r="T92" i="1"/>
  <c r="J86" i="1"/>
  <c r="AR80" i="1"/>
  <c r="L56" i="1"/>
  <c r="J83" i="1"/>
  <c r="V65" i="1"/>
  <c r="X65" i="1"/>
  <c r="H99" i="1"/>
  <c r="J99" i="1"/>
  <c r="F96" i="1"/>
  <c r="L99" i="1"/>
  <c r="N99" i="1"/>
  <c r="AJ100" i="1"/>
  <c r="AB84" i="1"/>
  <c r="AH74" i="1"/>
  <c r="AB68" i="1"/>
  <c r="H52" i="1"/>
  <c r="R16" i="1"/>
  <c r="AR99" i="1"/>
  <c r="AT93" i="1"/>
  <c r="AT87" i="1"/>
  <c r="J16" i="1"/>
  <c r="L16" i="1"/>
  <c r="H16" i="1"/>
  <c r="N16" i="1"/>
  <c r="P16" i="1"/>
  <c r="AN77" i="1"/>
  <c r="AN47" i="1"/>
  <c r="L110" i="1"/>
  <c r="AL100" i="1"/>
  <c r="AD88" i="1"/>
  <c r="P72" i="1"/>
  <c r="R60" i="1"/>
  <c r="R92" i="1"/>
  <c r="AN80" i="1"/>
  <c r="AV101" i="1"/>
  <c r="AP107" i="1"/>
  <c r="AL101" i="1"/>
  <c r="P95" i="1"/>
  <c r="F91" i="1"/>
  <c r="R85" i="1"/>
  <c r="AD79" i="1"/>
  <c r="AN55" i="1"/>
  <c r="AH31" i="1"/>
  <c r="P13" i="1"/>
  <c r="AP80" i="1"/>
  <c r="AH96" i="1"/>
  <c r="AP96" i="1"/>
  <c r="X101" i="1"/>
  <c r="X48" i="1"/>
  <c r="AV100" i="1"/>
  <c r="AP85" i="1"/>
  <c r="V101" i="1"/>
  <c r="F79" i="1"/>
  <c r="AB101" i="1"/>
  <c r="AJ101" i="1"/>
  <c r="X95" i="1"/>
  <c r="H91" i="1"/>
  <c r="AH85" i="1"/>
  <c r="AR79" i="1"/>
  <c r="AR96" i="1"/>
  <c r="AV99" i="1"/>
  <c r="H13" i="1"/>
  <c r="V79" i="1"/>
  <c r="J85" i="1"/>
  <c r="H95" i="1"/>
  <c r="AF94" i="1"/>
  <c r="AN84" i="1"/>
  <c r="H78" i="1"/>
  <c r="J66" i="1"/>
  <c r="N42" i="1"/>
  <c r="AR95" i="1"/>
  <c r="J13" i="1"/>
  <c r="AV85" i="1"/>
  <c r="V85" i="1"/>
  <c r="AL31" i="1"/>
  <c r="AJ85" i="1"/>
  <c r="V95" i="1"/>
  <c r="AF109" i="1"/>
  <c r="F103" i="1"/>
  <c r="AT99" i="1"/>
  <c r="F93" i="1"/>
  <c r="P87" i="1"/>
  <c r="V83" i="1"/>
  <c r="Z65" i="1"/>
  <c r="AH59" i="1"/>
  <c r="AL85" i="1"/>
  <c r="AF95" i="1"/>
  <c r="AN85" i="1"/>
  <c r="F85" i="1"/>
  <c r="X102" i="1"/>
  <c r="Z96" i="1"/>
  <c r="X56" i="1"/>
  <c r="J20" i="1"/>
  <c r="T16" i="1"/>
  <c r="V78" i="1"/>
  <c r="R71" i="1"/>
  <c r="AD109" i="1"/>
  <c r="AP108" i="1"/>
  <c r="P68" i="1"/>
  <c r="V99" i="1"/>
  <c r="AD78" i="1"/>
  <c r="AP104" i="1"/>
  <c r="T99" i="1"/>
  <c r="J68" i="1"/>
  <c r="N83" i="1"/>
  <c r="X99" i="1"/>
  <c r="AF78" i="1"/>
  <c r="AH78" i="1"/>
  <c r="AB66" i="1"/>
  <c r="L66" i="1"/>
  <c r="J91" i="1"/>
  <c r="H68" i="1"/>
  <c r="L83" i="1"/>
  <c r="Z91" i="1"/>
  <c r="L68" i="1"/>
  <c r="P83" i="1"/>
  <c r="Z99" i="1"/>
  <c r="V102" i="1"/>
  <c r="AL84" i="1"/>
  <c r="AN88" i="1"/>
  <c r="AP86" i="1"/>
  <c r="L44" i="1"/>
  <c r="N68" i="1"/>
  <c r="AD99" i="1"/>
  <c r="V68" i="1"/>
  <c r="L95" i="1"/>
  <c r="AR83" i="1"/>
  <c r="H61" i="1"/>
  <c r="V41" i="1"/>
  <c r="H19" i="1"/>
  <c r="AR103" i="1"/>
  <c r="T83" i="1"/>
  <c r="AF100" i="1"/>
  <c r="J48" i="1"/>
  <c r="X68" i="1"/>
  <c r="N95" i="1"/>
  <c r="AH100" i="1"/>
  <c r="AR100" i="1"/>
  <c r="AB80" i="1"/>
  <c r="AR38" i="1"/>
  <c r="Z68" i="1"/>
  <c r="L48" i="1"/>
  <c r="AD48" i="1"/>
  <c r="H85" i="1"/>
  <c r="AB95" i="1"/>
  <c r="AN100" i="1"/>
  <c r="AH99" i="1"/>
  <c r="T59" i="1"/>
  <c r="L77" i="1"/>
  <c r="J96" i="1"/>
  <c r="X96" i="1"/>
  <c r="F78" i="1"/>
  <c r="AP56" i="1"/>
  <c r="H56" i="1"/>
  <c r="L85" i="1"/>
  <c r="J56" i="1"/>
  <c r="P77" i="1"/>
  <c r="N85" i="1"/>
  <c r="L96" i="1"/>
  <c r="Z101" i="1"/>
  <c r="AJ95" i="1"/>
  <c r="AF77" i="1"/>
  <c r="Z85" i="1"/>
  <c r="AV94" i="1"/>
  <c r="AF74" i="1"/>
  <c r="AP54" i="1"/>
  <c r="N56" i="1"/>
  <c r="P56" i="1"/>
  <c r="AH101" i="1"/>
  <c r="AD101" i="1"/>
  <c r="AH77" i="1"/>
  <c r="AB85" i="1"/>
  <c r="J59" i="1"/>
  <c r="L78" i="1"/>
  <c r="AD85" i="1"/>
  <c r="AB96" i="1"/>
  <c r="AJ93" i="1"/>
  <c r="AD53" i="1"/>
  <c r="L31" i="1"/>
  <c r="N96" i="1"/>
  <c r="P96" i="1"/>
  <c r="AF101" i="1"/>
  <c r="L59" i="1"/>
  <c r="P78" i="1"/>
  <c r="AF85" i="1"/>
  <c r="AD96" i="1"/>
  <c r="N102" i="1"/>
  <c r="N92" i="1"/>
  <c r="X85" i="1"/>
  <c r="R96" i="1"/>
  <c r="N59" i="1"/>
  <c r="T78" i="1"/>
  <c r="AF96" i="1"/>
  <c r="P53" i="1"/>
  <c r="AB71" i="1"/>
  <c r="T84" i="1"/>
  <c r="H86" i="1"/>
  <c r="X92" i="1"/>
  <c r="AB99" i="1"/>
  <c r="T102" i="1"/>
  <c r="AT104" i="1"/>
  <c r="AD86" i="1"/>
  <c r="AV8" i="1"/>
  <c r="AL29" i="1"/>
  <c r="N53" i="1"/>
  <c r="Z71" i="1"/>
  <c r="V92" i="1"/>
  <c r="R102" i="1"/>
  <c r="AV107" i="1"/>
  <c r="AB87" i="1"/>
  <c r="H67" i="1"/>
  <c r="R53" i="1"/>
  <c r="AH71" i="1"/>
  <c r="V84" i="1"/>
  <c r="AN92" i="1"/>
  <c r="T53" i="1"/>
  <c r="AL71" i="1"/>
  <c r="X84" i="1"/>
  <c r="L86" i="1"/>
  <c r="H93" i="1"/>
  <c r="AF99" i="1"/>
  <c r="V53" i="1"/>
  <c r="T65" i="1"/>
  <c r="N78" i="1"/>
  <c r="Z84" i="1"/>
  <c r="H87" i="1"/>
  <c r="J93" i="1"/>
  <c r="H96" i="1"/>
  <c r="AH103" i="1"/>
  <c r="T103" i="1"/>
  <c r="AT85" i="1"/>
  <c r="R65" i="1"/>
  <c r="AV103" i="1"/>
  <c r="AJ94" i="1"/>
  <c r="AJ30" i="1"/>
  <c r="P92" i="1"/>
  <c r="T68" i="1"/>
  <c r="X53" i="1"/>
  <c r="L93" i="1"/>
  <c r="H107" i="1"/>
  <c r="Z83" i="1"/>
  <c r="AJ74" i="1"/>
  <c r="AJ73" i="1"/>
  <c r="AN72" i="1"/>
  <c r="AV108" i="1"/>
  <c r="AV102" i="1"/>
  <c r="AF84" i="1"/>
  <c r="AT110" i="1"/>
  <c r="AP74" i="1"/>
  <c r="AP52" i="1"/>
  <c r="L92" i="1"/>
  <c r="L53" i="1"/>
  <c r="V60" i="1"/>
  <c r="AH94" i="1"/>
  <c r="AV109" i="1"/>
  <c r="V107" i="1"/>
  <c r="T87" i="1"/>
  <c r="AV53" i="1"/>
  <c r="AN94" i="1"/>
  <c r="AP94" i="1"/>
  <c r="AV91" i="1"/>
  <c r="F72" i="1"/>
  <c r="AD84" i="1"/>
  <c r="P93" i="1"/>
  <c r="P74" i="1"/>
  <c r="R87" i="1"/>
  <c r="AL53" i="1"/>
  <c r="AN53" i="1"/>
  <c r="AT108" i="1"/>
  <c r="V110" i="1"/>
  <c r="AL94" i="1"/>
  <c r="H92" i="1"/>
  <c r="J87" i="1"/>
  <c r="N87" i="1"/>
  <c r="R93" i="1"/>
  <c r="AP100" i="1"/>
  <c r="AL80" i="1"/>
  <c r="T74" i="1"/>
  <c r="AL99" i="1"/>
  <c r="AF37" i="1"/>
  <c r="V17" i="1"/>
  <c r="AR93" i="1"/>
  <c r="AV74" i="1"/>
  <c r="AT107" i="1"/>
  <c r="AL110" i="1"/>
  <c r="AF72" i="1"/>
  <c r="L87" i="1"/>
  <c r="AB53" i="1"/>
  <c r="J107" i="1"/>
  <c r="F101" i="1"/>
  <c r="V93" i="1"/>
  <c r="AV93" i="1"/>
  <c r="N38" i="1"/>
  <c r="AV79" i="1"/>
  <c r="AF54" i="1"/>
  <c r="AJ87" i="1"/>
  <c r="X74" i="1"/>
  <c r="AH93" i="1"/>
  <c r="L101" i="1"/>
  <c r="T108" i="1"/>
  <c r="T96" i="1"/>
  <c r="AJ110" i="1"/>
  <c r="F88" i="1"/>
  <c r="Z53" i="1"/>
  <c r="AV20" i="1"/>
  <c r="AB93" i="1"/>
  <c r="V74" i="1"/>
  <c r="AH79" i="1"/>
  <c r="AH54" i="1"/>
  <c r="Z79" i="1"/>
  <c r="AL54" i="1"/>
  <c r="AB79" i="1"/>
  <c r="AR88" i="1"/>
  <c r="AT103" i="1"/>
  <c r="AH110" i="1"/>
  <c r="T93" i="1"/>
  <c r="AV92" i="1"/>
  <c r="H74" i="1"/>
  <c r="AR84" i="1"/>
  <c r="L74" i="1"/>
  <c r="AH84" i="1"/>
  <c r="AJ53" i="1"/>
  <c r="R74" i="1"/>
  <c r="X93" i="1"/>
  <c r="N108" i="1"/>
  <c r="AD100" i="1"/>
  <c r="H101" i="1"/>
  <c r="H59" i="1"/>
  <c r="T66" i="1"/>
  <c r="AP87" i="1"/>
  <c r="X66" i="1"/>
  <c r="AP19" i="1"/>
  <c r="X88" i="1"/>
  <c r="AT101" i="1"/>
  <c r="AF110" i="1"/>
  <c r="AN74" i="1"/>
  <c r="N93" i="1"/>
  <c r="X79" i="1"/>
  <c r="J101" i="1"/>
  <c r="V88" i="1"/>
  <c r="V108" i="1"/>
  <c r="AN54" i="1"/>
  <c r="AB74" i="1"/>
  <c r="AJ96" i="1"/>
  <c r="AL30" i="1"/>
  <c r="AD74" i="1"/>
  <c r="AN93" i="1"/>
  <c r="AR86" i="1"/>
  <c r="F94" i="1"/>
  <c r="AL74" i="1"/>
  <c r="AR74" i="1"/>
  <c r="AT74" i="1"/>
  <c r="X71" i="1"/>
  <c r="F74" i="1"/>
  <c r="AD68" i="1"/>
  <c r="F53" i="1"/>
  <c r="N74" i="1"/>
  <c r="T107" i="1"/>
  <c r="AJ84" i="1"/>
  <c r="V87" i="1"/>
  <c r="P108" i="1"/>
  <c r="P66" i="1"/>
  <c r="AD93" i="1"/>
  <c r="R108" i="1"/>
  <c r="Z74" i="1"/>
  <c r="N101" i="1"/>
  <c r="AH66" i="1"/>
  <c r="H80" i="1"/>
  <c r="P85" i="1"/>
  <c r="AL93" i="1"/>
  <c r="P101" i="1"/>
  <c r="X108" i="1"/>
  <c r="AR87" i="1"/>
  <c r="AL66" i="1"/>
  <c r="J80" i="1"/>
  <c r="Z88" i="1"/>
  <c r="AL96" i="1"/>
  <c r="R101" i="1"/>
  <c r="AL108" i="1"/>
  <c r="AH95" i="1"/>
  <c r="AL77" i="1"/>
  <c r="H55" i="1"/>
  <c r="N35" i="1"/>
  <c r="N13" i="1"/>
  <c r="J110" i="1"/>
  <c r="N55" i="1"/>
  <c r="AP66" i="1"/>
  <c r="Z80" i="1"/>
  <c r="T85" i="1"/>
  <c r="AB88" i="1"/>
  <c r="AP93" i="1"/>
  <c r="AN96" i="1"/>
  <c r="T101" i="1"/>
  <c r="AN108" i="1"/>
  <c r="F99" i="1"/>
  <c r="AR94" i="1"/>
  <c r="J74" i="1"/>
  <c r="AJ54" i="1"/>
  <c r="AR85" i="1"/>
  <c r="AT96" i="1"/>
  <c r="H110" i="1"/>
  <c r="AR110" i="1"/>
  <c r="F110" i="1"/>
  <c r="AP110" i="1"/>
  <c r="AN110" i="1"/>
  <c r="AD110" i="1"/>
  <c r="Z110" i="1"/>
  <c r="AB110" i="1"/>
  <c r="X110" i="1"/>
  <c r="T110" i="1"/>
  <c r="R110" i="1"/>
  <c r="P110" i="1"/>
  <c r="N110" i="1"/>
  <c r="AL109" i="1"/>
  <c r="AB109" i="1"/>
  <c r="AJ109" i="1"/>
  <c r="AN109" i="1"/>
  <c r="AH109" i="1"/>
  <c r="AT109" i="1"/>
  <c r="AR109" i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8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3" i="3" s="1"/>
  <c r="AM17" i="2"/>
  <c r="D12" i="3" s="1"/>
  <c r="AI17" i="2"/>
  <c r="D20" i="3" s="1"/>
  <c r="AO17" i="2"/>
  <c r="D6" i="3" s="1"/>
  <c r="AA17" i="2"/>
  <c r="D9" i="3" s="1"/>
  <c r="AC17" i="2"/>
  <c r="D16" i="3" s="1"/>
  <c r="AE17" i="2"/>
  <c r="D4" i="3" s="1"/>
  <c r="AG17" i="2"/>
  <c r="D11" i="3" s="1"/>
  <c r="E17" i="2"/>
  <c r="D7" i="3" s="1"/>
  <c r="I17" i="2"/>
  <c r="D8" i="3" s="1"/>
  <c r="K17" i="2"/>
  <c r="D24" i="3" s="1"/>
  <c r="M17" i="2"/>
  <c r="D19" i="3" s="1"/>
  <c r="G17" i="2"/>
  <c r="D14" i="3" s="1"/>
  <c r="O17" i="2"/>
  <c r="D13" i="3" s="1"/>
  <c r="S17" i="2"/>
  <c r="D23" i="3" s="1"/>
  <c r="U17" i="2"/>
  <c r="D5" i="3" s="1"/>
  <c r="W17" i="2"/>
  <c r="D10" i="3" s="1"/>
  <c r="Y17" i="2"/>
  <c r="D15" i="3" s="1"/>
  <c r="C18" i="3" l="1"/>
  <c r="E18" i="3" s="1"/>
  <c r="C17" i="3"/>
  <c r="E17" i="3" s="1"/>
  <c r="C21" i="3"/>
  <c r="E21" i="3" s="1"/>
  <c r="C22" i="3"/>
  <c r="E22" i="3" s="1"/>
  <c r="C6" i="3"/>
  <c r="E6" i="3" s="1"/>
  <c r="C16" i="3"/>
  <c r="E16" i="3" s="1"/>
  <c r="C23" i="3"/>
  <c r="E23" i="3" s="1"/>
  <c r="C4" i="3"/>
  <c r="E4" i="3" s="1"/>
  <c r="C13" i="3"/>
  <c r="E13" i="3" s="1"/>
  <c r="C19" i="3"/>
  <c r="E19" i="3" s="1"/>
  <c r="C20" i="3"/>
  <c r="E20" i="3" s="1"/>
  <c r="C7" i="3"/>
  <c r="E7" i="3" s="1"/>
  <c r="C10" i="3"/>
  <c r="E10" i="3" s="1"/>
  <c r="C24" i="3"/>
  <c r="E24" i="3" s="1"/>
  <c r="C3" i="3"/>
  <c r="E3" i="3" s="1"/>
  <c r="C9" i="3"/>
  <c r="E9" i="3" s="1"/>
  <c r="C14" i="3"/>
  <c r="E14" i="3" s="1"/>
  <c r="C15" i="3"/>
  <c r="E15" i="3" s="1"/>
  <c r="C8" i="3"/>
  <c r="E8" i="3" s="1"/>
  <c r="C12" i="3"/>
  <c r="E12" i="3" s="1"/>
  <c r="C5" i="3"/>
  <c r="E5" i="3" s="1"/>
  <c r="C11" i="3"/>
  <c r="E11" i="3" s="1"/>
  <c r="A22" i="3" l="1"/>
  <c r="A12" i="3"/>
  <c r="A8" i="3"/>
  <c r="A17" i="3"/>
  <c r="A11" i="3"/>
  <c r="A7" i="3"/>
  <c r="A15" i="3"/>
  <c r="A24" i="3"/>
  <c r="A13" i="3"/>
  <c r="A6" i="3"/>
  <c r="A20" i="3"/>
  <c r="A5" i="3"/>
  <c r="A19" i="3"/>
  <c r="A14" i="3"/>
  <c r="A21" i="3"/>
  <c r="A23" i="3"/>
  <c r="A10" i="3"/>
  <c r="A3" i="3"/>
  <c r="A4" i="3"/>
  <c r="A16" i="3"/>
  <c r="A9" i="3"/>
  <c r="A18" i="3"/>
</calcChain>
</file>

<file path=xl/sharedStrings.xml><?xml version="1.0" encoding="utf-8"?>
<sst xmlns="http://schemas.openxmlformats.org/spreadsheetml/2006/main" count="2931" uniqueCount="278">
  <si>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</si>
  <si>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</si>
  <si>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</si>
  <si>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</si>
  <si>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</si>
  <si>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</si>
  <si>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</si>
  <si>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</si>
  <si>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</si>
  <si>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</si>
  <si>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</si>
  <si>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</si>
  <si>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</si>
  <si>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</si>
  <si>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</si>
  <si>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</si>
  <si>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</si>
  <si>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</si>
  <si>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</si>
  <si>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</si>
  <si>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</si>
  <si>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</si>
  <si>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</si>
  <si>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</si>
  <si>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</si>
  <si>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</si>
  <si>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</si>
  <si>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</si>
  <si>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</si>
  <si>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</si>
  <si>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</si>
  <si>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</si>
  <si>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</si>
  <si>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</si>
  <si>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</si>
  <si>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</si>
  <si>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</si>
  <si>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</si>
  <si>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</si>
  <si>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</si>
  <si>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</si>
  <si>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</si>
  <si>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</si>
  <si>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</si>
  <si>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</si>
  <si>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</si>
  <si>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</si>
  <si>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</si>
  <si>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</si>
  <si>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</si>
  <si>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</si>
  <si>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</si>
  <si>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</si>
  <si>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</si>
  <si>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</si>
  <si>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</si>
  <si>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</si>
  <si>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</si>
  <si>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</si>
  <si>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</si>
  <si>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</si>
  <si>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</si>
  <si>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</si>
  <si>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</si>
  <si>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</si>
  <si>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</si>
  <si>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</si>
  <si>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</si>
  <si>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</si>
  <si>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</si>
  <si>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</si>
  <si>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</si>
  <si>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</si>
  <si>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</si>
  <si>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</si>
  <si>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</si>
  <si>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</si>
  <si>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</si>
  <si>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</si>
  <si>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</si>
  <si>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</si>
  <si>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</si>
  <si>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</si>
  <si>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</si>
  <si>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</si>
  <si>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</si>
  <si>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</si>
  <si>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</si>
  <si>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</si>
  <si>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</si>
  <si>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</si>
  <si>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</si>
  <si>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</si>
  <si>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</si>
  <si>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</si>
  <si>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</si>
  <si>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</si>
  <si>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</si>
  <si>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</si>
  <si>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</si>
  <si>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</si>
  <si>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</si>
  <si>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</si>
  <si>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</si>
  <si>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</si>
  <si>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</si>
  <si>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</si>
  <si>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</si>
  <si>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</si>
  <si>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</si>
  <si>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</si>
  <si>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</si>
  <si>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</si>
  <si>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</si>
  <si>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</si>
  <si>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</si>
  <si>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</si>
  <si>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</si>
  <si>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</si>
  <si>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</si>
  <si>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</si>
  <si>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</si>
  <si>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</si>
  <si>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</si>
  <si>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</si>
  <si>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</si>
  <si>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</si>
  <si>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</si>
  <si>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</si>
  <si>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</si>
  <si>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</si>
  <si>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</si>
  <si>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</si>
  <si>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</si>
  <si>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</si>
  <si>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</si>
  <si>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zondag 5 juli 2026</t>
  </si>
  <si>
    <t>maandag 6 juli 2026</t>
  </si>
  <si>
    <t>dinsdag 7 juli 2026</t>
  </si>
  <si>
    <t>Kwartfinales</t>
  </si>
  <si>
    <t>donderdag 9 juli 2026</t>
  </si>
  <si>
    <t>vrijdag 10 juli 2026</t>
  </si>
  <si>
    <t>zaterdag 11 juli 2026</t>
  </si>
  <si>
    <t>zondag 12 juli 2026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</si>
  <si>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</si>
  <si>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</si>
  <si>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</si>
  <si>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</si>
  <si>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</si>
  <si>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</si>
  <si>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</si>
  <si>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</si>
  <si>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</si>
  <si>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</si>
  <si>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</si>
  <si>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</si>
  <si>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</si>
  <si>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</si>
  <si>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</si>
  <si>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</si>
  <si>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</si>
  <si>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</si>
  <si>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</si>
  <si>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</si>
  <si>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</si>
  <si>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</si>
  <si>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</si>
  <si>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</si>
  <si>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</si>
  <si>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</si>
  <si>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</si>
  <si>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</si>
  <si>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</si>
  <si>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</si>
  <si>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</si>
  <si>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</si>
  <si>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</si>
  <si>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</si>
  <si>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</si>
  <si>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</si>
  <si>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</si>
  <si>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</si>
  <si>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</si>
  <si>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</si>
  <si>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</si>
  <si>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</si>
  <si>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</si>
  <si>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</si>
  <si>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</si>
  <si>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</si>
  <si>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</si>
  <si>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</si>
  <si>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</si>
  <si>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</si>
  <si>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</si>
  <si>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</si>
  <si>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</si>
  <si>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</si>
  <si>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</si>
  <si>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</si>
  <si>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</si>
  <si>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</si>
  <si>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</si>
  <si>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</si>
  <si>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</si>
  <si>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</si>
  <si>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</si>
  <si>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</si>
  <si>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</si>
  <si>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</si>
  <si>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</si>
  <si>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</si>
  <si>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</si>
  <si>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</si>
  <si>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</si>
  <si>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</si>
  <si>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</si>
  <si>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</si>
  <si>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</si>
  <si>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</si>
  <si>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</si>
  <si>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</si>
  <si>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</si>
  <si>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</si>
  <si>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</si>
  <si>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</si>
  <si>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</si>
  <si>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</si>
  <si>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</si>
  <si>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</si>
  <si>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</si>
  <si>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</si>
  <si>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</si>
  <si>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</si>
  <si>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</si>
  <si>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</si>
  <si>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</si>
  <si>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</si>
  <si>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</si>
  <si>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</si>
  <si>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</si>
  <si>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</si>
  <si>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</si>
  <si>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</si>
  <si>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</si>
  <si>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</si>
  <si>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</si>
  <si>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</si>
  <si>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</si>
  <si>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</si>
  <si>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</si>
  <si>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</si>
  <si>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</si>
  <si>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</si>
  <si>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</si>
  <si>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</si>
  <si>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</si>
  <si>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</si>
  <si>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</si>
  <si>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</si>
  <si>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</si>
  <si>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</si>
  <si>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</si>
  <si>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</si>
  <si>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</si>
  <si>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</si>
  <si>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</si>
  <si>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</si>
  <si>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</si>
  <si>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</si>
  <si>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</si>
  <si>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</si>
  <si>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</si>
  <si>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</si>
  <si>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Paraguay (wns)</t>
  </si>
  <si>
    <t>Argentinië (wnv)</t>
  </si>
  <si>
    <t>Egypte (wns)</t>
  </si>
  <si>
    <t>Zwitserland (wnp)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</si>
</sst>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1" xfId="0" applyBorder="1"/>
    <xf numFmtId="49" fontId="0" fillId="0" borderId="1" xfId="0" applyNumberFormat="1" applyBorder="1"/>
    <xf numFmtId="0" fontId="8" fillId="5" borderId="5" xfId="0" applyFont="1" applyFill="1" applyBorder="1" applyAlignment="1">
      <alignment horizontal="left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57" activePane="bottomRight" state="frozen"/>
      <selection pane="topRight"/>
      <selection pane="bottomLeft"/>
      <selection pane="bottomRight" activeCell="F174" sqref="F174"/>
    </sheetView>
  </sheetViews>
  <sheetFormatPr defaultRowHeight="15" x14ac:dyDescent="0.25"/>
  <cols>
    <col min="1" max="1" width="10.5703125" customWidth="1"/>
    <col min="2" max="2" width="20.5703125" style="18" customWidth="1"/>
    <col min="3" max="3" width="10.5703125" customWidth="1"/>
    <col min="4" max="4" width="21.85546875" style="19" bestFit="1" customWidth="1"/>
    <col min="5" max="5" width="12.5703125" style="21" customWidth="1"/>
    <col min="6" max="6" width="8.5703125" customWidth="1"/>
    <col min="7" max="7" width="12.5703125" style="21" customWidth="1"/>
    <col min="8" max="8" width="8.5703125" customWidth="1"/>
    <col min="9" max="9" width="12.5703125" style="21" customWidth="1"/>
    <col min="10" max="10" width="8.5703125" customWidth="1"/>
    <col min="11" max="11" width="12.5703125" style="21" customWidth="1"/>
    <col min="12" max="12" width="8.5703125" customWidth="1"/>
    <col min="13" max="13" width="12.5703125" style="21" customWidth="1"/>
    <col min="14" max="14" width="8.5703125" customWidth="1"/>
    <col min="15" max="15" width="12.5703125" style="21" customWidth="1"/>
    <col min="16" max="16" width="8.5703125" customWidth="1"/>
    <col min="17" max="17" width="12.5703125" style="21" customWidth="1"/>
    <col min="18" max="18" width="8.5703125" customWidth="1"/>
    <col min="19" max="19" width="12.5703125" style="21" customWidth="1"/>
    <col min="20" max="20" width="8.5703125" customWidth="1"/>
    <col min="21" max="21" width="12.5703125" customWidth="1"/>
    <col min="22" max="22" width="8.5703125" customWidth="1"/>
    <col min="23" max="23" width="12.5703125" style="21" customWidth="1"/>
    <col min="24" max="24" width="8.5703125" customWidth="1"/>
    <col min="25" max="25" width="12.5703125" style="21" customWidth="1"/>
    <col min="26" max="26" width="8.5703125" customWidth="1"/>
    <col min="27" max="27" width="12.5703125" style="21" customWidth="1"/>
    <col min="28" max="28" width="8.5703125" customWidth="1"/>
    <col min="29" max="29" width="12.5703125" style="21" customWidth="1"/>
    <col min="30" max="30" width="8.5703125" customWidth="1"/>
    <col min="31" max="31" width="12.5703125" style="21" customWidth="1"/>
    <col min="32" max="32" width="8.5703125" customWidth="1"/>
    <col min="33" max="33" width="12.5703125" style="21" customWidth="1"/>
    <col min="34" max="34" width="8.5703125" customWidth="1"/>
    <col min="35" max="35" width="12.5703125" style="21" customWidth="1"/>
    <col min="36" max="36" width="8.5703125" customWidth="1"/>
    <col min="37" max="37" width="12.5703125" style="21" customWidth="1"/>
    <col min="38" max="38" width="8.5703125" customWidth="1"/>
    <col min="39" max="39" width="12.5703125" style="21" customWidth="1"/>
    <col min="40" max="40" width="8.5703125" customWidth="1"/>
    <col min="41" max="41" width="15.5703125" style="21" customWidth="1"/>
    <col min="42" max="42" width="8.5703125" customWidth="1"/>
    <col min="43" max="43" width="15.5703125" style="21" customWidth="1"/>
    <col min="44" max="44" width="8.5703125" customWidth="1"/>
    <col min="45" max="45" width="15.7109375" style="21" customWidth="1"/>
    <col min="46" max="46" width="8.5703125" customWidth="1"/>
    <col min="47" max="47" width="15.5703125" style="21" customWidth="1"/>
    <col min="48" max="48" width="8.5703125" customWidth="1"/>
    <col min="49" max="50" width="13" hidden="1" customWidth="1"/>
  </cols>
  <sheetData>
    <row r="1" spans="1:50" x14ac:dyDescent="0.25">
      <c r="A1" s="51" t="s">
        <v>0</v>
      </c>
      <c r="B1" s="51" t="s">
        <v>1</v>
      </c>
      <c r="C1" s="51" t="s">
        <v>2</v>
      </c>
      <c r="D1" s="51" t="s">
        <v>3</v>
      </c>
      <c r="E1" s="57" t="s">
        <v>4</v>
      </c>
      <c r="F1" s="58"/>
      <c r="G1" s="46" t="s">
        <v>5</v>
      </c>
      <c r="H1" s="47"/>
      <c r="I1" s="46" t="s">
        <v>6</v>
      </c>
      <c r="J1" s="47"/>
      <c r="K1" s="46" t="s">
        <v>7</v>
      </c>
      <c r="L1" s="47"/>
      <c r="M1" s="46" t="s">
        <v>8</v>
      </c>
      <c r="N1" s="47"/>
      <c r="O1" s="46" t="s">
        <v>9</v>
      </c>
      <c r="P1" s="47"/>
      <c r="Q1" s="46" t="s">
        <v>10</v>
      </c>
      <c r="R1" s="47"/>
      <c r="S1" s="46" t="s">
        <v>11</v>
      </c>
      <c r="T1" s="47"/>
      <c r="U1" s="46" t="s">
        <v>12</v>
      </c>
      <c r="V1" s="47"/>
      <c r="W1" s="46" t="s">
        <v>13</v>
      </c>
      <c r="X1" s="47"/>
      <c r="Y1" s="46" t="s">
        <v>14</v>
      </c>
      <c r="Z1" s="47"/>
      <c r="AA1" s="46" t="s">
        <v>15</v>
      </c>
      <c r="AB1" s="47"/>
      <c r="AC1" s="46" t="s">
        <v>16</v>
      </c>
      <c r="AD1" s="47"/>
      <c r="AE1" s="46" t="s">
        <v>17</v>
      </c>
      <c r="AF1" s="47"/>
      <c r="AG1" s="46" t="s">
        <v>18</v>
      </c>
      <c r="AH1" s="47"/>
      <c r="AI1" s="46" t="s">
        <v>19</v>
      </c>
      <c r="AJ1" s="47"/>
      <c r="AK1" s="46" t="s">
        <v>20</v>
      </c>
      <c r="AL1" s="47"/>
      <c r="AM1" s="46" t="s">
        <v>21</v>
      </c>
      <c r="AN1" s="47"/>
      <c r="AO1" s="46" t="s">
        <v>22</v>
      </c>
      <c r="AP1" s="47"/>
      <c r="AQ1" s="46" t="s">
        <v>23</v>
      </c>
      <c r="AR1" s="47"/>
      <c r="AS1" s="46" t="s">
        <v>268</v>
      </c>
      <c r="AT1" s="59"/>
      <c r="AU1" s="46" t="s">
        <v>24</v>
      </c>
      <c r="AV1" s="59"/>
      <c r="AW1" s="2" t="s">
        <v>25</v>
      </c>
      <c r="AX1" s="2" t="s">
        <v>26</v>
      </c>
    </row>
    <row r="2" spans="1:50" x14ac:dyDescent="0.25">
      <c r="A2" s="56"/>
      <c r="B2" s="52"/>
      <c r="C2" s="56"/>
      <c r="D2" s="52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25">
      <c r="A3" s="48" t="s">
        <v>29</v>
      </c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50"/>
      <c r="AW3" s="7"/>
      <c r="AX3" s="7"/>
    </row>
    <row r="4" spans="1:50" ht="20.100000000000001" customHeight="1" x14ac:dyDescent="0.25">
      <c r="A4" s="43" t="s">
        <v>30</v>
      </c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5"/>
      <c r="AW4" s="8"/>
      <c r="AX4" s="8"/>
    </row>
    <row r="5" spans="1:50" ht="18" customHeight="1" x14ac:dyDescent="0.25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25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25">
      <c r="A7" s="43" t="s">
        <v>40</v>
      </c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5"/>
      <c r="AW7" s="8"/>
      <c r="AX7" s="8"/>
    </row>
    <row r="8" spans="1:50" ht="18" customHeight="1" x14ac:dyDescent="0.25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25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25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25">
      <c r="A11" s="43" t="s">
        <v>51</v>
      </c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5"/>
      <c r="AW11" s="8"/>
      <c r="AX11" s="8"/>
    </row>
    <row r="12" spans="1:50" ht="18" customHeight="1" x14ac:dyDescent="0.25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25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25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25">
      <c r="A15" s="43" t="s">
        <v>58</v>
      </c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5"/>
      <c r="AW15" s="8"/>
      <c r="AX15" s="8"/>
    </row>
    <row r="16" spans="1:50" ht="18" customHeight="1" x14ac:dyDescent="0.25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25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25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25">
      <c r="A19" s="9">
        <v>1.791666666666667</v>
      </c>
      <c r="B19" s="17" t="s">
        <v>69</v>
      </c>
      <c r="C19" s="10" t="s">
        <v>273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25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25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25">
      <c r="A22" s="43" t="s">
        <v>75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5"/>
      <c r="AW22" s="8"/>
      <c r="AX22" s="8"/>
    </row>
    <row r="23" spans="1:50" ht="18" customHeight="1" x14ac:dyDescent="0.25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25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25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25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25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25">
      <c r="A28" s="39" t="s">
        <v>84</v>
      </c>
      <c r="B28" s="40"/>
      <c r="C28" s="41"/>
      <c r="D28" s="40"/>
      <c r="E28" s="41"/>
      <c r="F28" s="40"/>
      <c r="G28" s="41"/>
      <c r="H28" s="40"/>
      <c r="I28" s="41"/>
      <c r="J28" s="40"/>
      <c r="K28" s="41"/>
      <c r="L28" s="40"/>
      <c r="M28" s="41"/>
      <c r="N28" s="40"/>
      <c r="O28" s="41"/>
      <c r="P28" s="40"/>
      <c r="Q28" s="41"/>
      <c r="R28" s="40"/>
      <c r="S28" s="41"/>
      <c r="T28" s="40"/>
      <c r="U28" s="41"/>
      <c r="V28" s="40"/>
      <c r="W28" s="41"/>
      <c r="X28" s="40"/>
      <c r="Y28" s="41"/>
      <c r="Z28" s="40"/>
      <c r="AA28" s="41"/>
      <c r="AB28" s="40"/>
      <c r="AC28" s="41"/>
      <c r="AD28" s="40"/>
      <c r="AE28" s="41"/>
      <c r="AF28" s="40"/>
      <c r="AG28" s="41"/>
      <c r="AH28" s="40"/>
      <c r="AI28" s="41"/>
      <c r="AJ28" s="40"/>
      <c r="AK28" s="41"/>
      <c r="AL28" s="40"/>
      <c r="AM28" s="41"/>
      <c r="AN28" s="40"/>
      <c r="AO28" s="41"/>
      <c r="AP28" s="40"/>
      <c r="AQ28" s="40"/>
      <c r="AR28" s="40"/>
      <c r="AS28" s="40"/>
      <c r="AT28" s="40"/>
      <c r="AU28" s="41"/>
      <c r="AV28" s="42"/>
      <c r="AW28" s="8"/>
      <c r="AX28" s="8"/>
    </row>
    <row r="29" spans="1:50" ht="18" customHeight="1" x14ac:dyDescent="0.25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25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25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25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25">
      <c r="A33" s="39" t="s">
        <v>92</v>
      </c>
      <c r="B33" s="40"/>
      <c r="C33" s="41"/>
      <c r="D33" s="40"/>
      <c r="E33" s="41"/>
      <c r="F33" s="40"/>
      <c r="G33" s="41"/>
      <c r="H33" s="40"/>
      <c r="I33" s="41"/>
      <c r="J33" s="40"/>
      <c r="K33" s="41"/>
      <c r="L33" s="40"/>
      <c r="M33" s="41"/>
      <c r="N33" s="40"/>
      <c r="O33" s="41"/>
      <c r="P33" s="40"/>
      <c r="Q33" s="41"/>
      <c r="R33" s="40"/>
      <c r="S33" s="41"/>
      <c r="T33" s="40"/>
      <c r="U33" s="41"/>
      <c r="V33" s="40"/>
      <c r="W33" s="41"/>
      <c r="X33" s="40"/>
      <c r="Y33" s="41"/>
      <c r="Z33" s="40"/>
      <c r="AA33" s="41"/>
      <c r="AB33" s="40"/>
      <c r="AC33" s="41"/>
      <c r="AD33" s="40"/>
      <c r="AE33" s="41"/>
      <c r="AF33" s="40"/>
      <c r="AG33" s="41"/>
      <c r="AH33" s="40"/>
      <c r="AI33" s="41"/>
      <c r="AJ33" s="40"/>
      <c r="AK33" s="41"/>
      <c r="AL33" s="40"/>
      <c r="AM33" s="41"/>
      <c r="AN33" s="40"/>
      <c r="AO33" s="41"/>
      <c r="AP33" s="40"/>
      <c r="AQ33" s="40"/>
      <c r="AR33" s="40"/>
      <c r="AS33" s="40"/>
      <c r="AT33" s="40"/>
      <c r="AU33" s="41"/>
      <c r="AV33" s="42"/>
      <c r="AW33" s="8"/>
      <c r="AX33" s="8"/>
    </row>
    <row r="34" spans="1:50" ht="18" customHeight="1" x14ac:dyDescent="0.25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25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25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25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25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25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25">
      <c r="A40" s="39" t="s">
        <v>103</v>
      </c>
      <c r="B40" s="40"/>
      <c r="C40" s="41"/>
      <c r="D40" s="40"/>
      <c r="E40" s="41"/>
      <c r="F40" s="40"/>
      <c r="G40" s="41"/>
      <c r="H40" s="40"/>
      <c r="I40" s="41"/>
      <c r="J40" s="40"/>
      <c r="K40" s="41"/>
      <c r="L40" s="40"/>
      <c r="M40" s="41"/>
      <c r="N40" s="40"/>
      <c r="O40" s="41"/>
      <c r="P40" s="40"/>
      <c r="Q40" s="41"/>
      <c r="R40" s="40"/>
      <c r="S40" s="41"/>
      <c r="T40" s="40"/>
      <c r="U40" s="41"/>
      <c r="V40" s="40"/>
      <c r="W40" s="41"/>
      <c r="X40" s="40"/>
      <c r="Y40" s="41"/>
      <c r="Z40" s="40"/>
      <c r="AA40" s="41"/>
      <c r="AB40" s="40"/>
      <c r="AC40" s="41"/>
      <c r="AD40" s="40"/>
      <c r="AE40" s="41"/>
      <c r="AF40" s="40"/>
      <c r="AG40" s="41"/>
      <c r="AH40" s="40"/>
      <c r="AI40" s="41"/>
      <c r="AJ40" s="40"/>
      <c r="AK40" s="41"/>
      <c r="AL40" s="40"/>
      <c r="AM40" s="41"/>
      <c r="AN40" s="40"/>
      <c r="AO40" s="41"/>
      <c r="AP40" s="40"/>
      <c r="AQ40" s="40"/>
      <c r="AR40" s="40"/>
      <c r="AS40" s="40"/>
      <c r="AT40" s="40"/>
      <c r="AU40" s="41"/>
      <c r="AV40" s="42"/>
      <c r="AW40" s="8"/>
      <c r="AX40" s="8"/>
    </row>
    <row r="41" spans="1:50" ht="18" customHeight="1" x14ac:dyDescent="0.25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25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25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25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25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25">
      <c r="A46" s="39" t="s">
        <v>110</v>
      </c>
      <c r="B46" s="40"/>
      <c r="C46" s="41"/>
      <c r="D46" s="40"/>
      <c r="E46" s="41"/>
      <c r="F46" s="40"/>
      <c r="G46" s="41"/>
      <c r="H46" s="40"/>
      <c r="I46" s="41"/>
      <c r="J46" s="40"/>
      <c r="K46" s="41"/>
      <c r="L46" s="40"/>
      <c r="M46" s="41"/>
      <c r="N46" s="40"/>
      <c r="O46" s="41"/>
      <c r="P46" s="40"/>
      <c r="Q46" s="41"/>
      <c r="R46" s="40"/>
      <c r="S46" s="41"/>
      <c r="T46" s="40"/>
      <c r="U46" s="41"/>
      <c r="V46" s="40"/>
      <c r="W46" s="41"/>
      <c r="X46" s="40"/>
      <c r="Y46" s="41"/>
      <c r="Z46" s="40"/>
      <c r="AA46" s="41"/>
      <c r="AB46" s="40"/>
      <c r="AC46" s="41"/>
      <c r="AD46" s="40"/>
      <c r="AE46" s="41"/>
      <c r="AF46" s="40"/>
      <c r="AG46" s="41"/>
      <c r="AH46" s="40"/>
      <c r="AI46" s="41"/>
      <c r="AJ46" s="40"/>
      <c r="AK46" s="41"/>
      <c r="AL46" s="40"/>
      <c r="AM46" s="41"/>
      <c r="AN46" s="40"/>
      <c r="AO46" s="41"/>
      <c r="AP46" s="40"/>
      <c r="AQ46" s="40"/>
      <c r="AR46" s="40"/>
      <c r="AS46" s="40"/>
      <c r="AT46" s="40"/>
      <c r="AU46" s="41"/>
      <c r="AV46" s="42"/>
      <c r="AW46" s="8"/>
      <c r="AX46" s="8"/>
    </row>
    <row r="47" spans="1:50" ht="18" customHeight="1" x14ac:dyDescent="0.25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25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25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25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25">
      <c r="A51" s="39" t="s">
        <v>111</v>
      </c>
      <c r="B51" s="40"/>
      <c r="C51" s="41"/>
      <c r="D51" s="40"/>
      <c r="E51" s="41"/>
      <c r="F51" s="40"/>
      <c r="G51" s="41"/>
      <c r="H51" s="40"/>
      <c r="I51" s="41"/>
      <c r="J51" s="40"/>
      <c r="K51" s="41"/>
      <c r="L51" s="40"/>
      <c r="M51" s="41"/>
      <c r="N51" s="40"/>
      <c r="O51" s="41"/>
      <c r="P51" s="40"/>
      <c r="Q51" s="41"/>
      <c r="R51" s="40"/>
      <c r="S51" s="41"/>
      <c r="T51" s="40"/>
      <c r="U51" s="41"/>
      <c r="V51" s="40"/>
      <c r="W51" s="41"/>
      <c r="X51" s="40"/>
      <c r="Y51" s="41"/>
      <c r="Z51" s="40"/>
      <c r="AA51" s="41"/>
      <c r="AB51" s="40"/>
      <c r="AC51" s="41"/>
      <c r="AD51" s="40"/>
      <c r="AE51" s="41"/>
      <c r="AF51" s="40"/>
      <c r="AG51" s="41"/>
      <c r="AH51" s="40"/>
      <c r="AI51" s="41"/>
      <c r="AJ51" s="40"/>
      <c r="AK51" s="41"/>
      <c r="AL51" s="40"/>
      <c r="AM51" s="41"/>
      <c r="AN51" s="40"/>
      <c r="AO51" s="41"/>
      <c r="AP51" s="40"/>
      <c r="AQ51" s="40"/>
      <c r="AR51" s="40"/>
      <c r="AS51" s="40"/>
      <c r="AT51" s="40"/>
      <c r="AU51" s="41"/>
      <c r="AV51" s="42"/>
      <c r="AW51" s="8"/>
      <c r="AX51" s="8"/>
    </row>
    <row r="52" spans="1:50" ht="18" customHeight="1" x14ac:dyDescent="0.25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25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25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25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25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25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25">
      <c r="A58" s="39" t="s">
        <v>114</v>
      </c>
      <c r="B58" s="40"/>
      <c r="C58" s="41"/>
      <c r="D58" s="40"/>
      <c r="E58" s="41"/>
      <c r="F58" s="40"/>
      <c r="G58" s="41"/>
      <c r="H58" s="40"/>
      <c r="I58" s="41"/>
      <c r="J58" s="40"/>
      <c r="K58" s="41"/>
      <c r="L58" s="40"/>
      <c r="M58" s="41"/>
      <c r="N58" s="40"/>
      <c r="O58" s="41"/>
      <c r="P58" s="40"/>
      <c r="Q58" s="41"/>
      <c r="R58" s="40"/>
      <c r="S58" s="41"/>
      <c r="T58" s="40"/>
      <c r="U58" s="41"/>
      <c r="V58" s="40"/>
      <c r="W58" s="41"/>
      <c r="X58" s="40"/>
      <c r="Y58" s="41"/>
      <c r="Z58" s="40"/>
      <c r="AA58" s="41"/>
      <c r="AB58" s="40"/>
      <c r="AC58" s="41"/>
      <c r="AD58" s="40"/>
      <c r="AE58" s="41"/>
      <c r="AF58" s="40"/>
      <c r="AG58" s="41"/>
      <c r="AH58" s="40"/>
      <c r="AI58" s="41"/>
      <c r="AJ58" s="40"/>
      <c r="AK58" s="41"/>
      <c r="AL58" s="40"/>
      <c r="AM58" s="41"/>
      <c r="AN58" s="40"/>
      <c r="AO58" s="41"/>
      <c r="AP58" s="40"/>
      <c r="AQ58" s="40"/>
      <c r="AR58" s="40"/>
      <c r="AS58" s="40"/>
      <c r="AT58" s="40"/>
      <c r="AU58" s="41"/>
      <c r="AV58" s="42"/>
      <c r="AW58" s="8"/>
      <c r="AX58" s="8"/>
    </row>
    <row r="59" spans="1:50" ht="18" customHeight="1" x14ac:dyDescent="0.25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25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25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25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25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25">
      <c r="A64" s="39" t="s">
        <v>116</v>
      </c>
      <c r="B64" s="40"/>
      <c r="C64" s="41"/>
      <c r="D64" s="40"/>
      <c r="E64" s="41"/>
      <c r="F64" s="40"/>
      <c r="G64" s="41"/>
      <c r="H64" s="40"/>
      <c r="I64" s="41"/>
      <c r="J64" s="40"/>
      <c r="K64" s="41"/>
      <c r="L64" s="40"/>
      <c r="M64" s="41"/>
      <c r="N64" s="40"/>
      <c r="O64" s="41"/>
      <c r="P64" s="40"/>
      <c r="Q64" s="41"/>
      <c r="R64" s="40"/>
      <c r="S64" s="41"/>
      <c r="T64" s="40"/>
      <c r="U64" s="41"/>
      <c r="V64" s="40"/>
      <c r="W64" s="41"/>
      <c r="X64" s="40"/>
      <c r="Y64" s="41"/>
      <c r="Z64" s="40"/>
      <c r="AA64" s="41"/>
      <c r="AB64" s="40"/>
      <c r="AC64" s="41"/>
      <c r="AD64" s="40"/>
      <c r="AE64" s="41"/>
      <c r="AF64" s="40"/>
      <c r="AG64" s="41"/>
      <c r="AH64" s="40"/>
      <c r="AI64" s="41"/>
      <c r="AJ64" s="40"/>
      <c r="AK64" s="41"/>
      <c r="AL64" s="40"/>
      <c r="AM64" s="41"/>
      <c r="AN64" s="40"/>
      <c r="AO64" s="41"/>
      <c r="AP64" s="40"/>
      <c r="AQ64" s="40"/>
      <c r="AR64" s="40"/>
      <c r="AS64" s="40"/>
      <c r="AT64" s="40"/>
      <c r="AU64" s="41"/>
      <c r="AV64" s="42"/>
      <c r="AW64" s="8"/>
      <c r="AX64" s="8"/>
    </row>
    <row r="65" spans="1:50" ht="18" customHeight="1" x14ac:dyDescent="0.25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25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25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25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25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25">
      <c r="A70" s="39" t="s">
        <v>117</v>
      </c>
      <c r="B70" s="40"/>
      <c r="C70" s="41"/>
      <c r="D70" s="40"/>
      <c r="E70" s="41"/>
      <c r="F70" s="40"/>
      <c r="G70" s="41"/>
      <c r="H70" s="40"/>
      <c r="I70" s="41"/>
      <c r="J70" s="40"/>
      <c r="K70" s="41"/>
      <c r="L70" s="40"/>
      <c r="M70" s="41"/>
      <c r="N70" s="40"/>
      <c r="O70" s="41"/>
      <c r="P70" s="40"/>
      <c r="Q70" s="41"/>
      <c r="R70" s="40"/>
      <c r="S70" s="41"/>
      <c r="T70" s="40"/>
      <c r="U70" s="41"/>
      <c r="V70" s="40"/>
      <c r="W70" s="41"/>
      <c r="X70" s="40"/>
      <c r="Y70" s="41"/>
      <c r="Z70" s="40"/>
      <c r="AA70" s="41"/>
      <c r="AB70" s="40"/>
      <c r="AC70" s="41"/>
      <c r="AD70" s="40"/>
      <c r="AE70" s="41"/>
      <c r="AF70" s="40"/>
      <c r="AG70" s="41"/>
      <c r="AH70" s="40"/>
      <c r="AI70" s="41"/>
      <c r="AJ70" s="40"/>
      <c r="AK70" s="41"/>
      <c r="AL70" s="40"/>
      <c r="AM70" s="41"/>
      <c r="AN70" s="40"/>
      <c r="AO70" s="41"/>
      <c r="AP70" s="40"/>
      <c r="AQ70" s="40"/>
      <c r="AR70" s="40"/>
      <c r="AS70" s="40"/>
      <c r="AT70" s="40"/>
      <c r="AU70" s="41"/>
      <c r="AV70" s="42"/>
      <c r="AW70" s="8"/>
      <c r="AX70" s="8"/>
    </row>
    <row r="71" spans="1:50" ht="18" customHeight="1" x14ac:dyDescent="0.25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25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25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25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25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25">
      <c r="A76" s="39" t="s">
        <v>118</v>
      </c>
      <c r="B76" s="40"/>
      <c r="C76" s="41"/>
      <c r="D76" s="40"/>
      <c r="E76" s="41"/>
      <c r="F76" s="40"/>
      <c r="G76" s="41"/>
      <c r="H76" s="40"/>
      <c r="I76" s="41"/>
      <c r="J76" s="40"/>
      <c r="K76" s="41"/>
      <c r="L76" s="40"/>
      <c r="M76" s="41"/>
      <c r="N76" s="40"/>
      <c r="O76" s="41"/>
      <c r="P76" s="40"/>
      <c r="Q76" s="41"/>
      <c r="R76" s="40"/>
      <c r="S76" s="41"/>
      <c r="T76" s="40"/>
      <c r="U76" s="41"/>
      <c r="V76" s="40"/>
      <c r="W76" s="41"/>
      <c r="X76" s="40"/>
      <c r="Y76" s="41"/>
      <c r="Z76" s="40"/>
      <c r="AA76" s="41"/>
      <c r="AB76" s="40"/>
      <c r="AC76" s="41"/>
      <c r="AD76" s="40"/>
      <c r="AE76" s="41"/>
      <c r="AF76" s="40"/>
      <c r="AG76" s="41"/>
      <c r="AH76" s="40"/>
      <c r="AI76" s="41"/>
      <c r="AJ76" s="40"/>
      <c r="AK76" s="41"/>
      <c r="AL76" s="40"/>
      <c r="AM76" s="41"/>
      <c r="AN76" s="40"/>
      <c r="AO76" s="41"/>
      <c r="AP76" s="40"/>
      <c r="AQ76" s="40"/>
      <c r="AR76" s="40"/>
      <c r="AS76" s="40"/>
      <c r="AT76" s="40"/>
      <c r="AU76" s="41"/>
      <c r="AV76" s="42"/>
      <c r="AW76" s="8"/>
      <c r="AX76" s="8"/>
    </row>
    <row r="77" spans="1:50" ht="18" customHeight="1" x14ac:dyDescent="0.25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25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25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25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25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25">
      <c r="A82" s="39" t="s">
        <v>119</v>
      </c>
      <c r="B82" s="40"/>
      <c r="C82" s="41"/>
      <c r="D82" s="40"/>
      <c r="E82" s="41"/>
      <c r="F82" s="40"/>
      <c r="G82" s="41"/>
      <c r="H82" s="40"/>
      <c r="I82" s="41"/>
      <c r="J82" s="40"/>
      <c r="K82" s="41"/>
      <c r="L82" s="40"/>
      <c r="M82" s="41"/>
      <c r="N82" s="40"/>
      <c r="O82" s="41"/>
      <c r="P82" s="40"/>
      <c r="Q82" s="41"/>
      <c r="R82" s="40"/>
      <c r="S82" s="41"/>
      <c r="T82" s="40"/>
      <c r="U82" s="41"/>
      <c r="V82" s="40"/>
      <c r="W82" s="41"/>
      <c r="X82" s="40"/>
      <c r="Y82" s="41"/>
      <c r="Z82" s="40"/>
      <c r="AA82" s="41"/>
      <c r="AB82" s="40"/>
      <c r="AC82" s="41"/>
      <c r="AD82" s="40"/>
      <c r="AE82" s="41"/>
      <c r="AF82" s="40"/>
      <c r="AG82" s="41"/>
      <c r="AH82" s="40"/>
      <c r="AI82" s="41"/>
      <c r="AJ82" s="40"/>
      <c r="AK82" s="41"/>
      <c r="AL82" s="40"/>
      <c r="AM82" s="41"/>
      <c r="AN82" s="40"/>
      <c r="AO82" s="41"/>
      <c r="AP82" s="40"/>
      <c r="AQ82" s="40"/>
      <c r="AR82" s="40"/>
      <c r="AS82" s="40"/>
      <c r="AT82" s="40"/>
      <c r="AU82" s="41"/>
      <c r="AV82" s="42"/>
      <c r="AW82" s="8"/>
      <c r="AX82" s="8"/>
    </row>
    <row r="83" spans="1:50" ht="18" customHeight="1" x14ac:dyDescent="0.25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25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25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25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25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25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25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25">
      <c r="A90" s="39" t="s">
        <v>122</v>
      </c>
      <c r="B90" s="40"/>
      <c r="C90" s="41"/>
      <c r="D90" s="40"/>
      <c r="E90" s="41"/>
      <c r="F90" s="40"/>
      <c r="G90" s="41"/>
      <c r="H90" s="40"/>
      <c r="I90" s="41"/>
      <c r="J90" s="40"/>
      <c r="K90" s="41"/>
      <c r="L90" s="40"/>
      <c r="M90" s="41"/>
      <c r="N90" s="40"/>
      <c r="O90" s="41"/>
      <c r="P90" s="40"/>
      <c r="Q90" s="41"/>
      <c r="R90" s="40"/>
      <c r="S90" s="41"/>
      <c r="T90" s="40"/>
      <c r="U90" s="41"/>
      <c r="V90" s="40"/>
      <c r="W90" s="41"/>
      <c r="X90" s="40"/>
      <c r="Y90" s="41"/>
      <c r="Z90" s="40"/>
      <c r="AA90" s="41"/>
      <c r="AB90" s="40"/>
      <c r="AC90" s="41"/>
      <c r="AD90" s="40"/>
      <c r="AE90" s="41"/>
      <c r="AF90" s="40"/>
      <c r="AG90" s="41"/>
      <c r="AH90" s="40"/>
      <c r="AI90" s="41"/>
      <c r="AJ90" s="40"/>
      <c r="AK90" s="41"/>
      <c r="AL90" s="40"/>
      <c r="AM90" s="41"/>
      <c r="AN90" s="40"/>
      <c r="AO90" s="41"/>
      <c r="AP90" s="40"/>
      <c r="AQ90" s="40"/>
      <c r="AR90" s="40"/>
      <c r="AS90" s="40"/>
      <c r="AT90" s="40"/>
      <c r="AU90" s="41"/>
      <c r="AV90" s="42"/>
      <c r="AW90" s="8"/>
      <c r="AX90" s="8"/>
    </row>
    <row r="91" spans="1:50" ht="18" customHeight="1" x14ac:dyDescent="0.25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25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25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25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25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25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25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25">
      <c r="A98" s="39" t="s">
        <v>125</v>
      </c>
      <c r="B98" s="40"/>
      <c r="C98" s="41"/>
      <c r="D98" s="40"/>
      <c r="E98" s="41"/>
      <c r="F98" s="40"/>
      <c r="G98" s="41"/>
      <c r="H98" s="40"/>
      <c r="I98" s="41"/>
      <c r="J98" s="40"/>
      <c r="K98" s="41"/>
      <c r="L98" s="40"/>
      <c r="M98" s="41"/>
      <c r="N98" s="40"/>
      <c r="O98" s="41"/>
      <c r="P98" s="40"/>
      <c r="Q98" s="41"/>
      <c r="R98" s="40"/>
      <c r="S98" s="41"/>
      <c r="T98" s="40"/>
      <c r="U98" s="41"/>
      <c r="V98" s="40"/>
      <c r="W98" s="41"/>
      <c r="X98" s="40"/>
      <c r="Y98" s="41"/>
      <c r="Z98" s="40"/>
      <c r="AA98" s="41"/>
      <c r="AB98" s="40"/>
      <c r="AC98" s="41"/>
      <c r="AD98" s="40"/>
      <c r="AE98" s="41"/>
      <c r="AF98" s="40"/>
      <c r="AG98" s="41"/>
      <c r="AH98" s="40"/>
      <c r="AI98" s="41"/>
      <c r="AJ98" s="40"/>
      <c r="AK98" s="41"/>
      <c r="AL98" s="40"/>
      <c r="AM98" s="41"/>
      <c r="AN98" s="40"/>
      <c r="AO98" s="41"/>
      <c r="AP98" s="40"/>
      <c r="AQ98" s="40"/>
      <c r="AR98" s="40"/>
      <c r="AS98" s="40"/>
      <c r="AT98" s="40"/>
      <c r="AU98" s="41"/>
      <c r="AV98" s="42"/>
      <c r="AW98" s="8"/>
      <c r="AX98" s="8"/>
    </row>
    <row r="99" spans="1:50" ht="18" customHeight="1" x14ac:dyDescent="0.25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25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25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25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25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25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25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25">
      <c r="A106" s="39" t="s">
        <v>126</v>
      </c>
      <c r="B106" s="40"/>
      <c r="C106" s="41"/>
      <c r="D106" s="40"/>
      <c r="E106" s="41"/>
      <c r="F106" s="40"/>
      <c r="G106" s="41"/>
      <c r="H106" s="40"/>
      <c r="I106" s="41"/>
      <c r="J106" s="40"/>
      <c r="K106" s="41"/>
      <c r="L106" s="40"/>
      <c r="M106" s="41"/>
      <c r="N106" s="40"/>
      <c r="O106" s="41"/>
      <c r="P106" s="40"/>
      <c r="Q106" s="41"/>
      <c r="R106" s="40"/>
      <c r="S106" s="41"/>
      <c r="T106" s="40"/>
      <c r="U106" s="41"/>
      <c r="V106" s="40"/>
      <c r="W106" s="41"/>
      <c r="X106" s="40"/>
      <c r="Y106" s="41"/>
      <c r="Z106" s="40"/>
      <c r="AA106" s="41"/>
      <c r="AB106" s="40"/>
      <c r="AC106" s="41"/>
      <c r="AD106" s="40"/>
      <c r="AE106" s="41"/>
      <c r="AF106" s="40"/>
      <c r="AG106" s="41"/>
      <c r="AH106" s="40"/>
      <c r="AI106" s="41"/>
      <c r="AJ106" s="40"/>
      <c r="AK106" s="41"/>
      <c r="AL106" s="40"/>
      <c r="AM106" s="41"/>
      <c r="AN106" s="40"/>
      <c r="AO106" s="41"/>
      <c r="AP106" s="40"/>
      <c r="AQ106" s="40"/>
      <c r="AR106" s="40"/>
      <c r="AS106" s="40"/>
      <c r="AT106" s="40"/>
      <c r="AU106" s="41"/>
      <c r="AV106" s="42"/>
      <c r="AW106" s="8"/>
      <c r="AX106" s="8"/>
    </row>
    <row r="107" spans="1:50" ht="18" customHeight="1" x14ac:dyDescent="0.25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25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25">
      <c r="A109" s="9">
        <v>1.166666666666667</v>
      </c>
      <c r="B109" s="17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4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>0</v>
      </c>
      <c r="AS109" s="10" t="s">
        <v>50</v>
      </c>
      <c r="AT109" s="11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25">
      <c r="A110" s="9">
        <v>1.166666666666667</v>
      </c>
      <c r="B110" s="17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4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>7</v>
      </c>
      <c r="AS110" s="10" t="s">
        <v>45</v>
      </c>
      <c r="AT110" s="11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25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25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25">
      <c r="A113" s="48" t="s">
        <v>128</v>
      </c>
      <c r="B113" s="53"/>
      <c r="C113" s="54"/>
      <c r="D113" s="53"/>
      <c r="E113" s="54"/>
      <c r="F113" s="53"/>
      <c r="G113" s="54"/>
      <c r="H113" s="53"/>
      <c r="I113" s="54"/>
      <c r="J113" s="53"/>
      <c r="K113" s="54"/>
      <c r="L113" s="53"/>
      <c r="M113" s="54"/>
      <c r="N113" s="53"/>
      <c r="O113" s="54"/>
      <c r="P113" s="53"/>
      <c r="Q113" s="54"/>
      <c r="R113" s="53"/>
      <c r="S113" s="54"/>
      <c r="T113" s="53"/>
      <c r="U113" s="54"/>
      <c r="V113" s="53"/>
      <c r="W113" s="54"/>
      <c r="X113" s="53"/>
      <c r="Y113" s="54"/>
      <c r="Z113" s="53"/>
      <c r="AA113" s="54"/>
      <c r="AB113" s="53"/>
      <c r="AC113" s="54"/>
      <c r="AD113" s="53"/>
      <c r="AE113" s="54"/>
      <c r="AF113" s="53"/>
      <c r="AG113" s="54"/>
      <c r="AH113" s="53"/>
      <c r="AI113" s="54"/>
      <c r="AJ113" s="53"/>
      <c r="AK113" s="54"/>
      <c r="AL113" s="53"/>
      <c r="AM113" s="54"/>
      <c r="AN113" s="53"/>
      <c r="AO113" s="54"/>
      <c r="AP113" s="53"/>
      <c r="AQ113" s="53"/>
      <c r="AR113" s="53"/>
      <c r="AS113" s="53"/>
      <c r="AT113" s="53"/>
      <c r="AU113" s="54"/>
      <c r="AV113" s="47"/>
      <c r="AW113" s="7"/>
      <c r="AX113" s="7"/>
    </row>
    <row r="114" spans="1:50" ht="20.100000000000001" customHeight="1" x14ac:dyDescent="0.25">
      <c r="A114" s="39" t="s">
        <v>126</v>
      </c>
      <c r="B114" s="40"/>
      <c r="C114" s="41"/>
      <c r="D114" s="40"/>
      <c r="E114" s="41"/>
      <c r="F114" s="40"/>
      <c r="G114" s="41"/>
      <c r="H114" s="40"/>
      <c r="I114" s="41"/>
      <c r="J114" s="40"/>
      <c r="K114" s="41"/>
      <c r="L114" s="40"/>
      <c r="M114" s="41"/>
      <c r="N114" s="40"/>
      <c r="O114" s="41"/>
      <c r="P114" s="40"/>
      <c r="Q114" s="41"/>
      <c r="R114" s="40"/>
      <c r="S114" s="41"/>
      <c r="T114" s="40"/>
      <c r="U114" s="41"/>
      <c r="V114" s="40"/>
      <c r="W114" s="41"/>
      <c r="X114" s="40"/>
      <c r="Y114" s="41"/>
      <c r="Z114" s="40"/>
      <c r="AA114" s="41"/>
      <c r="AB114" s="40"/>
      <c r="AC114" s="41"/>
      <c r="AD114" s="40"/>
      <c r="AE114" s="41"/>
      <c r="AF114" s="40"/>
      <c r="AG114" s="41"/>
      <c r="AH114" s="40"/>
      <c r="AI114" s="41"/>
      <c r="AJ114" s="40"/>
      <c r="AK114" s="41"/>
      <c r="AL114" s="40"/>
      <c r="AM114" s="41"/>
      <c r="AN114" s="40"/>
      <c r="AO114" s="41"/>
      <c r="AP114" s="40"/>
      <c r="AQ114" s="40"/>
      <c r="AR114" s="40"/>
      <c r="AS114" s="40"/>
      <c r="AT114" s="40"/>
      <c r="AU114" s="41"/>
      <c r="AV114" s="42"/>
      <c r="AW114" s="8"/>
      <c r="AX114" s="8"/>
    </row>
    <row r="115" spans="1:50" ht="18" customHeight="1" x14ac:dyDescent="0.25">
      <c r="A115" s="9">
        <v>1.875</v>
      </c>
      <c r="B115" s="17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25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25">
      <c r="A117" s="55" t="s">
        <v>129</v>
      </c>
      <c r="B117" s="40"/>
      <c r="C117" s="41"/>
      <c r="D117" s="40"/>
      <c r="E117" s="41"/>
      <c r="F117" s="40"/>
      <c r="G117" s="41"/>
      <c r="H117" s="40"/>
      <c r="I117" s="41"/>
      <c r="J117" s="40"/>
      <c r="K117" s="41"/>
      <c r="L117" s="40"/>
      <c r="M117" s="41"/>
      <c r="N117" s="40"/>
      <c r="O117" s="41"/>
      <c r="P117" s="40"/>
      <c r="Q117" s="41"/>
      <c r="R117" s="40"/>
      <c r="S117" s="41"/>
      <c r="T117" s="40"/>
      <c r="U117" s="41"/>
      <c r="V117" s="40"/>
      <c r="W117" s="41"/>
      <c r="X117" s="40"/>
      <c r="Y117" s="41"/>
      <c r="Z117" s="40"/>
      <c r="AA117" s="41"/>
      <c r="AB117" s="40"/>
      <c r="AC117" s="41"/>
      <c r="AD117" s="40"/>
      <c r="AE117" s="41"/>
      <c r="AF117" s="40"/>
      <c r="AG117" s="41"/>
      <c r="AH117" s="40"/>
      <c r="AI117" s="41"/>
      <c r="AJ117" s="40"/>
      <c r="AK117" s="41"/>
      <c r="AL117" s="40"/>
      <c r="AM117" s="41"/>
      <c r="AN117" s="40"/>
      <c r="AO117" s="41"/>
      <c r="AP117" s="40"/>
      <c r="AQ117" s="40"/>
      <c r="AR117" s="40"/>
      <c r="AS117" s="40"/>
      <c r="AT117" s="40"/>
      <c r="AU117" s="41"/>
      <c r="AV117" s="42"/>
      <c r="AW117" s="8"/>
      <c r="AX117" s="8"/>
    </row>
    <row r="118" spans="1:50" ht="18" customHeight="1" x14ac:dyDescent="0.25">
      <c r="A118" s="9">
        <v>1.791666666666667</v>
      </c>
      <c r="B118" s="17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25">
      <c r="A119" s="9">
        <v>1.9375</v>
      </c>
      <c r="B119" s="17" t="s">
        <v>69</v>
      </c>
      <c r="C119" s="10" t="s">
        <v>35</v>
      </c>
      <c r="D119" s="1" t="s">
        <v>274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25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25">
      <c r="A121" s="55" t="s">
        <v>130</v>
      </c>
      <c r="B121" s="40"/>
      <c r="C121" s="41"/>
      <c r="D121" s="40"/>
      <c r="E121" s="41"/>
      <c r="F121" s="40"/>
      <c r="G121" s="41"/>
      <c r="H121" s="40"/>
      <c r="I121" s="41"/>
      <c r="J121" s="40"/>
      <c r="K121" s="41"/>
      <c r="L121" s="40"/>
      <c r="M121" s="41"/>
      <c r="N121" s="40"/>
      <c r="O121" s="41"/>
      <c r="P121" s="40"/>
      <c r="Q121" s="41"/>
      <c r="R121" s="40"/>
      <c r="S121" s="41"/>
      <c r="T121" s="40"/>
      <c r="U121" s="41"/>
      <c r="V121" s="40"/>
      <c r="W121" s="41"/>
      <c r="X121" s="40"/>
      <c r="Y121" s="41"/>
      <c r="Z121" s="40"/>
      <c r="AA121" s="41"/>
      <c r="AB121" s="40"/>
      <c r="AC121" s="41"/>
      <c r="AD121" s="40"/>
      <c r="AE121" s="41"/>
      <c r="AF121" s="40"/>
      <c r="AG121" s="41"/>
      <c r="AH121" s="40"/>
      <c r="AI121" s="41"/>
      <c r="AJ121" s="40"/>
      <c r="AK121" s="41"/>
      <c r="AL121" s="40"/>
      <c r="AM121" s="41"/>
      <c r="AN121" s="40"/>
      <c r="AO121" s="41"/>
      <c r="AP121" s="40"/>
      <c r="AQ121" s="40"/>
      <c r="AR121" s="40"/>
      <c r="AS121" s="40"/>
      <c r="AT121" s="40"/>
      <c r="AU121" s="41"/>
      <c r="AV121" s="42"/>
      <c r="AW121" s="8"/>
      <c r="AX121" s="8"/>
    </row>
    <row r="122" spans="1:50" ht="18" customHeight="1" x14ac:dyDescent="0.25">
      <c r="A122" s="9">
        <v>1.125</v>
      </c>
      <c r="B122" s="17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25">
      <c r="A123" s="9">
        <v>1.791666666666667</v>
      </c>
      <c r="B123" s="17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25">
      <c r="A124" s="9">
        <v>1.958333333333333</v>
      </c>
      <c r="B124" s="17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25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25">
      <c r="A126" s="55" t="s">
        <v>131</v>
      </c>
      <c r="B126" s="40"/>
      <c r="C126" s="41"/>
      <c r="D126" s="40"/>
      <c r="E126" s="41"/>
      <c r="F126" s="40"/>
      <c r="G126" s="41"/>
      <c r="H126" s="40"/>
      <c r="I126" s="41"/>
      <c r="J126" s="40"/>
      <c r="K126" s="41"/>
      <c r="L126" s="40"/>
      <c r="M126" s="41"/>
      <c r="N126" s="40"/>
      <c r="O126" s="41"/>
      <c r="P126" s="40"/>
      <c r="Q126" s="41"/>
      <c r="R126" s="40"/>
      <c r="S126" s="41"/>
      <c r="T126" s="40"/>
      <c r="U126" s="41"/>
      <c r="V126" s="40"/>
      <c r="W126" s="41"/>
      <c r="X126" s="40"/>
      <c r="Y126" s="41"/>
      <c r="Z126" s="40"/>
      <c r="AA126" s="41"/>
      <c r="AB126" s="40"/>
      <c r="AC126" s="41"/>
      <c r="AD126" s="40"/>
      <c r="AE126" s="41"/>
      <c r="AF126" s="40"/>
      <c r="AG126" s="41"/>
      <c r="AH126" s="40"/>
      <c r="AI126" s="41"/>
      <c r="AJ126" s="40"/>
      <c r="AK126" s="41"/>
      <c r="AL126" s="40"/>
      <c r="AM126" s="41"/>
      <c r="AN126" s="40"/>
      <c r="AO126" s="41"/>
      <c r="AP126" s="40"/>
      <c r="AQ126" s="40"/>
      <c r="AR126" s="40"/>
      <c r="AS126" s="40"/>
      <c r="AT126" s="40"/>
      <c r="AU126" s="41"/>
      <c r="AV126" s="42"/>
      <c r="AW126" s="8"/>
      <c r="AX126" s="8"/>
    </row>
    <row r="127" spans="1:50" ht="18" customHeight="1" x14ac:dyDescent="0.25">
      <c r="A127" s="9">
        <v>1.125</v>
      </c>
      <c r="B127" s="17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25">
      <c r="A128" s="9">
        <v>1.75</v>
      </c>
      <c r="B128" s="17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25">
      <c r="A129" s="9">
        <v>1.916666666666667</v>
      </c>
      <c r="B129" s="17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25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25">
      <c r="A131" s="55" t="s">
        <v>132</v>
      </c>
      <c r="B131" s="40"/>
      <c r="C131" s="41"/>
      <c r="D131" s="40"/>
      <c r="E131" s="41"/>
      <c r="F131" s="40"/>
      <c r="G131" s="41"/>
      <c r="H131" s="40"/>
      <c r="I131" s="41"/>
      <c r="J131" s="40"/>
      <c r="K131" s="41"/>
      <c r="L131" s="40"/>
      <c r="M131" s="41"/>
      <c r="N131" s="40"/>
      <c r="O131" s="41"/>
      <c r="P131" s="40"/>
      <c r="Q131" s="41"/>
      <c r="R131" s="40"/>
      <c r="S131" s="41"/>
      <c r="T131" s="40"/>
      <c r="U131" s="41"/>
      <c r="V131" s="40"/>
      <c r="W131" s="41"/>
      <c r="X131" s="40"/>
      <c r="Y131" s="41"/>
      <c r="Z131" s="40"/>
      <c r="AA131" s="41"/>
      <c r="AB131" s="40"/>
      <c r="AC131" s="41"/>
      <c r="AD131" s="40"/>
      <c r="AE131" s="41"/>
      <c r="AF131" s="40"/>
      <c r="AG131" s="41"/>
      <c r="AH131" s="40"/>
      <c r="AI131" s="41"/>
      <c r="AJ131" s="40"/>
      <c r="AK131" s="41"/>
      <c r="AL131" s="40"/>
      <c r="AM131" s="41"/>
      <c r="AN131" s="40"/>
      <c r="AO131" s="41"/>
      <c r="AP131" s="40"/>
      <c r="AQ131" s="40"/>
      <c r="AR131" s="40"/>
      <c r="AS131" s="40"/>
      <c r="AT131" s="40"/>
      <c r="AU131" s="41"/>
      <c r="AV131" s="42"/>
      <c r="AW131" s="8"/>
      <c r="AX131" s="8"/>
    </row>
    <row r="132" spans="1:50" ht="18" customHeight="1" x14ac:dyDescent="0.25">
      <c r="A132" s="9">
        <v>1.083333333333333</v>
      </c>
      <c r="B132" s="17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25">
      <c r="A133" s="9">
        <v>1.875</v>
      </c>
      <c r="B133" s="17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25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25">
      <c r="A135" s="55" t="s">
        <v>133</v>
      </c>
      <c r="B135" s="40"/>
      <c r="C135" s="41"/>
      <c r="D135" s="40"/>
      <c r="E135" s="41"/>
      <c r="F135" s="40"/>
      <c r="G135" s="41"/>
      <c r="H135" s="40"/>
      <c r="I135" s="41"/>
      <c r="J135" s="40"/>
      <c r="K135" s="41"/>
      <c r="L135" s="40"/>
      <c r="M135" s="41"/>
      <c r="N135" s="40"/>
      <c r="O135" s="41"/>
      <c r="P135" s="40"/>
      <c r="Q135" s="41"/>
      <c r="R135" s="40"/>
      <c r="S135" s="41"/>
      <c r="T135" s="40"/>
      <c r="U135" s="41"/>
      <c r="V135" s="40"/>
      <c r="W135" s="41"/>
      <c r="X135" s="40"/>
      <c r="Y135" s="41"/>
      <c r="Z135" s="40"/>
      <c r="AA135" s="41"/>
      <c r="AB135" s="40"/>
      <c r="AC135" s="41"/>
      <c r="AD135" s="40"/>
      <c r="AE135" s="41"/>
      <c r="AF135" s="40"/>
      <c r="AG135" s="41"/>
      <c r="AH135" s="40"/>
      <c r="AI135" s="41"/>
      <c r="AJ135" s="40"/>
      <c r="AK135" s="41"/>
      <c r="AL135" s="40"/>
      <c r="AM135" s="41"/>
      <c r="AN135" s="40"/>
      <c r="AO135" s="41"/>
      <c r="AP135" s="40"/>
      <c r="AQ135" s="40"/>
      <c r="AR135" s="40"/>
      <c r="AS135" s="40"/>
      <c r="AT135" s="40"/>
      <c r="AU135" s="41"/>
      <c r="AV135" s="42"/>
      <c r="AW135" s="8"/>
      <c r="AX135" s="8"/>
    </row>
    <row r="136" spans="1:50" ht="18" customHeight="1" x14ac:dyDescent="0.25">
      <c r="A136" s="9">
        <v>1.041666666666667</v>
      </c>
      <c r="B136" s="17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25">
      <c r="A137" s="9">
        <v>1.208333333333333</v>
      </c>
      <c r="B137" s="17" t="s">
        <v>55</v>
      </c>
      <c r="C137" s="10" t="s">
        <v>36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7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10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0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7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0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0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7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7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10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7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10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7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10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7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0</v>
      </c>
    </row>
    <row r="138" spans="1:50" ht="18" customHeight="1" x14ac:dyDescent="0.25">
      <c r="A138" s="9">
        <v>1.833333333333333</v>
      </c>
      <c r="B138" s="17" t="s">
        <v>67</v>
      </c>
      <c r="C138" s="10" t="s">
        <v>35</v>
      </c>
      <c r="D138" s="1" t="s">
        <v>276</v>
      </c>
      <c r="E138" s="10" t="s">
        <v>37</v>
      </c>
      <c r="F138" s="11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>2</v>
      </c>
      <c r="G138" s="10" t="s">
        <v>37</v>
      </c>
      <c r="H138" s="11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>2</v>
      </c>
      <c r="I138" s="10" t="s">
        <v>45</v>
      </c>
      <c r="J138" s="11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>2</v>
      </c>
      <c r="K138" s="10" t="s">
        <v>37</v>
      </c>
      <c r="L138" s="11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>2</v>
      </c>
      <c r="M138" s="10" t="s">
        <v>36</v>
      </c>
      <c r="N138" s="11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>0</v>
      </c>
      <c r="O138" s="10" t="s">
        <v>37</v>
      </c>
      <c r="P138" s="11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>2</v>
      </c>
      <c r="Q138" s="10" t="s">
        <v>34</v>
      </c>
      <c r="R138" s="11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>2</v>
      </c>
      <c r="S138" s="10" t="s">
        <v>48</v>
      </c>
      <c r="T138" s="11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>0</v>
      </c>
      <c r="U138" s="10" t="s">
        <v>35</v>
      </c>
      <c r="V138" s="11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>10</v>
      </c>
      <c r="W138" s="10" t="s">
        <v>45</v>
      </c>
      <c r="X138" s="11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>2</v>
      </c>
      <c r="Y138" s="10" t="s">
        <v>50</v>
      </c>
      <c r="Z138" s="11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>7</v>
      </c>
      <c r="AA138" s="10" t="s">
        <v>45</v>
      </c>
      <c r="AB138" s="11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>2</v>
      </c>
      <c r="AC138" s="10" t="s">
        <v>37</v>
      </c>
      <c r="AD138" s="11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>2</v>
      </c>
      <c r="AE138" s="10" t="s">
        <v>37</v>
      </c>
      <c r="AF138" s="11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>2</v>
      </c>
      <c r="AG138" s="10" t="s">
        <v>35</v>
      </c>
      <c r="AH138" s="11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>10</v>
      </c>
      <c r="AI138" s="10" t="s">
        <v>36</v>
      </c>
      <c r="AJ138" s="11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>0</v>
      </c>
      <c r="AK138" s="10" t="s">
        <v>45</v>
      </c>
      <c r="AL138" s="11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>2</v>
      </c>
      <c r="AM138" s="10" t="s">
        <v>48</v>
      </c>
      <c r="AN138" s="11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>0</v>
      </c>
      <c r="AO138" s="10" t="s">
        <v>50</v>
      </c>
      <c r="AP138" s="11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>7</v>
      </c>
      <c r="AQ138" s="10" t="s">
        <v>44</v>
      </c>
      <c r="AR138" s="11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>0</v>
      </c>
      <c r="AS138" s="10" t="s">
        <v>39</v>
      </c>
      <c r="AT138" s="11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>2</v>
      </c>
      <c r="AU138" s="10" t="s">
        <v>39</v>
      </c>
      <c r="AV138" s="11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>2</v>
      </c>
      <c r="AW138" s="11">
        <f>IF($C138="","",IFERROR(--LEFT($C138,FIND("-",$C138)-1),""))</f>
        <v>1</v>
      </c>
      <c r="AX138" s="11">
        <f>IF($C138="","",IFERROR(--MID($C138,FIND("-",$C138)+1,99),""))</f>
        <v>1</v>
      </c>
    </row>
    <row r="139" spans="1:50" ht="18" customHeight="1" x14ac:dyDescent="0.25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25">
      <c r="A140" s="55" t="s">
        <v>134</v>
      </c>
      <c r="B140" s="40"/>
      <c r="C140" s="41"/>
      <c r="D140" s="40"/>
      <c r="E140" s="41"/>
      <c r="F140" s="40"/>
      <c r="G140" s="41"/>
      <c r="H140" s="40"/>
      <c r="I140" s="41"/>
      <c r="J140" s="40"/>
      <c r="K140" s="41"/>
      <c r="L140" s="40"/>
      <c r="M140" s="41"/>
      <c r="N140" s="40"/>
      <c r="O140" s="41"/>
      <c r="P140" s="40"/>
      <c r="Q140" s="41"/>
      <c r="R140" s="40"/>
      <c r="S140" s="41"/>
      <c r="T140" s="40"/>
      <c r="U140" s="41"/>
      <c r="V140" s="40"/>
      <c r="W140" s="41"/>
      <c r="X140" s="40"/>
      <c r="Y140" s="41"/>
      <c r="Z140" s="40"/>
      <c r="AA140" s="41"/>
      <c r="AB140" s="40"/>
      <c r="AC140" s="41"/>
      <c r="AD140" s="40"/>
      <c r="AE140" s="41"/>
      <c r="AF140" s="40"/>
      <c r="AG140" s="41"/>
      <c r="AH140" s="40"/>
      <c r="AI140" s="41"/>
      <c r="AJ140" s="40"/>
      <c r="AK140" s="41"/>
      <c r="AL140" s="40"/>
      <c r="AM140" s="41"/>
      <c r="AN140" s="40"/>
      <c r="AO140" s="41"/>
      <c r="AP140" s="40"/>
      <c r="AQ140" s="40"/>
      <c r="AR140" s="40"/>
      <c r="AS140" s="40"/>
      <c r="AT140" s="40"/>
      <c r="AU140" s="41"/>
      <c r="AV140" s="42"/>
      <c r="AW140" s="8"/>
      <c r="AX140" s="8"/>
    </row>
    <row r="141" spans="1:50" ht="18" customHeight="1" x14ac:dyDescent="0.25">
      <c r="A141" s="9">
        <v>1</v>
      </c>
      <c r="B141" s="17" t="s">
        <v>275</v>
      </c>
      <c r="C141" s="10" t="s">
        <v>35</v>
      </c>
      <c r="D141" s="1" t="s">
        <v>81</v>
      </c>
      <c r="E141" s="10" t="s">
        <v>36</v>
      </c>
      <c r="F141" s="11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>0</v>
      </c>
      <c r="G141" s="10" t="s">
        <v>38</v>
      </c>
      <c r="H141" s="11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>0</v>
      </c>
      <c r="I141" s="10" t="s">
        <v>38</v>
      </c>
      <c r="J141" s="11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>0</v>
      </c>
      <c r="K141" s="10" t="s">
        <v>38</v>
      </c>
      <c r="L141" s="11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>0</v>
      </c>
      <c r="M141" s="10" t="s">
        <v>72</v>
      </c>
      <c r="N141" s="11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>0</v>
      </c>
      <c r="O141" s="10" t="s">
        <v>38</v>
      </c>
      <c r="P141" s="11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>0</v>
      </c>
      <c r="Q141" s="10" t="s">
        <v>36</v>
      </c>
      <c r="R141" s="11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>0</v>
      </c>
      <c r="S141" s="10" t="s">
        <v>38</v>
      </c>
      <c r="T141" s="11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>0</v>
      </c>
      <c r="U141" s="10" t="s">
        <v>38</v>
      </c>
      <c r="V141" s="11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>0</v>
      </c>
      <c r="W141" s="10" t="s">
        <v>36</v>
      </c>
      <c r="X141" s="11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>0</v>
      </c>
      <c r="Y141" s="10" t="s">
        <v>49</v>
      </c>
      <c r="Z141" s="11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>7</v>
      </c>
      <c r="AA141" s="10" t="s">
        <v>36</v>
      </c>
      <c r="AB141" s="11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>0</v>
      </c>
      <c r="AC141" s="10" t="s">
        <v>72</v>
      </c>
      <c r="AD141" s="11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>0</v>
      </c>
      <c r="AE141" s="10" t="s">
        <v>63</v>
      </c>
      <c r="AF141" s="11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>0</v>
      </c>
      <c r="AG141" s="10" t="s">
        <v>38</v>
      </c>
      <c r="AH141" s="11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>0</v>
      </c>
      <c r="AI141" s="10" t="s">
        <v>63</v>
      </c>
      <c r="AJ141" s="11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>0</v>
      </c>
      <c r="AK141" s="10" t="s">
        <v>36</v>
      </c>
      <c r="AL141" s="11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>0</v>
      </c>
      <c r="AM141" s="10" t="s">
        <v>43</v>
      </c>
      <c r="AN141" s="11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>2</v>
      </c>
      <c r="AO141" s="10" t="s">
        <v>38</v>
      </c>
      <c r="AP141" s="11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>0</v>
      </c>
      <c r="AQ141" s="10" t="s">
        <v>57</v>
      </c>
      <c r="AR141" s="11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>2</v>
      </c>
      <c r="AS141" s="10" t="s">
        <v>39</v>
      </c>
      <c r="AT141" s="11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>2</v>
      </c>
      <c r="AU141" s="10" t="s">
        <v>63</v>
      </c>
      <c r="AV141" s="11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>0</v>
      </c>
      <c r="AW141" s="11">
        <f>IF($C141="","",IFERROR(--LEFT($C141,FIND("-",$C141)-1),""))</f>
        <v>1</v>
      </c>
      <c r="AX141" s="11">
        <f>IF($C141="","",IFERROR(--MID($C141,FIND("-",$C141)+1,99),""))</f>
        <v>1</v>
      </c>
    </row>
    <row r="142" spans="1:50" ht="18" customHeight="1" x14ac:dyDescent="0.25">
      <c r="A142" s="9">
        <v>1.145833333333333</v>
      </c>
      <c r="B142" s="17" t="s">
        <v>108</v>
      </c>
      <c r="C142" s="10" t="s">
        <v>39</v>
      </c>
      <c r="D142" s="1" t="s">
        <v>104</v>
      </c>
      <c r="E142" s="10" t="s">
        <v>39</v>
      </c>
      <c r="F142" s="11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>10</v>
      </c>
      <c r="G142" s="10" t="s">
        <v>33</v>
      </c>
      <c r="H142" s="11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>7</v>
      </c>
      <c r="I142" s="10" t="s">
        <v>39</v>
      </c>
      <c r="J142" s="11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>10</v>
      </c>
      <c r="K142" s="10" t="s">
        <v>38</v>
      </c>
      <c r="L142" s="11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>7</v>
      </c>
      <c r="M142" s="10" t="s">
        <v>37</v>
      </c>
      <c r="N142" s="11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>2</v>
      </c>
      <c r="O142" s="10" t="s">
        <v>33</v>
      </c>
      <c r="P142" s="11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>7</v>
      </c>
      <c r="Q142" s="10" t="s">
        <v>123</v>
      </c>
      <c r="R142" s="11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>0</v>
      </c>
      <c r="S142" s="10" t="s">
        <v>45</v>
      </c>
      <c r="T142" s="11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>0</v>
      </c>
      <c r="U142" s="10" t="s">
        <v>36</v>
      </c>
      <c r="V142" s="11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>7</v>
      </c>
      <c r="W142" s="10" t="s">
        <v>36</v>
      </c>
      <c r="X142" s="11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>7</v>
      </c>
      <c r="Y142" s="10" t="s">
        <v>37</v>
      </c>
      <c r="Z142" s="11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>2</v>
      </c>
      <c r="AA142" s="10" t="s">
        <v>57</v>
      </c>
      <c r="AB142" s="11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>2</v>
      </c>
      <c r="AC142" s="10" t="s">
        <v>33</v>
      </c>
      <c r="AD142" s="11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>7</v>
      </c>
      <c r="AE142" s="10" t="s">
        <v>33</v>
      </c>
      <c r="AF142" s="11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>7</v>
      </c>
      <c r="AG142" s="10" t="s">
        <v>33</v>
      </c>
      <c r="AH142" s="11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>7</v>
      </c>
      <c r="AI142" s="10" t="s">
        <v>36</v>
      </c>
      <c r="AJ142" s="11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>7</v>
      </c>
      <c r="AK142" s="10" t="s">
        <v>39</v>
      </c>
      <c r="AL142" s="11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>10</v>
      </c>
      <c r="AM142" s="10" t="s">
        <v>34</v>
      </c>
      <c r="AN142" s="11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>5</v>
      </c>
      <c r="AO142" s="10" t="s">
        <v>39</v>
      </c>
      <c r="AP142" s="11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>10</v>
      </c>
      <c r="AQ142" s="10" t="s">
        <v>34</v>
      </c>
      <c r="AR142" s="11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>5</v>
      </c>
      <c r="AS142" s="10" t="s">
        <v>45</v>
      </c>
      <c r="AT142" s="11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>0</v>
      </c>
      <c r="AU142" s="10" t="s">
        <v>37</v>
      </c>
      <c r="AV142" s="11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>2</v>
      </c>
      <c r="AW142" s="11">
        <f>IF($C142="","",IFERROR(--LEFT($C142,FIND("-",$C142)-1),""))</f>
        <v>1</v>
      </c>
      <c r="AX142" s="11">
        <f>IF($C142="","",IFERROR(--MID($C142,FIND("-",$C142)+1,99),""))</f>
        <v>0</v>
      </c>
    </row>
    <row r="143" spans="1:50" ht="18" customHeight="1" x14ac:dyDescent="0.25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25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25">
      <c r="A145" s="48" t="s">
        <v>135</v>
      </c>
      <c r="B145" s="53"/>
      <c r="C145" s="54"/>
      <c r="D145" s="53"/>
      <c r="E145" s="54"/>
      <c r="F145" s="53"/>
      <c r="G145" s="54"/>
      <c r="H145" s="53"/>
      <c r="I145" s="54"/>
      <c r="J145" s="53"/>
      <c r="K145" s="54"/>
      <c r="L145" s="53"/>
      <c r="M145" s="54"/>
      <c r="N145" s="53"/>
      <c r="O145" s="54"/>
      <c r="P145" s="53"/>
      <c r="Q145" s="54"/>
      <c r="R145" s="53"/>
      <c r="S145" s="54"/>
      <c r="T145" s="53"/>
      <c r="U145" s="54"/>
      <c r="V145" s="53"/>
      <c r="W145" s="54"/>
      <c r="X145" s="53"/>
      <c r="Y145" s="54"/>
      <c r="Z145" s="53"/>
      <c r="AA145" s="54"/>
      <c r="AB145" s="53"/>
      <c r="AC145" s="54"/>
      <c r="AD145" s="53"/>
      <c r="AE145" s="54"/>
      <c r="AF145" s="53"/>
      <c r="AG145" s="54"/>
      <c r="AH145" s="53"/>
      <c r="AI145" s="54"/>
      <c r="AJ145" s="53"/>
      <c r="AK145" s="54"/>
      <c r="AL145" s="53"/>
      <c r="AM145" s="54"/>
      <c r="AN145" s="53"/>
      <c r="AO145" s="54"/>
      <c r="AP145" s="53"/>
      <c r="AQ145" s="53"/>
      <c r="AR145" s="53"/>
      <c r="AS145" s="53"/>
      <c r="AT145" s="53"/>
      <c r="AU145" s="54"/>
      <c r="AV145" s="47"/>
      <c r="AW145" s="7"/>
      <c r="AX145" s="7"/>
    </row>
    <row r="146" spans="1:50" ht="20.100000000000001" customHeight="1" x14ac:dyDescent="0.25">
      <c r="A146" s="39" t="s">
        <v>134</v>
      </c>
      <c r="B146" s="40"/>
      <c r="C146" s="41"/>
      <c r="D146" s="40"/>
      <c r="E146" s="41"/>
      <c r="F146" s="40"/>
      <c r="G146" s="41"/>
      <c r="H146" s="40"/>
      <c r="I146" s="41"/>
      <c r="J146" s="40"/>
      <c r="K146" s="41"/>
      <c r="L146" s="40"/>
      <c r="M146" s="41"/>
      <c r="N146" s="40"/>
      <c r="O146" s="41"/>
      <c r="P146" s="40"/>
      <c r="Q146" s="41"/>
      <c r="R146" s="40"/>
      <c r="S146" s="41"/>
      <c r="T146" s="40"/>
      <c r="U146" s="41"/>
      <c r="V146" s="40"/>
      <c r="W146" s="41"/>
      <c r="X146" s="40"/>
      <c r="Y146" s="41"/>
      <c r="Z146" s="40"/>
      <c r="AA146" s="41"/>
      <c r="AB146" s="40"/>
      <c r="AC146" s="41"/>
      <c r="AD146" s="40"/>
      <c r="AE146" s="41"/>
      <c r="AF146" s="40"/>
      <c r="AG146" s="41"/>
      <c r="AH146" s="40"/>
      <c r="AI146" s="41"/>
      <c r="AJ146" s="40"/>
      <c r="AK146" s="41"/>
      <c r="AL146" s="40"/>
      <c r="AM146" s="41"/>
      <c r="AN146" s="40"/>
      <c r="AO146" s="41"/>
      <c r="AP146" s="40"/>
      <c r="AQ146" s="40"/>
      <c r="AR146" s="40"/>
      <c r="AS146" s="40"/>
      <c r="AT146" s="40"/>
      <c r="AU146" s="41"/>
      <c r="AV146" s="42"/>
      <c r="AW146" s="8"/>
      <c r="AX146" s="8"/>
    </row>
    <row r="147" spans="1:50" ht="18" customHeight="1" x14ac:dyDescent="0.25">
      <c r="A147" s="9">
        <v>1.791666666666667</v>
      </c>
      <c r="B147" s="17" t="s">
        <v>46</v>
      </c>
      <c r="C147" s="10" t="s">
        <v>56</v>
      </c>
      <c r="D147" s="1" t="s">
        <v>60</v>
      </c>
      <c r="E147" s="10" t="s">
        <v>33</v>
      </c>
      <c r="F147" s="11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>0</v>
      </c>
      <c r="G147" s="10" t="s">
        <v>35</v>
      </c>
      <c r="H147" s="11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>0</v>
      </c>
      <c r="I147" s="10" t="s">
        <v>35</v>
      </c>
      <c r="J147" s="11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>0</v>
      </c>
      <c r="K147" s="10" t="s">
        <v>50</v>
      </c>
      <c r="L147" s="11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>2</v>
      </c>
      <c r="M147" s="10" t="s">
        <v>57</v>
      </c>
      <c r="N147" s="11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>7</v>
      </c>
      <c r="O147" s="10" t="s">
        <v>57</v>
      </c>
      <c r="P147" s="11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>7</v>
      </c>
      <c r="Q147" s="10" t="s">
        <v>33</v>
      </c>
      <c r="R147" s="11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>0</v>
      </c>
      <c r="S147" s="10" t="s">
        <v>37</v>
      </c>
      <c r="T147" s="11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>5</v>
      </c>
      <c r="U147" s="10" t="s">
        <v>48</v>
      </c>
      <c r="V147" s="11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>7</v>
      </c>
      <c r="W147" s="10" t="s">
        <v>35</v>
      </c>
      <c r="X147" s="11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>0</v>
      </c>
      <c r="Y147" s="10" t="s">
        <v>50</v>
      </c>
      <c r="Z147" s="11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>2</v>
      </c>
      <c r="AA147" s="10" t="s">
        <v>57</v>
      </c>
      <c r="AB147" s="11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>7</v>
      </c>
      <c r="AC147" s="10" t="s">
        <v>56</v>
      </c>
      <c r="AD147" s="11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>10</v>
      </c>
      <c r="AE147" s="10" t="s">
        <v>48</v>
      </c>
      <c r="AF147" s="11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>7</v>
      </c>
      <c r="AG147" s="10" t="s">
        <v>37</v>
      </c>
      <c r="AH147" s="11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>5</v>
      </c>
      <c r="AI147" s="10" t="s">
        <v>37</v>
      </c>
      <c r="AJ147" s="11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>5</v>
      </c>
      <c r="AK147" s="10" t="s">
        <v>45</v>
      </c>
      <c r="AL147" s="11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>7</v>
      </c>
      <c r="AM147" s="10" t="s">
        <v>48</v>
      </c>
      <c r="AN147" s="11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>7</v>
      </c>
      <c r="AO147" s="10" t="s">
        <v>57</v>
      </c>
      <c r="AP147" s="11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>7</v>
      </c>
      <c r="AQ147" s="10" t="s">
        <v>37</v>
      </c>
      <c r="AR147" s="11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>5</v>
      </c>
      <c r="AS147" s="10" t="s">
        <v>50</v>
      </c>
      <c r="AT147" s="11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>2</v>
      </c>
      <c r="AU147" s="10" t="s">
        <v>49</v>
      </c>
      <c r="AV147" s="11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>0</v>
      </c>
      <c r="AW147" s="11">
        <f>IF($C147="","",IFERROR(--LEFT($C147,FIND("-",$C147)-1),""))</f>
        <v>0</v>
      </c>
      <c r="AX147" s="11">
        <f>IF($C147="","",IFERROR(--MID($C147,FIND("-",$C147)+1,99),""))</f>
        <v>3</v>
      </c>
    </row>
    <row r="148" spans="1:50" ht="18" customHeight="1" x14ac:dyDescent="0.25">
      <c r="A148" s="9">
        <v>1.958333333333333</v>
      </c>
      <c r="B148" s="17" t="s">
        <v>53</v>
      </c>
      <c r="C148" s="10" t="s">
        <v>45</v>
      </c>
      <c r="D148" s="1" t="s">
        <v>89</v>
      </c>
      <c r="E148" s="10" t="s">
        <v>57</v>
      </c>
      <c r="F148" s="11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>5</v>
      </c>
      <c r="G148" s="10" t="s">
        <v>37</v>
      </c>
      <c r="H148" s="11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>7</v>
      </c>
      <c r="I148" s="10" t="s">
        <v>56</v>
      </c>
      <c r="J148" s="11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>7</v>
      </c>
      <c r="K148" s="10" t="s">
        <v>50</v>
      </c>
      <c r="L148" s="11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>2</v>
      </c>
      <c r="M148" s="10" t="s">
        <v>57</v>
      </c>
      <c r="N148" s="11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>5</v>
      </c>
      <c r="O148" s="10" t="s">
        <v>56</v>
      </c>
      <c r="P148" s="11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>7</v>
      </c>
      <c r="Q148" s="10" t="s">
        <v>56</v>
      </c>
      <c r="R148" s="11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>7</v>
      </c>
      <c r="S148" s="10" t="s">
        <v>56</v>
      </c>
      <c r="T148" s="11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>7</v>
      </c>
      <c r="U148" s="10" t="s">
        <v>56</v>
      </c>
      <c r="V148" s="11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>7</v>
      </c>
      <c r="W148" s="10" t="s">
        <v>48</v>
      </c>
      <c r="X148" s="11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>7</v>
      </c>
      <c r="Y148" s="10" t="s">
        <v>50</v>
      </c>
      <c r="Z148" s="11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>2</v>
      </c>
      <c r="AA148" s="10" t="s">
        <v>48</v>
      </c>
      <c r="AB148" s="11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>7</v>
      </c>
      <c r="AC148" s="10" t="s">
        <v>57</v>
      </c>
      <c r="AD148" s="11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>5</v>
      </c>
      <c r="AE148" s="10" t="s">
        <v>56</v>
      </c>
      <c r="AF148" s="11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>7</v>
      </c>
      <c r="AG148" s="10" t="s">
        <v>48</v>
      </c>
      <c r="AH148" s="11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>7</v>
      </c>
      <c r="AI148" s="10" t="s">
        <v>44</v>
      </c>
      <c r="AJ148" s="11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>7</v>
      </c>
      <c r="AK148" s="10" t="s">
        <v>48</v>
      </c>
      <c r="AL148" s="11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>7</v>
      </c>
      <c r="AM148" s="10" t="s">
        <v>57</v>
      </c>
      <c r="AN148" s="11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>5</v>
      </c>
      <c r="AO148" s="10" t="s">
        <v>48</v>
      </c>
      <c r="AP148" s="11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>7</v>
      </c>
      <c r="AQ148" s="10" t="s">
        <v>56</v>
      </c>
      <c r="AR148" s="11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>7</v>
      </c>
      <c r="AS148" s="10" t="s">
        <v>48</v>
      </c>
      <c r="AT148" s="11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>7</v>
      </c>
      <c r="AU148" s="10" t="s">
        <v>121</v>
      </c>
      <c r="AV148" s="11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>5</v>
      </c>
      <c r="AW148" s="11">
        <f>IF($C148="","",IFERROR(--LEFT($C148,FIND("-",$C148)-1),""))</f>
        <v>0</v>
      </c>
      <c r="AX148" s="11">
        <f>IF($C148="","",IFERROR(--MID($C148,FIND("-",$C148)+1,99),""))</f>
        <v>1</v>
      </c>
    </row>
    <row r="149" spans="1:50" ht="18" customHeight="1" x14ac:dyDescent="0.25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25">
      <c r="A150" s="39" t="s">
        <v>136</v>
      </c>
      <c r="B150" s="40"/>
      <c r="C150" s="41"/>
      <c r="D150" s="40"/>
      <c r="E150" s="41"/>
      <c r="F150" s="40"/>
      <c r="G150" s="41"/>
      <c r="H150" s="40"/>
      <c r="I150" s="41"/>
      <c r="J150" s="40"/>
      <c r="K150" s="41"/>
      <c r="L150" s="40"/>
      <c r="M150" s="41"/>
      <c r="N150" s="40"/>
      <c r="O150" s="41"/>
      <c r="P150" s="40"/>
      <c r="Q150" s="41"/>
      <c r="R150" s="40"/>
      <c r="S150" s="41"/>
      <c r="T150" s="40"/>
      <c r="U150" s="41"/>
      <c r="V150" s="40"/>
      <c r="W150" s="41"/>
      <c r="X150" s="40"/>
      <c r="Y150" s="41"/>
      <c r="Z150" s="40"/>
      <c r="AA150" s="41"/>
      <c r="AB150" s="40"/>
      <c r="AC150" s="41"/>
      <c r="AD150" s="40"/>
      <c r="AE150" s="41"/>
      <c r="AF150" s="40"/>
      <c r="AG150" s="41"/>
      <c r="AH150" s="40"/>
      <c r="AI150" s="41"/>
      <c r="AJ150" s="40"/>
      <c r="AK150" s="41"/>
      <c r="AL150" s="40"/>
      <c r="AM150" s="41"/>
      <c r="AN150" s="40"/>
      <c r="AO150" s="41"/>
      <c r="AP150" s="40"/>
      <c r="AQ150" s="40"/>
      <c r="AR150" s="40"/>
      <c r="AS150" s="40"/>
      <c r="AT150" s="40"/>
      <c r="AU150" s="41"/>
      <c r="AV150" s="42"/>
      <c r="AW150" s="8"/>
      <c r="AX150" s="8"/>
    </row>
    <row r="151" spans="1:50" ht="18" customHeight="1" x14ac:dyDescent="0.25">
      <c r="A151" s="9">
        <v>1.916666666666667</v>
      </c>
      <c r="B151" s="17" t="s">
        <v>59</v>
      </c>
      <c r="C151" s="10" t="s">
        <v>37</v>
      </c>
      <c r="D151" s="1" t="s">
        <v>94</v>
      </c>
      <c r="E151" s="10" t="s">
        <v>34</v>
      </c>
      <c r="F151" s="11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>0</v>
      </c>
      <c r="G151" s="10" t="s">
        <v>37</v>
      </c>
      <c r="H151" s="11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>10</v>
      </c>
      <c r="I151" s="10" t="s">
        <v>36</v>
      </c>
      <c r="J151" s="11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>0</v>
      </c>
      <c r="K151" s="10" t="s">
        <v>50</v>
      </c>
      <c r="L151" s="11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>0</v>
      </c>
      <c r="M151" s="10" t="s">
        <v>37</v>
      </c>
      <c r="N151" s="11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>10</v>
      </c>
      <c r="O151" s="10" t="s">
        <v>33</v>
      </c>
      <c r="P151" s="11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>0</v>
      </c>
      <c r="Q151" s="10" t="s">
        <v>35</v>
      </c>
      <c r="R151" s="11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>2</v>
      </c>
      <c r="S151" s="10" t="s">
        <v>35</v>
      </c>
      <c r="T151" s="11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>2</v>
      </c>
      <c r="U151" s="10" t="s">
        <v>35</v>
      </c>
      <c r="V151" s="11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>2</v>
      </c>
      <c r="W151" s="10" t="s">
        <v>33</v>
      </c>
      <c r="X151" s="11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>0</v>
      </c>
      <c r="Y151" s="10" t="s">
        <v>50</v>
      </c>
      <c r="Z151" s="11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>0</v>
      </c>
      <c r="AA151" s="10" t="s">
        <v>37</v>
      </c>
      <c r="AB151" s="11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>10</v>
      </c>
      <c r="AC151" s="10" t="s">
        <v>37</v>
      </c>
      <c r="AD151" s="11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>10</v>
      </c>
      <c r="AE151" s="10" t="s">
        <v>49</v>
      </c>
      <c r="AF151" s="11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>2</v>
      </c>
      <c r="AG151" s="10" t="s">
        <v>33</v>
      </c>
      <c r="AH151" s="11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>0</v>
      </c>
      <c r="AI151" s="10" t="s">
        <v>36</v>
      </c>
      <c r="AJ151" s="11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>0</v>
      </c>
      <c r="AK151" s="10" t="s">
        <v>33</v>
      </c>
      <c r="AL151" s="11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>0</v>
      </c>
      <c r="AM151" s="10" t="s">
        <v>33</v>
      </c>
      <c r="AN151" s="11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>0</v>
      </c>
      <c r="AO151" s="10" t="s">
        <v>33</v>
      </c>
      <c r="AP151" s="11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>0</v>
      </c>
      <c r="AQ151" s="10" t="s">
        <v>36</v>
      </c>
      <c r="AR151" s="11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>0</v>
      </c>
      <c r="AS151" s="10" t="s">
        <v>35</v>
      </c>
      <c r="AT151" s="11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>2</v>
      </c>
      <c r="AU151" s="10" t="s">
        <v>34</v>
      </c>
      <c r="AV151" s="11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>0</v>
      </c>
      <c r="AW151" s="11">
        <f>IF($C151="","",IFERROR(--LEFT($C151,FIND("-",$C151)-1),""))</f>
        <v>1</v>
      </c>
      <c r="AX151" s="11">
        <f>IF($C151="","",IFERROR(--MID($C151,FIND("-",$C151)+1,99),""))</f>
        <v>2</v>
      </c>
    </row>
    <row r="152" spans="1:50" ht="18" customHeight="1" x14ac:dyDescent="0.25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25">
      <c r="A153" s="39" t="s">
        <v>137</v>
      </c>
      <c r="B153" s="40"/>
      <c r="C153" s="41"/>
      <c r="D153" s="40"/>
      <c r="E153" s="41"/>
      <c r="F153" s="40"/>
      <c r="G153" s="41"/>
      <c r="H153" s="40"/>
      <c r="I153" s="41"/>
      <c r="J153" s="40"/>
      <c r="K153" s="41"/>
      <c r="L153" s="40"/>
      <c r="M153" s="41"/>
      <c r="N153" s="40"/>
      <c r="O153" s="41"/>
      <c r="P153" s="40"/>
      <c r="Q153" s="41"/>
      <c r="R153" s="40"/>
      <c r="S153" s="41"/>
      <c r="T153" s="40"/>
      <c r="U153" s="41"/>
      <c r="V153" s="40"/>
      <c r="W153" s="41"/>
      <c r="X153" s="40"/>
      <c r="Y153" s="41"/>
      <c r="Z153" s="40"/>
      <c r="AA153" s="41"/>
      <c r="AB153" s="40"/>
      <c r="AC153" s="41"/>
      <c r="AD153" s="40"/>
      <c r="AE153" s="41"/>
      <c r="AF153" s="40"/>
      <c r="AG153" s="41"/>
      <c r="AH153" s="40"/>
      <c r="AI153" s="41"/>
      <c r="AJ153" s="40"/>
      <c r="AK153" s="41"/>
      <c r="AL153" s="40"/>
      <c r="AM153" s="41"/>
      <c r="AN153" s="40"/>
      <c r="AO153" s="41"/>
      <c r="AP153" s="40"/>
      <c r="AQ153" s="40"/>
      <c r="AR153" s="40"/>
      <c r="AS153" s="40"/>
      <c r="AT153" s="40"/>
      <c r="AU153" s="41"/>
      <c r="AV153" s="42"/>
      <c r="AW153" s="8"/>
      <c r="AX153" s="8"/>
    </row>
    <row r="154" spans="1:50" ht="18" customHeight="1" x14ac:dyDescent="0.25">
      <c r="A154" s="9">
        <v>1.083333333333333</v>
      </c>
      <c r="B154" s="17" t="s">
        <v>31</v>
      </c>
      <c r="C154" s="10" t="s">
        <v>44</v>
      </c>
      <c r="D154" s="1" t="s">
        <v>101</v>
      </c>
      <c r="E154" s="10" t="s">
        <v>35</v>
      </c>
      <c r="F154" s="11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>0</v>
      </c>
      <c r="G154" s="10" t="s">
        <v>45</v>
      </c>
      <c r="H154" s="11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>7</v>
      </c>
      <c r="I154" s="10" t="s">
        <v>37</v>
      </c>
      <c r="J154" s="11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>7</v>
      </c>
      <c r="K154" s="10" t="s">
        <v>50</v>
      </c>
      <c r="L154" s="11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>0</v>
      </c>
      <c r="M154" s="10" t="s">
        <v>48</v>
      </c>
      <c r="N154" s="11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>5</v>
      </c>
      <c r="O154" s="10" t="s">
        <v>35</v>
      </c>
      <c r="P154" s="11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>0</v>
      </c>
      <c r="Q154" s="10" t="s">
        <v>44</v>
      </c>
      <c r="R154" s="11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>10</v>
      </c>
      <c r="S154" s="10" t="s">
        <v>35</v>
      </c>
      <c r="T154" s="11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>0</v>
      </c>
      <c r="U154" s="10" t="s">
        <v>45</v>
      </c>
      <c r="V154" s="11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>7</v>
      </c>
      <c r="W154" s="10" t="s">
        <v>35</v>
      </c>
      <c r="X154" s="11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>0</v>
      </c>
      <c r="Y154" s="10" t="s">
        <v>50</v>
      </c>
      <c r="Z154" s="11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>0</v>
      </c>
      <c r="AA154" s="10" t="s">
        <v>35</v>
      </c>
      <c r="AB154" s="11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>0</v>
      </c>
      <c r="AC154" s="10" t="s">
        <v>49</v>
      </c>
      <c r="AD154" s="11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>2</v>
      </c>
      <c r="AE154" s="10" t="s">
        <v>37</v>
      </c>
      <c r="AF154" s="11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>7</v>
      </c>
      <c r="AG154" s="10" t="s">
        <v>39</v>
      </c>
      <c r="AH154" s="11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>0</v>
      </c>
      <c r="AI154" s="10" t="s">
        <v>35</v>
      </c>
      <c r="AJ154" s="11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>0</v>
      </c>
      <c r="AK154" s="10" t="s">
        <v>45</v>
      </c>
      <c r="AL154" s="11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>7</v>
      </c>
      <c r="AM154" s="10" t="s">
        <v>49</v>
      </c>
      <c r="AN154" s="11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>2</v>
      </c>
      <c r="AO154" s="10" t="s">
        <v>35</v>
      </c>
      <c r="AP154" s="11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>0</v>
      </c>
      <c r="AQ154" s="10" t="s">
        <v>57</v>
      </c>
      <c r="AR154" s="11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>7</v>
      </c>
      <c r="AS154" s="10" t="s">
        <v>35</v>
      </c>
      <c r="AT154" s="11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>0</v>
      </c>
      <c r="AU154" s="10" t="s">
        <v>48</v>
      </c>
      <c r="AV154" s="11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>5</v>
      </c>
      <c r="AW154" s="11">
        <f>IF($C154="","",IFERROR(--LEFT($C154,FIND("-",$C154)-1),""))</f>
        <v>2</v>
      </c>
      <c r="AX154" s="11">
        <f>IF($C154="","",IFERROR(--MID($C154,FIND("-",$C154)+1,99),""))</f>
        <v>3</v>
      </c>
    </row>
    <row r="155" spans="1:50" ht="18" customHeight="1" x14ac:dyDescent="0.25">
      <c r="A155" s="9">
        <v>1.875</v>
      </c>
      <c r="B155" s="17" t="s">
        <v>99</v>
      </c>
      <c r="C155" s="10" t="s">
        <v>45</v>
      </c>
      <c r="D155" s="1" t="s">
        <v>80</v>
      </c>
      <c r="E155" s="10" t="s">
        <v>37</v>
      </c>
      <c r="F155" s="11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>7</v>
      </c>
      <c r="G155" s="10" t="s">
        <v>45</v>
      </c>
      <c r="H155" s="11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>10</v>
      </c>
      <c r="I155" s="10" t="s">
        <v>35</v>
      </c>
      <c r="J155" s="11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>2</v>
      </c>
      <c r="K155" s="10" t="s">
        <v>57</v>
      </c>
      <c r="L155" s="11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>5</v>
      </c>
      <c r="M155" s="10" t="s">
        <v>49</v>
      </c>
      <c r="N155" s="11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>0</v>
      </c>
      <c r="O155" s="10" t="s">
        <v>37</v>
      </c>
      <c r="P155" s="11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>7</v>
      </c>
      <c r="Q155" s="10" t="s">
        <v>49</v>
      </c>
      <c r="R155" s="11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>0</v>
      </c>
      <c r="S155" s="10" t="s">
        <v>37</v>
      </c>
      <c r="T155" s="11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>7</v>
      </c>
      <c r="U155" s="10" t="s">
        <v>57</v>
      </c>
      <c r="V155" s="11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>5</v>
      </c>
      <c r="W155" s="10" t="s">
        <v>37</v>
      </c>
      <c r="X155" s="11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>7</v>
      </c>
      <c r="Y155" s="10" t="s">
        <v>50</v>
      </c>
      <c r="Z155" s="11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>2</v>
      </c>
      <c r="AA155" s="10" t="s">
        <v>33</v>
      </c>
      <c r="AB155" s="11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>2</v>
      </c>
      <c r="AC155" s="10" t="s">
        <v>44</v>
      </c>
      <c r="AD155" s="11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>7</v>
      </c>
      <c r="AE155" s="10" t="s">
        <v>44</v>
      </c>
      <c r="AF155" s="11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>7</v>
      </c>
      <c r="AG155" s="10" t="s">
        <v>37</v>
      </c>
      <c r="AH155" s="11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>7</v>
      </c>
      <c r="AI155" s="10" t="s">
        <v>37</v>
      </c>
      <c r="AJ155" s="11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>7</v>
      </c>
      <c r="AK155" s="10" t="s">
        <v>37</v>
      </c>
      <c r="AL155" s="11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>7</v>
      </c>
      <c r="AM155" s="10" t="s">
        <v>37</v>
      </c>
      <c r="AN155" s="11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>7</v>
      </c>
      <c r="AO155" s="10" t="s">
        <v>48</v>
      </c>
      <c r="AP155" s="11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>7</v>
      </c>
      <c r="AQ155" s="10" t="s">
        <v>37</v>
      </c>
      <c r="AR155" s="11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>7</v>
      </c>
      <c r="AS155" s="10" t="s">
        <v>39</v>
      </c>
      <c r="AT155" s="11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>0</v>
      </c>
      <c r="AU155" s="10" t="s">
        <v>33</v>
      </c>
      <c r="AV155" s="11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>2</v>
      </c>
      <c r="AW155" s="11">
        <f>IF($C155="","",IFERROR(--LEFT($C155,FIND("-",$C155)-1),""))</f>
        <v>0</v>
      </c>
      <c r="AX155" s="11">
        <f>IF($C155="","",IFERROR(--MID($C155,FIND("-",$C155)+1,99),""))</f>
        <v>1</v>
      </c>
    </row>
    <row r="156" spans="1:50" ht="18" customHeight="1" x14ac:dyDescent="0.25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25">
      <c r="A157" s="39" t="s">
        <v>138</v>
      </c>
      <c r="B157" s="40"/>
      <c r="C157" s="41"/>
      <c r="D157" s="40"/>
      <c r="E157" s="41"/>
      <c r="F157" s="40"/>
      <c r="G157" s="41"/>
      <c r="H157" s="40"/>
      <c r="I157" s="41"/>
      <c r="J157" s="40"/>
      <c r="K157" s="41"/>
      <c r="L157" s="40"/>
      <c r="M157" s="41"/>
      <c r="N157" s="40"/>
      <c r="O157" s="41"/>
      <c r="P157" s="40"/>
      <c r="Q157" s="41"/>
      <c r="R157" s="40"/>
      <c r="S157" s="41"/>
      <c r="T157" s="40"/>
      <c r="U157" s="41"/>
      <c r="V157" s="40"/>
      <c r="W157" s="41"/>
      <c r="X157" s="40"/>
      <c r="Y157" s="41"/>
      <c r="Z157" s="40"/>
      <c r="AA157" s="41"/>
      <c r="AB157" s="40"/>
      <c r="AC157" s="41"/>
      <c r="AD157" s="40"/>
      <c r="AE157" s="41"/>
      <c r="AF157" s="40"/>
      <c r="AG157" s="41"/>
      <c r="AH157" s="40"/>
      <c r="AI157" s="41"/>
      <c r="AJ157" s="40"/>
      <c r="AK157" s="41"/>
      <c r="AL157" s="40"/>
      <c r="AM157" s="41"/>
      <c r="AN157" s="40"/>
      <c r="AO157" s="41"/>
      <c r="AP157" s="40"/>
      <c r="AQ157" s="40"/>
      <c r="AR157" s="40"/>
      <c r="AS157" s="40"/>
      <c r="AT157" s="40"/>
      <c r="AU157" s="41"/>
      <c r="AV157" s="42"/>
      <c r="AW157" s="8"/>
      <c r="AX157" s="8"/>
    </row>
    <row r="158" spans="1:50" ht="18" customHeight="1" x14ac:dyDescent="0.25">
      <c r="A158" s="9">
        <v>1.083333333333333</v>
      </c>
      <c r="B158" s="17" t="s">
        <v>52</v>
      </c>
      <c r="C158" s="10" t="s">
        <v>115</v>
      </c>
      <c r="D158" s="1" t="s">
        <v>82</v>
      </c>
      <c r="E158" s="10" t="s">
        <v>35</v>
      </c>
      <c r="F158" s="11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>2</v>
      </c>
      <c r="G158" s="10" t="s">
        <v>50</v>
      </c>
      <c r="H158" s="11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>0</v>
      </c>
      <c r="I158" s="10" t="s">
        <v>37</v>
      </c>
      <c r="J158" s="11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>7</v>
      </c>
      <c r="K158" s="10" t="s">
        <v>37</v>
      </c>
      <c r="L158" s="11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>7</v>
      </c>
      <c r="M158" s="10" t="s">
        <v>56</v>
      </c>
      <c r="N158" s="11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>7</v>
      </c>
      <c r="O158" s="10" t="s">
        <v>36</v>
      </c>
      <c r="P158" s="11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>0</v>
      </c>
      <c r="Q158" s="10" t="s">
        <v>35</v>
      </c>
      <c r="R158" s="11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>2</v>
      </c>
      <c r="S158" s="10" t="s">
        <v>33</v>
      </c>
      <c r="T158" s="11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>0</v>
      </c>
      <c r="U158" s="10" t="s">
        <v>49</v>
      </c>
      <c r="V158" s="11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>0</v>
      </c>
      <c r="W158" s="10" t="s">
        <v>35</v>
      </c>
      <c r="X158" s="11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>2</v>
      </c>
      <c r="Y158" s="10" t="s">
        <v>50</v>
      </c>
      <c r="Z158" s="11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>0</v>
      </c>
      <c r="AA158" s="10" t="s">
        <v>49</v>
      </c>
      <c r="AB158" s="11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>0</v>
      </c>
      <c r="AC158" s="10" t="s">
        <v>37</v>
      </c>
      <c r="AD158" s="11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>7</v>
      </c>
      <c r="AE158" s="10" t="s">
        <v>49</v>
      </c>
      <c r="AF158" s="11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>0</v>
      </c>
      <c r="AG158" s="10" t="s">
        <v>35</v>
      </c>
      <c r="AH158" s="11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>2</v>
      </c>
      <c r="AI158" s="10" t="s">
        <v>35</v>
      </c>
      <c r="AJ158" s="11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>2</v>
      </c>
      <c r="AK158" s="10" t="s">
        <v>35</v>
      </c>
      <c r="AL158" s="11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>2</v>
      </c>
      <c r="AM158" s="10" t="s">
        <v>33</v>
      </c>
      <c r="AN158" s="11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>0</v>
      </c>
      <c r="AO158" s="10" t="s">
        <v>39</v>
      </c>
      <c r="AP158" s="11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>2</v>
      </c>
      <c r="AQ158" s="10" t="s">
        <v>57</v>
      </c>
      <c r="AR158" s="11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>7</v>
      </c>
      <c r="AS158" s="10" t="s">
        <v>45</v>
      </c>
      <c r="AT158" s="11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>5</v>
      </c>
      <c r="AU158" s="10" t="s">
        <v>48</v>
      </c>
      <c r="AV158" s="11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>5</v>
      </c>
      <c r="AW158" s="11">
        <f>IF($C158="","",IFERROR(--LEFT($C158,FIND("-",$C158)-1),""))</f>
        <v>1</v>
      </c>
      <c r="AX158" s="11">
        <f>IF($C158="","",IFERROR(--MID($C158,FIND("-",$C158)+1,99),""))</f>
        <v>4</v>
      </c>
    </row>
    <row r="159" spans="1:50" ht="18" customHeight="1" x14ac:dyDescent="0.25">
      <c r="A159" s="9">
        <v>1.75</v>
      </c>
      <c r="B159" s="17" t="s">
        <v>95</v>
      </c>
      <c r="C159" s="10" t="s">
        <v>61</v>
      </c>
      <c r="D159" s="1" t="s">
        <v>83</v>
      </c>
      <c r="E159" s="10" t="s">
        <v>36</v>
      </c>
      <c r="F159" s="11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>5</v>
      </c>
      <c r="G159" s="10" t="s">
        <v>36</v>
      </c>
      <c r="H159" s="11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>5</v>
      </c>
      <c r="I159" s="10" t="s">
        <v>39</v>
      </c>
      <c r="J159" s="11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>7</v>
      </c>
      <c r="K159" s="10" t="s">
        <v>38</v>
      </c>
      <c r="L159" s="11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>7</v>
      </c>
      <c r="M159" s="10" t="s">
        <v>37</v>
      </c>
      <c r="N159" s="11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>2</v>
      </c>
      <c r="O159" s="10" t="s">
        <v>34</v>
      </c>
      <c r="P159" s="11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>7</v>
      </c>
      <c r="Q159" s="10" t="s">
        <v>37</v>
      </c>
      <c r="R159" s="11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>2</v>
      </c>
      <c r="S159" s="10" t="s">
        <v>33</v>
      </c>
      <c r="T159" s="11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>7</v>
      </c>
      <c r="U159" s="10" t="s">
        <v>36</v>
      </c>
      <c r="V159" s="11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>5</v>
      </c>
      <c r="W159" s="10" t="s">
        <v>33</v>
      </c>
      <c r="X159" s="11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>7</v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 t="s">
        <v>38</v>
      </c>
      <c r="AB159" s="11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>7</v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 t="s">
        <v>36</v>
      </c>
      <c r="AF159" s="11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>5</v>
      </c>
      <c r="AG159" s="10" t="s">
        <v>36</v>
      </c>
      <c r="AH159" s="11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>5</v>
      </c>
      <c r="AI159" s="10" t="s">
        <v>36</v>
      </c>
      <c r="AJ159" s="11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>5</v>
      </c>
      <c r="AK159" s="10" t="s">
        <v>39</v>
      </c>
      <c r="AL159" s="11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>7</v>
      </c>
      <c r="AM159" s="10" t="s">
        <v>36</v>
      </c>
      <c r="AN159" s="11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>5</v>
      </c>
      <c r="AO159" s="10" t="s">
        <v>36</v>
      </c>
      <c r="AP159" s="11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>5</v>
      </c>
      <c r="AQ159" s="10" t="s">
        <v>33</v>
      </c>
      <c r="AR159" s="11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>7</v>
      </c>
      <c r="AS159" s="10" t="s">
        <v>35</v>
      </c>
      <c r="AT159" s="11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>0</v>
      </c>
      <c r="AU159" s="10" t="s">
        <v>33</v>
      </c>
      <c r="AV159" s="11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>7</v>
      </c>
      <c r="AW159" s="11">
        <f>IF($C159="","",IFERROR(--LEFT($C159,FIND("-",$C159)-1),""))</f>
        <v>3</v>
      </c>
      <c r="AX159" s="11">
        <f>IF($C159="","",IFERROR(--MID($C159,FIND("-",$C159)+1,99),""))</f>
        <v>2</v>
      </c>
    </row>
    <row r="160" spans="1:50" ht="18" customHeight="1" x14ac:dyDescent="0.25">
      <c r="A160" s="9">
        <v>1.916666666666667</v>
      </c>
      <c r="B160" s="17" t="s">
        <v>277</v>
      </c>
      <c r="C160" s="10" t="s">
        <v>50</v>
      </c>
      <c r="D160" s="1" t="s">
        <v>108</v>
      </c>
      <c r="E160" s="10" t="s">
        <v>37</v>
      </c>
      <c r="F160" s="11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>0</v>
      </c>
      <c r="G160" s="10" t="s">
        <v>36</v>
      </c>
      <c r="H160" s="11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>2</v>
      </c>
      <c r="I160" s="10" t="s">
        <v>35</v>
      </c>
      <c r="J160" s="11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>7</v>
      </c>
      <c r="K160" s="10" t="s">
        <v>57</v>
      </c>
      <c r="L160" s="11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>0</v>
      </c>
      <c r="M160" s="10" t="s">
        <v>33</v>
      </c>
      <c r="N160" s="11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>0</v>
      </c>
      <c r="O160" s="10" t="s">
        <v>35</v>
      </c>
      <c r="P160" s="11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>7</v>
      </c>
      <c r="Q160" s="10" t="s">
        <v>49</v>
      </c>
      <c r="R160" s="11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>7</v>
      </c>
      <c r="S160" s="10" t="s">
        <v>45</v>
      </c>
      <c r="T160" s="11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>2</v>
      </c>
      <c r="U160" s="10" t="s">
        <v>37</v>
      </c>
      <c r="V160" s="11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>0</v>
      </c>
      <c r="W160" s="10" t="s">
        <v>35</v>
      </c>
      <c r="X160" s="11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>7</v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 t="s">
        <v>35</v>
      </c>
      <c r="AB160" s="11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>7</v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 t="s">
        <v>35</v>
      </c>
      <c r="AF160" s="11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>7</v>
      </c>
      <c r="AG160" s="10" t="s">
        <v>37</v>
      </c>
      <c r="AH160" s="11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>0</v>
      </c>
      <c r="AI160" s="10" t="s">
        <v>50</v>
      </c>
      <c r="AJ160" s="11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>10</v>
      </c>
      <c r="AK160" s="10" t="s">
        <v>35</v>
      </c>
      <c r="AL160" s="11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>7</v>
      </c>
      <c r="AM160" s="10" t="s">
        <v>35</v>
      </c>
      <c r="AN160" s="11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>7</v>
      </c>
      <c r="AO160" s="10" t="s">
        <v>35</v>
      </c>
      <c r="AP160" s="11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>7</v>
      </c>
      <c r="AQ160" s="10" t="s">
        <v>39</v>
      </c>
      <c r="AR160" s="11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>2</v>
      </c>
      <c r="AS160" s="10" t="s">
        <v>39</v>
      </c>
      <c r="AT160" s="11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>2</v>
      </c>
      <c r="AU160" s="10" t="s">
        <v>37</v>
      </c>
      <c r="AV160" s="11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>0</v>
      </c>
      <c r="AW160" s="11">
        <f>IF($C160="","",IFERROR(--LEFT($C160,FIND("-",$C160)-1),""))</f>
        <v>0</v>
      </c>
      <c r="AX160" s="11">
        <f>IF($C160="","",IFERROR(--MID($C160,FIND("-",$C160)+1,99),""))</f>
        <v>0</v>
      </c>
    </row>
    <row r="161" spans="1:50" ht="18" customHeight="1" x14ac:dyDescent="0.25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25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25">
      <c r="A163" s="48" t="s">
        <v>139</v>
      </c>
      <c r="B163" s="53"/>
      <c r="C163" s="54"/>
      <c r="D163" s="53"/>
      <c r="E163" s="54"/>
      <c r="F163" s="53"/>
      <c r="G163" s="54"/>
      <c r="H163" s="53"/>
      <c r="I163" s="54"/>
      <c r="J163" s="53"/>
      <c r="K163" s="54"/>
      <c r="L163" s="53"/>
      <c r="M163" s="54"/>
      <c r="N163" s="53"/>
      <c r="O163" s="54"/>
      <c r="P163" s="53"/>
      <c r="Q163" s="54"/>
      <c r="R163" s="53"/>
      <c r="S163" s="54"/>
      <c r="T163" s="53"/>
      <c r="U163" s="54"/>
      <c r="V163" s="53"/>
      <c r="W163" s="54"/>
      <c r="X163" s="53"/>
      <c r="Y163" s="54"/>
      <c r="Z163" s="53"/>
      <c r="AA163" s="54"/>
      <c r="AB163" s="53"/>
      <c r="AC163" s="54"/>
      <c r="AD163" s="53"/>
      <c r="AE163" s="54"/>
      <c r="AF163" s="53"/>
      <c r="AG163" s="54"/>
      <c r="AH163" s="53"/>
      <c r="AI163" s="54"/>
      <c r="AJ163" s="53"/>
      <c r="AK163" s="54"/>
      <c r="AL163" s="53"/>
      <c r="AM163" s="54"/>
      <c r="AN163" s="53"/>
      <c r="AO163" s="54"/>
      <c r="AP163" s="53"/>
      <c r="AQ163" s="53"/>
      <c r="AR163" s="53"/>
      <c r="AS163" s="53"/>
      <c r="AT163" s="53"/>
      <c r="AU163" s="54"/>
      <c r="AV163" s="47"/>
      <c r="AW163" s="7"/>
      <c r="AX163" s="7"/>
    </row>
    <row r="164" spans="1:50" ht="20.100000000000001" customHeight="1" x14ac:dyDescent="0.25">
      <c r="A164" s="39" t="s">
        <v>140</v>
      </c>
      <c r="B164" s="40"/>
      <c r="C164" s="41"/>
      <c r="D164" s="40"/>
      <c r="E164" s="41"/>
      <c r="F164" s="40"/>
      <c r="G164" s="41"/>
      <c r="H164" s="40"/>
      <c r="I164" s="41"/>
      <c r="J164" s="40"/>
      <c r="K164" s="41"/>
      <c r="L164" s="40"/>
      <c r="M164" s="41"/>
      <c r="N164" s="40"/>
      <c r="O164" s="41"/>
      <c r="P164" s="40"/>
      <c r="Q164" s="41"/>
      <c r="R164" s="40"/>
      <c r="S164" s="41"/>
      <c r="T164" s="40"/>
      <c r="U164" s="41"/>
      <c r="V164" s="40"/>
      <c r="W164" s="41"/>
      <c r="X164" s="40"/>
      <c r="Y164" s="41"/>
      <c r="Z164" s="40"/>
      <c r="AA164" s="41"/>
      <c r="AB164" s="40"/>
      <c r="AC164" s="41"/>
      <c r="AD164" s="40"/>
      <c r="AE164" s="41"/>
      <c r="AF164" s="40"/>
      <c r="AG164" s="41"/>
      <c r="AH164" s="40"/>
      <c r="AI164" s="41"/>
      <c r="AJ164" s="40"/>
      <c r="AK164" s="41"/>
      <c r="AL164" s="40"/>
      <c r="AM164" s="41"/>
      <c r="AN164" s="40"/>
      <c r="AO164" s="41"/>
      <c r="AP164" s="40"/>
      <c r="AQ164" s="40"/>
      <c r="AR164" s="40"/>
      <c r="AS164" s="40"/>
      <c r="AT164" s="40"/>
      <c r="AU164" s="41"/>
      <c r="AV164" s="42"/>
      <c r="AW164" s="8"/>
      <c r="AX164" s="8"/>
    </row>
    <row r="165" spans="1:50" ht="18" customHeight="1" x14ac:dyDescent="0.25">
      <c r="A165" s="9">
        <v>1.916666666666667</v>
      </c>
      <c r="B165" s="17" t="s">
        <v>89</v>
      </c>
      <c r="C165" s="10"/>
      <c r="D165" s="1" t="s">
        <v>60</v>
      </c>
      <c r="E165" s="10" t="s">
        <v>33</v>
      </c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 t="s">
        <v>38</v>
      </c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25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25">
      <c r="A167" s="39" t="s">
        <v>141</v>
      </c>
      <c r="B167" s="40"/>
      <c r="C167" s="41"/>
      <c r="D167" s="40"/>
      <c r="E167" s="41"/>
      <c r="F167" s="40"/>
      <c r="G167" s="41"/>
      <c r="H167" s="40"/>
      <c r="I167" s="41"/>
      <c r="J167" s="40"/>
      <c r="K167" s="41"/>
      <c r="L167" s="40"/>
      <c r="M167" s="41"/>
      <c r="N167" s="40"/>
      <c r="O167" s="41"/>
      <c r="P167" s="40"/>
      <c r="Q167" s="41"/>
      <c r="R167" s="40"/>
      <c r="S167" s="41"/>
      <c r="T167" s="40"/>
      <c r="U167" s="41"/>
      <c r="V167" s="40"/>
      <c r="W167" s="41"/>
      <c r="X167" s="40"/>
      <c r="Y167" s="41"/>
      <c r="Z167" s="40"/>
      <c r="AA167" s="41"/>
      <c r="AB167" s="40"/>
      <c r="AC167" s="41"/>
      <c r="AD167" s="40"/>
      <c r="AE167" s="41"/>
      <c r="AF167" s="40"/>
      <c r="AG167" s="41"/>
      <c r="AH167" s="40"/>
      <c r="AI167" s="41"/>
      <c r="AJ167" s="40"/>
      <c r="AK167" s="41"/>
      <c r="AL167" s="40"/>
      <c r="AM167" s="41"/>
      <c r="AN167" s="40"/>
      <c r="AO167" s="41"/>
      <c r="AP167" s="40"/>
      <c r="AQ167" s="40"/>
      <c r="AR167" s="40"/>
      <c r="AS167" s="40"/>
      <c r="AT167" s="40"/>
      <c r="AU167" s="41"/>
      <c r="AV167" s="42"/>
      <c r="AW167" s="8"/>
      <c r="AX167" s="8"/>
    </row>
    <row r="168" spans="1:50" ht="18" customHeight="1" x14ac:dyDescent="0.25">
      <c r="A168" s="9">
        <v>1.875</v>
      </c>
      <c r="B168" s="17" t="s">
        <v>80</v>
      </c>
      <c r="C168" s="10"/>
      <c r="D168" s="1" t="s">
        <v>82</v>
      </c>
      <c r="E168" s="10" t="s">
        <v>33</v>
      </c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25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25">
      <c r="A170" s="39" t="s">
        <v>142</v>
      </c>
      <c r="B170" s="40"/>
      <c r="C170" s="41"/>
      <c r="D170" s="40"/>
      <c r="E170" s="41"/>
      <c r="F170" s="40"/>
      <c r="G170" s="41"/>
      <c r="H170" s="40"/>
      <c r="I170" s="41"/>
      <c r="J170" s="40"/>
      <c r="K170" s="41"/>
      <c r="L170" s="40"/>
      <c r="M170" s="41"/>
      <c r="N170" s="40"/>
      <c r="O170" s="41"/>
      <c r="P170" s="40"/>
      <c r="Q170" s="41"/>
      <c r="R170" s="40"/>
      <c r="S170" s="41"/>
      <c r="T170" s="40"/>
      <c r="U170" s="41"/>
      <c r="V170" s="40"/>
      <c r="W170" s="41"/>
      <c r="X170" s="40"/>
      <c r="Y170" s="41"/>
      <c r="Z170" s="40"/>
      <c r="AA170" s="41"/>
      <c r="AB170" s="40"/>
      <c r="AC170" s="41"/>
      <c r="AD170" s="40"/>
      <c r="AE170" s="41"/>
      <c r="AF170" s="40"/>
      <c r="AG170" s="41"/>
      <c r="AH170" s="40"/>
      <c r="AI170" s="41"/>
      <c r="AJ170" s="40"/>
      <c r="AK170" s="41"/>
      <c r="AL170" s="40"/>
      <c r="AM170" s="41"/>
      <c r="AN170" s="40"/>
      <c r="AO170" s="41"/>
      <c r="AP170" s="40"/>
      <c r="AQ170" s="40"/>
      <c r="AR170" s="40"/>
      <c r="AS170" s="40"/>
      <c r="AT170" s="40"/>
      <c r="AU170" s="41"/>
      <c r="AV170" s="42"/>
      <c r="AW170" s="8"/>
      <c r="AX170" s="8"/>
    </row>
    <row r="171" spans="1:50" ht="18" customHeight="1" x14ac:dyDescent="0.25">
      <c r="A171" s="9">
        <v>1.958333333333333</v>
      </c>
      <c r="B171" s="17" t="s">
        <v>94</v>
      </c>
      <c r="C171" s="10"/>
      <c r="D171" s="1" t="s">
        <v>101</v>
      </c>
      <c r="E171" s="10" t="s">
        <v>37</v>
      </c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 t="s">
        <v>61</v>
      </c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25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25">
      <c r="A173" s="39" t="s">
        <v>143</v>
      </c>
      <c r="B173" s="40"/>
      <c r="C173" s="41"/>
      <c r="D173" s="40"/>
      <c r="E173" s="41"/>
      <c r="F173" s="40"/>
      <c r="G173" s="41"/>
      <c r="H173" s="40"/>
      <c r="I173" s="41"/>
      <c r="J173" s="40"/>
      <c r="K173" s="41"/>
      <c r="L173" s="40"/>
      <c r="M173" s="41"/>
      <c r="N173" s="40"/>
      <c r="O173" s="41"/>
      <c r="P173" s="40"/>
      <c r="Q173" s="41"/>
      <c r="R173" s="40"/>
      <c r="S173" s="41"/>
      <c r="T173" s="40"/>
      <c r="U173" s="41"/>
      <c r="V173" s="40"/>
      <c r="W173" s="41"/>
      <c r="X173" s="40"/>
      <c r="Y173" s="41"/>
      <c r="Z173" s="40"/>
      <c r="AA173" s="41"/>
      <c r="AB173" s="40"/>
      <c r="AC173" s="41"/>
      <c r="AD173" s="40"/>
      <c r="AE173" s="41"/>
      <c r="AF173" s="40"/>
      <c r="AG173" s="41"/>
      <c r="AH173" s="40"/>
      <c r="AI173" s="41"/>
      <c r="AJ173" s="40"/>
      <c r="AK173" s="41"/>
      <c r="AL173" s="40"/>
      <c r="AM173" s="41"/>
      <c r="AN173" s="40"/>
      <c r="AO173" s="41"/>
      <c r="AP173" s="40"/>
      <c r="AQ173" s="40"/>
      <c r="AR173" s="40"/>
      <c r="AS173" s="40"/>
      <c r="AT173" s="40"/>
      <c r="AU173" s="41"/>
      <c r="AV173" s="42"/>
      <c r="AW173" s="8"/>
      <c r="AX173" s="8"/>
    </row>
    <row r="174" spans="1:50" ht="18" customHeight="1" x14ac:dyDescent="0.25">
      <c r="A174" s="9">
        <v>1.125</v>
      </c>
      <c r="B174" s="17" t="s">
        <v>95</v>
      </c>
      <c r="C174" s="10"/>
      <c r="D174" s="1" t="s">
        <v>55</v>
      </c>
      <c r="E174" s="10" t="s">
        <v>33</v>
      </c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25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25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25">
      <c r="A177" s="48" t="s">
        <v>144</v>
      </c>
      <c r="B177" s="53"/>
      <c r="C177" s="54"/>
      <c r="D177" s="53"/>
      <c r="E177" s="54"/>
      <c r="F177" s="53"/>
      <c r="G177" s="54"/>
      <c r="H177" s="53"/>
      <c r="I177" s="54"/>
      <c r="J177" s="53"/>
      <c r="K177" s="54"/>
      <c r="L177" s="53"/>
      <c r="M177" s="54"/>
      <c r="N177" s="53"/>
      <c r="O177" s="54"/>
      <c r="P177" s="53"/>
      <c r="Q177" s="54"/>
      <c r="R177" s="53"/>
      <c r="S177" s="54"/>
      <c r="T177" s="53"/>
      <c r="U177" s="54"/>
      <c r="V177" s="53"/>
      <c r="W177" s="54"/>
      <c r="X177" s="53"/>
      <c r="Y177" s="54"/>
      <c r="Z177" s="53"/>
      <c r="AA177" s="54"/>
      <c r="AB177" s="53"/>
      <c r="AC177" s="54"/>
      <c r="AD177" s="53"/>
      <c r="AE177" s="54"/>
      <c r="AF177" s="53"/>
      <c r="AG177" s="54"/>
      <c r="AH177" s="53"/>
      <c r="AI177" s="54"/>
      <c r="AJ177" s="53"/>
      <c r="AK177" s="54"/>
      <c r="AL177" s="53"/>
      <c r="AM177" s="54"/>
      <c r="AN177" s="53"/>
      <c r="AO177" s="54"/>
      <c r="AP177" s="53"/>
      <c r="AQ177" s="53"/>
      <c r="AR177" s="53"/>
      <c r="AS177" s="53"/>
      <c r="AT177" s="53"/>
      <c r="AU177" s="54"/>
      <c r="AV177" s="47"/>
      <c r="AW177" s="7"/>
      <c r="AX177" s="7"/>
    </row>
    <row r="178" spans="1:50" ht="20.100000000000001" customHeight="1" x14ac:dyDescent="0.25">
      <c r="A178" s="39" t="s">
        <v>145</v>
      </c>
      <c r="B178" s="40"/>
      <c r="C178" s="41"/>
      <c r="D178" s="40"/>
      <c r="E178" s="41"/>
      <c r="F178" s="40"/>
      <c r="G178" s="41"/>
      <c r="H178" s="40"/>
      <c r="I178" s="41"/>
      <c r="J178" s="40"/>
      <c r="K178" s="41"/>
      <c r="L178" s="40"/>
      <c r="M178" s="41"/>
      <c r="N178" s="40"/>
      <c r="O178" s="41"/>
      <c r="P178" s="40"/>
      <c r="Q178" s="41"/>
      <c r="R178" s="40"/>
      <c r="S178" s="41"/>
      <c r="T178" s="40"/>
      <c r="U178" s="41"/>
      <c r="V178" s="40"/>
      <c r="W178" s="41"/>
      <c r="X178" s="40"/>
      <c r="Y178" s="41"/>
      <c r="Z178" s="40"/>
      <c r="AA178" s="41"/>
      <c r="AB178" s="40"/>
      <c r="AC178" s="41"/>
      <c r="AD178" s="40"/>
      <c r="AE178" s="41"/>
      <c r="AF178" s="40"/>
      <c r="AG178" s="41"/>
      <c r="AH178" s="40"/>
      <c r="AI178" s="41"/>
      <c r="AJ178" s="40"/>
      <c r="AK178" s="41"/>
      <c r="AL178" s="40"/>
      <c r="AM178" s="41"/>
      <c r="AN178" s="40"/>
      <c r="AO178" s="41"/>
      <c r="AP178" s="40"/>
      <c r="AQ178" s="40"/>
      <c r="AR178" s="40"/>
      <c r="AS178" s="40"/>
      <c r="AT178" s="40"/>
      <c r="AU178" s="41"/>
      <c r="AV178" s="42"/>
      <c r="AW178" s="8"/>
      <c r="AX178" s="8"/>
    </row>
    <row r="179" spans="1:50" ht="18" customHeight="1" x14ac:dyDescent="0.25">
      <c r="A179" s="9">
        <v>1.875</v>
      </c>
      <c r="B179" s="17" t="s">
        <v>146</v>
      </c>
      <c r="C179" s="10"/>
      <c r="D179" s="1" t="s">
        <v>147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25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25">
      <c r="A181" s="39" t="s">
        <v>148</v>
      </c>
      <c r="B181" s="40"/>
      <c r="C181" s="41"/>
      <c r="D181" s="40"/>
      <c r="E181" s="41"/>
      <c r="F181" s="40"/>
      <c r="G181" s="41"/>
      <c r="H181" s="40"/>
      <c r="I181" s="41"/>
      <c r="J181" s="40"/>
      <c r="K181" s="41"/>
      <c r="L181" s="40"/>
      <c r="M181" s="41"/>
      <c r="N181" s="40"/>
      <c r="O181" s="41"/>
      <c r="P181" s="40"/>
      <c r="Q181" s="41"/>
      <c r="R181" s="40"/>
      <c r="S181" s="41"/>
      <c r="T181" s="40"/>
      <c r="U181" s="41"/>
      <c r="V181" s="40"/>
      <c r="W181" s="41"/>
      <c r="X181" s="40"/>
      <c r="Y181" s="41"/>
      <c r="Z181" s="40"/>
      <c r="AA181" s="41"/>
      <c r="AB181" s="40"/>
      <c r="AC181" s="41"/>
      <c r="AD181" s="40"/>
      <c r="AE181" s="41"/>
      <c r="AF181" s="40"/>
      <c r="AG181" s="41"/>
      <c r="AH181" s="40"/>
      <c r="AI181" s="41"/>
      <c r="AJ181" s="40"/>
      <c r="AK181" s="41"/>
      <c r="AL181" s="40"/>
      <c r="AM181" s="41"/>
      <c r="AN181" s="40"/>
      <c r="AO181" s="41"/>
      <c r="AP181" s="40"/>
      <c r="AQ181" s="40"/>
      <c r="AR181" s="40"/>
      <c r="AS181" s="40"/>
      <c r="AT181" s="40"/>
      <c r="AU181" s="41"/>
      <c r="AV181" s="42"/>
      <c r="AW181" s="8"/>
      <c r="AX181" s="8"/>
    </row>
    <row r="182" spans="1:50" ht="18" customHeight="1" x14ac:dyDescent="0.25">
      <c r="A182" s="9">
        <v>1.875</v>
      </c>
      <c r="B182" s="17" t="s">
        <v>149</v>
      </c>
      <c r="C182" s="10"/>
      <c r="D182" s="1" t="s">
        <v>150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25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25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25">
      <c r="A185" s="48" t="s">
        <v>151</v>
      </c>
      <c r="B185" s="53"/>
      <c r="C185" s="54"/>
      <c r="D185" s="53"/>
      <c r="E185" s="54"/>
      <c r="F185" s="53"/>
      <c r="G185" s="54"/>
      <c r="H185" s="53"/>
      <c r="I185" s="54"/>
      <c r="J185" s="53"/>
      <c r="K185" s="54"/>
      <c r="L185" s="53"/>
      <c r="M185" s="54"/>
      <c r="N185" s="53"/>
      <c r="O185" s="54"/>
      <c r="P185" s="53"/>
      <c r="Q185" s="54"/>
      <c r="R185" s="53"/>
      <c r="S185" s="54"/>
      <c r="T185" s="53"/>
      <c r="U185" s="54"/>
      <c r="V185" s="53"/>
      <c r="W185" s="54"/>
      <c r="X185" s="53"/>
      <c r="Y185" s="54"/>
      <c r="Z185" s="53"/>
      <c r="AA185" s="54"/>
      <c r="AB185" s="53"/>
      <c r="AC185" s="54"/>
      <c r="AD185" s="53"/>
      <c r="AE185" s="54"/>
      <c r="AF185" s="53"/>
      <c r="AG185" s="54"/>
      <c r="AH185" s="53"/>
      <c r="AI185" s="54"/>
      <c r="AJ185" s="53"/>
      <c r="AK185" s="54"/>
      <c r="AL185" s="53"/>
      <c r="AM185" s="54"/>
      <c r="AN185" s="53"/>
      <c r="AO185" s="54"/>
      <c r="AP185" s="53"/>
      <c r="AQ185" s="53"/>
      <c r="AR185" s="53"/>
      <c r="AS185" s="53"/>
      <c r="AT185" s="53"/>
      <c r="AU185" s="54"/>
      <c r="AV185" s="47"/>
      <c r="AW185" s="7"/>
      <c r="AX185" s="7"/>
    </row>
    <row r="186" spans="1:50" ht="20.100000000000001" customHeight="1" x14ac:dyDescent="0.25">
      <c r="A186" s="39" t="s">
        <v>152</v>
      </c>
      <c r="B186" s="40"/>
      <c r="C186" s="41"/>
      <c r="D186" s="40"/>
      <c r="E186" s="41"/>
      <c r="F186" s="40"/>
      <c r="G186" s="41"/>
      <c r="H186" s="40"/>
      <c r="I186" s="41"/>
      <c r="J186" s="40"/>
      <c r="K186" s="41"/>
      <c r="L186" s="40"/>
      <c r="M186" s="41"/>
      <c r="N186" s="40"/>
      <c r="O186" s="41"/>
      <c r="P186" s="40"/>
      <c r="Q186" s="41"/>
      <c r="R186" s="40"/>
      <c r="S186" s="41"/>
      <c r="T186" s="40"/>
      <c r="U186" s="41"/>
      <c r="V186" s="40"/>
      <c r="W186" s="41"/>
      <c r="X186" s="40"/>
      <c r="Y186" s="41"/>
      <c r="Z186" s="40"/>
      <c r="AA186" s="41"/>
      <c r="AB186" s="40"/>
      <c r="AC186" s="41"/>
      <c r="AD186" s="40"/>
      <c r="AE186" s="41"/>
      <c r="AF186" s="40"/>
      <c r="AG186" s="41"/>
      <c r="AH186" s="40"/>
      <c r="AI186" s="41"/>
      <c r="AJ186" s="40"/>
      <c r="AK186" s="41"/>
      <c r="AL186" s="40"/>
      <c r="AM186" s="41"/>
      <c r="AN186" s="40"/>
      <c r="AO186" s="41"/>
      <c r="AP186" s="40"/>
      <c r="AQ186" s="40"/>
      <c r="AR186" s="40"/>
      <c r="AS186" s="40"/>
      <c r="AT186" s="40"/>
      <c r="AU186" s="41"/>
      <c r="AV186" s="42"/>
      <c r="AW186" s="8"/>
      <c r="AX186" s="8"/>
    </row>
    <row r="187" spans="1:50" ht="18" customHeight="1" x14ac:dyDescent="0.25">
      <c r="A187" s="9">
        <v>1.958333333333333</v>
      </c>
      <c r="B187" s="17" t="s">
        <v>153</v>
      </c>
      <c r="C187" s="10"/>
      <c r="D187" s="1" t="s">
        <v>154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25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25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25">
      <c r="A190" s="48" t="s">
        <v>155</v>
      </c>
      <c r="B190" s="53"/>
      <c r="C190" s="54"/>
      <c r="D190" s="53"/>
      <c r="E190" s="54"/>
      <c r="F190" s="53"/>
      <c r="G190" s="54"/>
      <c r="H190" s="53"/>
      <c r="I190" s="54"/>
      <c r="J190" s="53"/>
      <c r="K190" s="54"/>
      <c r="L190" s="53"/>
      <c r="M190" s="54"/>
      <c r="N190" s="53"/>
      <c r="O190" s="54"/>
      <c r="P190" s="53"/>
      <c r="Q190" s="54"/>
      <c r="R190" s="53"/>
      <c r="S190" s="54"/>
      <c r="T190" s="53"/>
      <c r="U190" s="54"/>
      <c r="V190" s="53"/>
      <c r="W190" s="54"/>
      <c r="X190" s="53"/>
      <c r="Y190" s="54"/>
      <c r="Z190" s="53"/>
      <c r="AA190" s="54"/>
      <c r="AB190" s="53"/>
      <c r="AC190" s="54"/>
      <c r="AD190" s="53"/>
      <c r="AE190" s="54"/>
      <c r="AF190" s="53"/>
      <c r="AG190" s="54"/>
      <c r="AH190" s="53"/>
      <c r="AI190" s="54"/>
      <c r="AJ190" s="53"/>
      <c r="AK190" s="54"/>
      <c r="AL190" s="53"/>
      <c r="AM190" s="54"/>
      <c r="AN190" s="53"/>
      <c r="AO190" s="54"/>
      <c r="AP190" s="53"/>
      <c r="AQ190" s="53"/>
      <c r="AR190" s="53"/>
      <c r="AS190" s="53"/>
      <c r="AT190" s="53"/>
      <c r="AU190" s="54"/>
      <c r="AV190" s="47"/>
      <c r="AW190" s="7"/>
      <c r="AX190" s="7"/>
    </row>
    <row r="191" spans="1:50" ht="20.100000000000001" customHeight="1" x14ac:dyDescent="0.25">
      <c r="A191" s="39" t="s">
        <v>156</v>
      </c>
      <c r="B191" s="40"/>
      <c r="C191" s="41"/>
      <c r="D191" s="40"/>
      <c r="E191" s="41"/>
      <c r="F191" s="40"/>
      <c r="G191" s="41"/>
      <c r="H191" s="40"/>
      <c r="I191" s="41"/>
      <c r="J191" s="40"/>
      <c r="K191" s="41"/>
      <c r="L191" s="40"/>
      <c r="M191" s="41"/>
      <c r="N191" s="40"/>
      <c r="O191" s="41"/>
      <c r="P191" s="40"/>
      <c r="Q191" s="41"/>
      <c r="R191" s="40"/>
      <c r="S191" s="41"/>
      <c r="T191" s="40"/>
      <c r="U191" s="41"/>
      <c r="V191" s="40"/>
      <c r="W191" s="41"/>
      <c r="X191" s="40"/>
      <c r="Y191" s="41"/>
      <c r="Z191" s="40"/>
      <c r="AA191" s="41"/>
      <c r="AB191" s="40"/>
      <c r="AC191" s="41"/>
      <c r="AD191" s="40"/>
      <c r="AE191" s="41"/>
      <c r="AF191" s="40"/>
      <c r="AG191" s="41"/>
      <c r="AH191" s="40"/>
      <c r="AI191" s="41"/>
      <c r="AJ191" s="40"/>
      <c r="AK191" s="41"/>
      <c r="AL191" s="40"/>
      <c r="AM191" s="41"/>
      <c r="AN191" s="40"/>
      <c r="AO191" s="41"/>
      <c r="AP191" s="40"/>
      <c r="AQ191" s="40"/>
      <c r="AR191" s="40"/>
      <c r="AS191" s="40"/>
      <c r="AT191" s="40"/>
      <c r="AU191" s="41"/>
      <c r="AV191" s="42"/>
      <c r="AW191" s="8"/>
      <c r="AX191" s="8"/>
    </row>
    <row r="192" spans="1:50" ht="18" customHeight="1" x14ac:dyDescent="0.25">
      <c r="A192" s="9">
        <v>1.875</v>
      </c>
      <c r="B192" s="17" t="s">
        <v>157</v>
      </c>
      <c r="C192" s="10"/>
      <c r="D192" s="1" t="s">
        <v>158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25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25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26" sqref="G26"/>
    </sheetView>
  </sheetViews>
  <sheetFormatPr defaultRowHeight="15" x14ac:dyDescent="0.25"/>
  <cols>
    <col min="1" max="1" width="4" customWidth="1"/>
    <col min="2" max="2" width="75.28515625" customWidth="1"/>
    <col min="3" max="3" width="28" customWidth="1"/>
    <col min="4" max="4" width="12.5703125" style="21" customWidth="1"/>
    <col min="5" max="5" width="10.5703125" customWidth="1"/>
    <col min="6" max="6" width="12.5703125" customWidth="1"/>
    <col min="7" max="7" width="10.5703125" customWidth="1"/>
    <col min="8" max="8" width="12.5703125" customWidth="1"/>
    <col min="9" max="9" width="10.5703125" customWidth="1"/>
    <col min="10" max="10" width="12.5703125" customWidth="1"/>
    <col min="11" max="11" width="10.5703125" customWidth="1"/>
    <col min="12" max="12" width="12.5703125" customWidth="1"/>
    <col min="13" max="13" width="10.5703125" customWidth="1"/>
    <col min="14" max="14" width="12.5703125" style="21" customWidth="1"/>
    <col min="15" max="15" width="10.5703125" customWidth="1"/>
    <col min="16" max="16" width="12.5703125" style="21" customWidth="1"/>
    <col min="17" max="17" width="10.5703125" customWidth="1"/>
    <col min="18" max="18" width="12.5703125" style="21" customWidth="1"/>
    <col min="19" max="19" width="10.5703125" customWidth="1"/>
    <col min="20" max="20" width="12.5703125" customWidth="1"/>
    <col min="21" max="21" width="10.5703125" customWidth="1"/>
    <col min="22" max="22" width="12.5703125" style="21" customWidth="1"/>
    <col min="23" max="23" width="10.5703125" customWidth="1"/>
    <col min="24" max="24" width="12.5703125" style="21" customWidth="1"/>
    <col min="25" max="25" width="10.5703125" customWidth="1"/>
    <col min="26" max="26" width="12.5703125" style="21" customWidth="1"/>
    <col min="27" max="27" width="10.5703125" customWidth="1"/>
    <col min="28" max="28" width="12.5703125" style="21" customWidth="1"/>
    <col min="29" max="29" width="10.5703125" customWidth="1"/>
    <col min="30" max="30" width="12.5703125" style="21" customWidth="1"/>
    <col min="31" max="31" width="10.5703125" customWidth="1"/>
    <col min="32" max="32" width="12.5703125" style="21" customWidth="1"/>
    <col min="33" max="33" width="10.5703125" customWidth="1"/>
    <col min="34" max="34" width="12.5703125" style="21" customWidth="1"/>
    <col min="35" max="35" width="10.5703125" customWidth="1"/>
    <col min="36" max="36" width="12.5703125" style="21" customWidth="1"/>
    <col min="37" max="37" width="10.5703125" customWidth="1"/>
    <col min="38" max="38" width="12.5703125" style="21" customWidth="1"/>
    <col min="39" max="39" width="10.5703125" customWidth="1"/>
    <col min="40" max="40" width="12.5703125" style="21" customWidth="1"/>
    <col min="41" max="41" width="10.5703125" customWidth="1"/>
    <col min="42" max="42" width="12.5703125" customWidth="1"/>
    <col min="43" max="43" width="10.5703125" customWidth="1"/>
    <col min="44" max="44" width="12.5703125" style="21" customWidth="1"/>
    <col min="45" max="45" width="10.5703125" customWidth="1"/>
    <col min="46" max="46" width="12.5703125" style="21" customWidth="1"/>
    <col min="47" max="47" width="10.5703125" customWidth="1"/>
  </cols>
  <sheetData>
    <row r="1" spans="1:47" x14ac:dyDescent="0.25">
      <c r="A1" s="2"/>
      <c r="B1" s="2"/>
      <c r="C1" s="2"/>
      <c r="D1" s="61" t="str">
        <f>Wedstrijden_beheer!E1</f>
        <v>Roland</v>
      </c>
      <c r="E1" s="62"/>
      <c r="F1" s="60" t="str">
        <f>Wedstrijden_beheer!G1</f>
        <v>Nikki</v>
      </c>
      <c r="G1" s="47"/>
      <c r="H1" s="60" t="str">
        <f>Wedstrijden_beheer!I1</f>
        <v>Abdussamed</v>
      </c>
      <c r="I1" s="47"/>
      <c r="J1" s="60" t="str">
        <f>Wedstrijden_beheer!K1</f>
        <v>Karsten</v>
      </c>
      <c r="K1" s="47"/>
      <c r="L1" s="60" t="str">
        <f>Wedstrijden_beheer!M1</f>
        <v>Bas</v>
      </c>
      <c r="M1" s="47"/>
      <c r="N1" s="60" t="str">
        <f>Wedstrijden_beheer!O1</f>
        <v>Maik</v>
      </c>
      <c r="O1" s="47"/>
      <c r="P1" s="60" t="str">
        <f>Wedstrijden_beheer!Q1</f>
        <v>Simone</v>
      </c>
      <c r="Q1" s="47"/>
      <c r="R1" s="60" t="str">
        <f>Wedstrijden_beheer!S1</f>
        <v>Marc</v>
      </c>
      <c r="S1" s="47"/>
      <c r="T1" s="60" t="str">
        <f>Wedstrijden_beheer!U1</f>
        <v>Tom</v>
      </c>
      <c r="U1" s="47"/>
      <c r="V1" s="60" t="str">
        <f>Wedstrijden_beheer!W1</f>
        <v>Jos</v>
      </c>
      <c r="W1" s="47"/>
      <c r="X1" s="60" t="str">
        <f>Wedstrijden_beheer!Y1</f>
        <v>Lesley</v>
      </c>
      <c r="Y1" s="47"/>
      <c r="Z1" s="60" t="str">
        <f>Wedstrijden_beheer!AA1</f>
        <v>Ivo</v>
      </c>
      <c r="AA1" s="47"/>
      <c r="AB1" s="60" t="str">
        <f>Wedstrijden_beheer!AC1</f>
        <v>Ron</v>
      </c>
      <c r="AC1" s="47"/>
      <c r="AD1" s="60" t="str">
        <f>Wedstrijden_beheer!AE1</f>
        <v>Jeroen</v>
      </c>
      <c r="AE1" s="47"/>
      <c r="AF1" s="60" t="str">
        <f>Wedstrijden_beheer!AG1</f>
        <v>Erwin</v>
      </c>
      <c r="AG1" s="47"/>
      <c r="AH1" s="60" t="str">
        <f>Wedstrijden_beheer!AI1</f>
        <v>Tim</v>
      </c>
      <c r="AI1" s="47"/>
      <c r="AJ1" s="60" t="s">
        <v>20</v>
      </c>
      <c r="AK1" s="47"/>
      <c r="AL1" s="60" t="s">
        <v>21</v>
      </c>
      <c r="AM1" s="47"/>
      <c r="AN1" s="60" t="str">
        <f>Wedstrijden_beheer!AO1</f>
        <v>Patrick</v>
      </c>
      <c r="AO1" s="47"/>
      <c r="AP1" s="60" t="str">
        <f>Wedstrijden_beheer!AQ1</f>
        <v>Jeno</v>
      </c>
      <c r="AQ1" s="47"/>
      <c r="AR1" s="46" t="str">
        <f>Wedstrijden_beheer!AS1</f>
        <v>Andre</v>
      </c>
      <c r="AS1" s="59"/>
      <c r="AT1" s="46" t="str">
        <f>Wedstrijden_beheer!AU1</f>
        <v>Raymond</v>
      </c>
      <c r="AU1" s="59"/>
    </row>
    <row r="2" spans="1:47" s="28" customFormat="1" ht="14.45" customHeight="1" x14ac:dyDescent="0.25">
      <c r="A2" s="34"/>
      <c r="B2" s="35" t="s">
        <v>159</v>
      </c>
      <c r="C2" s="34" t="s">
        <v>160</v>
      </c>
      <c r="D2" s="36" t="s">
        <v>161</v>
      </c>
      <c r="E2" s="34" t="s">
        <v>28</v>
      </c>
      <c r="F2" s="34" t="s">
        <v>161</v>
      </c>
      <c r="G2" s="34" t="s">
        <v>28</v>
      </c>
      <c r="H2" s="34" t="s">
        <v>161</v>
      </c>
      <c r="I2" s="34" t="s">
        <v>28</v>
      </c>
      <c r="J2" s="34" t="s">
        <v>161</v>
      </c>
      <c r="K2" s="34" t="s">
        <v>28</v>
      </c>
      <c r="L2" s="34" t="s">
        <v>161</v>
      </c>
      <c r="M2" s="34" t="s">
        <v>28</v>
      </c>
      <c r="N2" s="36" t="s">
        <v>161</v>
      </c>
      <c r="O2" s="34" t="s">
        <v>28</v>
      </c>
      <c r="P2" s="36" t="s">
        <v>161</v>
      </c>
      <c r="Q2" s="34" t="s">
        <v>28</v>
      </c>
      <c r="R2" s="36" t="s">
        <v>161</v>
      </c>
      <c r="S2" s="34" t="s">
        <v>28</v>
      </c>
      <c r="T2" s="34" t="s">
        <v>161</v>
      </c>
      <c r="U2" s="34" t="s">
        <v>28</v>
      </c>
      <c r="V2" s="36" t="s">
        <v>161</v>
      </c>
      <c r="W2" s="34" t="s">
        <v>28</v>
      </c>
      <c r="X2" s="36" t="s">
        <v>161</v>
      </c>
      <c r="Y2" s="34" t="s">
        <v>28</v>
      </c>
      <c r="Z2" s="36" t="s">
        <v>161</v>
      </c>
      <c r="AA2" s="34" t="s">
        <v>28</v>
      </c>
      <c r="AB2" s="36" t="s">
        <v>161</v>
      </c>
      <c r="AC2" s="34" t="s">
        <v>28</v>
      </c>
      <c r="AD2" s="36" t="s">
        <v>161</v>
      </c>
      <c r="AE2" s="34" t="s">
        <v>28</v>
      </c>
      <c r="AF2" s="36" t="s">
        <v>161</v>
      </c>
      <c r="AG2" s="34" t="s">
        <v>28</v>
      </c>
      <c r="AH2" s="36" t="s">
        <v>161</v>
      </c>
      <c r="AI2" s="34" t="s">
        <v>28</v>
      </c>
      <c r="AJ2" s="36" t="s">
        <v>161</v>
      </c>
      <c r="AK2" s="34" t="s">
        <v>28</v>
      </c>
      <c r="AL2" s="37" t="s">
        <v>161</v>
      </c>
      <c r="AM2" s="34" t="s">
        <v>28</v>
      </c>
      <c r="AN2" s="36" t="s">
        <v>161</v>
      </c>
      <c r="AO2" s="34" t="s">
        <v>28</v>
      </c>
      <c r="AP2" s="34" t="s">
        <v>161</v>
      </c>
      <c r="AQ2" s="34" t="s">
        <v>28</v>
      </c>
      <c r="AR2" s="36" t="s">
        <v>161</v>
      </c>
      <c r="AS2" s="34" t="s">
        <v>28</v>
      </c>
      <c r="AT2" s="36" t="s">
        <v>161</v>
      </c>
      <c r="AU2" s="34" t="s">
        <v>28</v>
      </c>
    </row>
    <row r="3" spans="1:47" ht="14.45" customHeight="1" x14ac:dyDescent="0.25">
      <c r="A3" s="11">
        <v>1</v>
      </c>
      <c r="B3" s="1" t="s">
        <v>162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5" customHeight="1" x14ac:dyDescent="0.25">
      <c r="A4" s="11">
        <v>2</v>
      </c>
      <c r="B4" s="1" t="s">
        <v>163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164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5" customHeight="1" x14ac:dyDescent="0.25">
      <c r="A5" s="11">
        <v>3</v>
      </c>
      <c r="B5" s="1" t="s">
        <v>165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166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5" customHeight="1" x14ac:dyDescent="0.25">
      <c r="A6" s="11">
        <v>4</v>
      </c>
      <c r="B6" s="1" t="s">
        <v>167</v>
      </c>
      <c r="C6" s="1" t="s">
        <v>170</v>
      </c>
      <c r="D6" s="24" t="s">
        <v>168</v>
      </c>
      <c r="E6" s="11">
        <f t="shared" si="0"/>
        <v>0</v>
      </c>
      <c r="F6" s="10" t="s">
        <v>169</v>
      </c>
      <c r="G6" s="11">
        <f t="shared" si="1"/>
        <v>0</v>
      </c>
      <c r="H6" s="10" t="s">
        <v>170</v>
      </c>
      <c r="I6" s="11">
        <f t="shared" si="2"/>
        <v>10</v>
      </c>
      <c r="J6" s="10" t="s">
        <v>169</v>
      </c>
      <c r="K6" s="11">
        <f t="shared" si="3"/>
        <v>0</v>
      </c>
      <c r="L6" s="10" t="s">
        <v>168</v>
      </c>
      <c r="M6" s="11">
        <f t="shared" si="4"/>
        <v>0</v>
      </c>
      <c r="N6" s="10" t="s">
        <v>168</v>
      </c>
      <c r="O6" s="11">
        <f t="shared" si="5"/>
        <v>0</v>
      </c>
      <c r="P6" s="10" t="s">
        <v>170</v>
      </c>
      <c r="Q6" s="11">
        <f t="shared" si="6"/>
        <v>10</v>
      </c>
      <c r="R6" s="10" t="s">
        <v>169</v>
      </c>
      <c r="S6" s="11">
        <f t="shared" si="7"/>
        <v>0</v>
      </c>
      <c r="T6" s="10" t="s">
        <v>170</v>
      </c>
      <c r="U6" s="11">
        <f t="shared" si="8"/>
        <v>10</v>
      </c>
      <c r="V6" s="10" t="s">
        <v>168</v>
      </c>
      <c r="W6" s="11">
        <f t="shared" si="9"/>
        <v>0</v>
      </c>
      <c r="X6" s="10" t="s">
        <v>170</v>
      </c>
      <c r="Y6" s="11">
        <f t="shared" si="10"/>
        <v>10</v>
      </c>
      <c r="Z6" s="10" t="s">
        <v>168</v>
      </c>
      <c r="AA6" s="11">
        <f t="shared" si="11"/>
        <v>0</v>
      </c>
      <c r="AB6" s="21" t="s">
        <v>169</v>
      </c>
      <c r="AC6" s="11">
        <f t="shared" si="12"/>
        <v>0</v>
      </c>
      <c r="AD6" s="10" t="s">
        <v>168</v>
      </c>
      <c r="AE6" s="11">
        <f t="shared" si="13"/>
        <v>0</v>
      </c>
      <c r="AF6" s="10" t="s">
        <v>170</v>
      </c>
      <c r="AG6" s="11">
        <f t="shared" si="14"/>
        <v>10</v>
      </c>
      <c r="AH6" s="10" t="s">
        <v>168</v>
      </c>
      <c r="AI6" s="11">
        <f t="shared" si="15"/>
        <v>0</v>
      </c>
      <c r="AJ6" s="10" t="s">
        <v>170</v>
      </c>
      <c r="AK6" s="11">
        <f t="shared" si="16"/>
        <v>10</v>
      </c>
      <c r="AL6" s="10" t="s">
        <v>170</v>
      </c>
      <c r="AM6" s="11">
        <f t="shared" si="17"/>
        <v>10</v>
      </c>
      <c r="AN6" s="10" t="s">
        <v>170</v>
      </c>
      <c r="AO6" s="11">
        <f t="shared" si="18"/>
        <v>10</v>
      </c>
      <c r="AP6" s="10" t="s">
        <v>170</v>
      </c>
      <c r="AQ6" s="11">
        <f t="shared" si="19"/>
        <v>10</v>
      </c>
      <c r="AR6" s="10" t="s">
        <v>269</v>
      </c>
      <c r="AS6" s="11">
        <f t="shared" si="20"/>
        <v>0</v>
      </c>
      <c r="AT6" s="10" t="s">
        <v>168</v>
      </c>
      <c r="AU6" s="11">
        <f t="shared" si="21"/>
        <v>0</v>
      </c>
    </row>
    <row r="7" spans="1:47" ht="14.45" customHeight="1" x14ac:dyDescent="0.25">
      <c r="A7" s="11">
        <v>5</v>
      </c>
      <c r="B7" s="1" t="s">
        <v>171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172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45" customHeight="1" x14ac:dyDescent="0.25">
      <c r="A8" s="11">
        <v>6</v>
      </c>
      <c r="B8" s="1" t="s">
        <v>173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174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175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176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5" customHeight="1" x14ac:dyDescent="0.25">
      <c r="A9" s="11">
        <v>7</v>
      </c>
      <c r="B9" s="1" t="s">
        <v>177</v>
      </c>
      <c r="C9" s="1"/>
      <c r="D9" s="10" t="s">
        <v>178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178</v>
      </c>
      <c r="I9" s="11" t="str">
        <f t="shared" si="2"/>
        <v/>
      </c>
      <c r="J9" s="10" t="s">
        <v>179</v>
      </c>
      <c r="K9" s="11" t="str">
        <f t="shared" si="3"/>
        <v/>
      </c>
      <c r="L9" s="10" t="s">
        <v>179</v>
      </c>
      <c r="M9" s="11" t="str">
        <f t="shared" si="4"/>
        <v/>
      </c>
      <c r="N9" s="10" t="s">
        <v>178</v>
      </c>
      <c r="O9" s="11" t="str">
        <f t="shared" si="5"/>
        <v/>
      </c>
      <c r="P9" s="10" t="s">
        <v>179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178</v>
      </c>
      <c r="U9" s="11" t="str">
        <f t="shared" si="8"/>
        <v/>
      </c>
      <c r="V9" s="10" t="s">
        <v>178</v>
      </c>
      <c r="W9" s="11" t="str">
        <f t="shared" si="9"/>
        <v/>
      </c>
      <c r="X9" s="10" t="s">
        <v>178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179</v>
      </c>
      <c r="AS9" s="11" t="str">
        <f t="shared" si="20"/>
        <v/>
      </c>
      <c r="AT9" s="10" t="s">
        <v>180</v>
      </c>
      <c r="AU9" s="11" t="str">
        <f t="shared" si="21"/>
        <v/>
      </c>
    </row>
    <row r="10" spans="1:47" ht="14.45" customHeight="1" x14ac:dyDescent="0.25">
      <c r="A10" s="11">
        <v>8</v>
      </c>
      <c r="B10" s="1" t="s">
        <v>181</v>
      </c>
      <c r="C10" s="1"/>
      <c r="D10" s="10" t="s">
        <v>175</v>
      </c>
      <c r="E10" s="11" t="str">
        <f t="shared" si="0"/>
        <v/>
      </c>
      <c r="F10" s="10" t="s">
        <v>175</v>
      </c>
      <c r="G10" s="11" t="str">
        <f t="shared" si="1"/>
        <v/>
      </c>
      <c r="H10" s="10" t="s">
        <v>175</v>
      </c>
      <c r="I10" s="11" t="str">
        <f t="shared" si="2"/>
        <v/>
      </c>
      <c r="J10" s="10" t="s">
        <v>169</v>
      </c>
      <c r="K10" s="11" t="str">
        <f t="shared" si="3"/>
        <v/>
      </c>
      <c r="L10" s="10" t="s">
        <v>182</v>
      </c>
      <c r="M10" s="11" t="str">
        <f t="shared" si="4"/>
        <v/>
      </c>
      <c r="N10" s="10" t="s">
        <v>183</v>
      </c>
      <c r="O10" s="11" t="str">
        <f t="shared" si="5"/>
        <v/>
      </c>
      <c r="P10" s="10" t="s">
        <v>175</v>
      </c>
      <c r="Q10" s="11" t="str">
        <f t="shared" si="6"/>
        <v/>
      </c>
      <c r="R10" s="10" t="s">
        <v>175</v>
      </c>
      <c r="S10" s="11" t="str">
        <f t="shared" si="7"/>
        <v/>
      </c>
      <c r="T10" s="10" t="s">
        <v>184</v>
      </c>
      <c r="U10" s="11" t="str">
        <f t="shared" si="8"/>
        <v/>
      </c>
      <c r="V10" s="10" t="s">
        <v>185</v>
      </c>
      <c r="W10" s="11" t="str">
        <f t="shared" si="9"/>
        <v/>
      </c>
      <c r="X10" s="10" t="s">
        <v>170</v>
      </c>
      <c r="Y10" s="11" t="str">
        <f t="shared" si="10"/>
        <v/>
      </c>
      <c r="Z10" s="10" t="s">
        <v>175</v>
      </c>
      <c r="AA10" s="11" t="str">
        <f t="shared" si="11"/>
        <v/>
      </c>
      <c r="AB10" s="21" t="s">
        <v>175</v>
      </c>
      <c r="AC10" s="11" t="str">
        <f t="shared" si="12"/>
        <v/>
      </c>
      <c r="AD10" s="10" t="s">
        <v>175</v>
      </c>
      <c r="AE10" s="11" t="str">
        <f t="shared" si="13"/>
        <v/>
      </c>
      <c r="AF10" s="10" t="s">
        <v>175</v>
      </c>
      <c r="AG10" s="11" t="str">
        <f t="shared" si="14"/>
        <v/>
      </c>
      <c r="AH10" s="10" t="s">
        <v>175</v>
      </c>
      <c r="AI10" s="11" t="str">
        <f t="shared" si="15"/>
        <v/>
      </c>
      <c r="AJ10" s="10" t="s">
        <v>175</v>
      </c>
      <c r="AK10" s="11" t="str">
        <f t="shared" si="16"/>
        <v/>
      </c>
      <c r="AL10" s="10" t="s">
        <v>186</v>
      </c>
      <c r="AM10" s="11" t="str">
        <f t="shared" si="17"/>
        <v/>
      </c>
      <c r="AN10" s="10" t="s">
        <v>187</v>
      </c>
      <c r="AO10" s="11" t="str">
        <f t="shared" si="18"/>
        <v/>
      </c>
      <c r="AP10" s="10" t="s">
        <v>175</v>
      </c>
      <c r="AQ10" s="11" t="str">
        <f t="shared" si="19"/>
        <v/>
      </c>
      <c r="AR10" s="10" t="s">
        <v>187</v>
      </c>
      <c r="AS10" s="11" t="str">
        <f t="shared" si="20"/>
        <v/>
      </c>
      <c r="AT10" s="10" t="s">
        <v>188</v>
      </c>
      <c r="AU10" s="11" t="str">
        <f t="shared" si="21"/>
        <v/>
      </c>
    </row>
    <row r="11" spans="1:47" ht="14.45" customHeight="1" x14ac:dyDescent="0.25">
      <c r="A11" s="11">
        <v>9</v>
      </c>
      <c r="B11" s="1" t="s">
        <v>189</v>
      </c>
      <c r="C11" s="1"/>
      <c r="D11" s="10" t="s">
        <v>183</v>
      </c>
      <c r="E11" s="11" t="str">
        <f t="shared" si="0"/>
        <v/>
      </c>
      <c r="F11" s="10" t="s">
        <v>190</v>
      </c>
      <c r="G11" s="11" t="str">
        <f t="shared" si="1"/>
        <v/>
      </c>
      <c r="H11" s="10" t="s">
        <v>183</v>
      </c>
      <c r="I11" s="11" t="str">
        <f t="shared" si="2"/>
        <v/>
      </c>
      <c r="J11" s="10" t="s">
        <v>168</v>
      </c>
      <c r="K11" s="11" t="str">
        <f t="shared" si="3"/>
        <v/>
      </c>
      <c r="L11" s="10" t="s">
        <v>191</v>
      </c>
      <c r="M11" s="11" t="str">
        <f t="shared" si="4"/>
        <v/>
      </c>
      <c r="N11" s="10" t="s">
        <v>186</v>
      </c>
      <c r="O11" s="11" t="str">
        <f t="shared" si="5"/>
        <v/>
      </c>
      <c r="P11" s="10" t="s">
        <v>183</v>
      </c>
      <c r="Q11" s="11" t="str">
        <f t="shared" si="6"/>
        <v/>
      </c>
      <c r="R11" s="10" t="s">
        <v>183</v>
      </c>
      <c r="S11" s="11" t="str">
        <f t="shared" si="7"/>
        <v/>
      </c>
      <c r="T11" s="10" t="s">
        <v>192</v>
      </c>
      <c r="U11" s="11" t="str">
        <f t="shared" si="8"/>
        <v/>
      </c>
      <c r="V11" s="10" t="s">
        <v>192</v>
      </c>
      <c r="W11" s="11" t="str">
        <f t="shared" si="9"/>
        <v/>
      </c>
      <c r="X11" s="10" t="s">
        <v>193</v>
      </c>
      <c r="Y11" s="11" t="str">
        <f t="shared" si="10"/>
        <v/>
      </c>
      <c r="Z11" s="10" t="s">
        <v>192</v>
      </c>
      <c r="AA11" s="11" t="str">
        <f t="shared" si="11"/>
        <v/>
      </c>
      <c r="AB11" s="21" t="s">
        <v>193</v>
      </c>
      <c r="AC11" s="11" t="str">
        <f t="shared" si="12"/>
        <v/>
      </c>
      <c r="AD11" s="10" t="s">
        <v>194</v>
      </c>
      <c r="AE11" s="11" t="str">
        <f t="shared" si="13"/>
        <v/>
      </c>
      <c r="AF11" s="10" t="s">
        <v>195</v>
      </c>
      <c r="AG11" s="11" t="str">
        <f t="shared" si="14"/>
        <v/>
      </c>
      <c r="AH11" s="10" t="s">
        <v>196</v>
      </c>
      <c r="AI11" s="11" t="str">
        <f t="shared" si="15"/>
        <v/>
      </c>
      <c r="AJ11" s="10" t="s">
        <v>183</v>
      </c>
      <c r="AK11" s="11" t="str">
        <f t="shared" si="16"/>
        <v/>
      </c>
      <c r="AL11" s="10" t="s">
        <v>197</v>
      </c>
      <c r="AM11" s="11" t="str">
        <f t="shared" si="17"/>
        <v/>
      </c>
      <c r="AN11" s="10" t="s">
        <v>186</v>
      </c>
      <c r="AO11" s="11" t="str">
        <f t="shared" si="18"/>
        <v/>
      </c>
      <c r="AP11" s="10" t="s">
        <v>198</v>
      </c>
      <c r="AQ11" s="11" t="str">
        <f t="shared" si="19"/>
        <v/>
      </c>
      <c r="AR11" s="10" t="s">
        <v>270</v>
      </c>
      <c r="AS11" s="11" t="str">
        <f t="shared" si="20"/>
        <v/>
      </c>
      <c r="AT11" s="10" t="s">
        <v>175</v>
      </c>
      <c r="AU11" s="11" t="str">
        <f t="shared" si="21"/>
        <v/>
      </c>
    </row>
    <row r="12" spans="1:47" ht="14.45" customHeight="1" x14ac:dyDescent="0.25">
      <c r="A12" s="11">
        <v>10</v>
      </c>
      <c r="B12" s="1" t="s">
        <v>199</v>
      </c>
      <c r="C12" s="1"/>
      <c r="D12" s="10" t="s">
        <v>200</v>
      </c>
      <c r="E12" s="11" t="str">
        <f t="shared" si="0"/>
        <v/>
      </c>
      <c r="F12" s="10" t="s">
        <v>175</v>
      </c>
      <c r="G12" s="11" t="str">
        <f t="shared" si="1"/>
        <v/>
      </c>
      <c r="H12" s="10" t="s">
        <v>175</v>
      </c>
      <c r="I12" s="11" t="str">
        <f t="shared" si="2"/>
        <v/>
      </c>
      <c r="J12" s="10" t="s">
        <v>201</v>
      </c>
      <c r="K12" s="11" t="str">
        <f t="shared" si="3"/>
        <v/>
      </c>
      <c r="L12" s="10" t="s">
        <v>191</v>
      </c>
      <c r="M12" s="11" t="str">
        <f t="shared" si="4"/>
        <v/>
      </c>
      <c r="N12" s="10" t="s">
        <v>183</v>
      </c>
      <c r="O12" s="11" t="str">
        <f t="shared" si="5"/>
        <v/>
      </c>
      <c r="P12" s="10" t="s">
        <v>198</v>
      </c>
      <c r="Q12" s="11" t="str">
        <f t="shared" si="6"/>
        <v/>
      </c>
      <c r="R12" s="10" t="s">
        <v>202</v>
      </c>
      <c r="S12" s="11" t="str">
        <f t="shared" si="7"/>
        <v/>
      </c>
      <c r="T12" s="10" t="s">
        <v>186</v>
      </c>
      <c r="U12" s="11" t="str">
        <f t="shared" si="8"/>
        <v/>
      </c>
      <c r="V12" s="10" t="s">
        <v>175</v>
      </c>
      <c r="W12" s="11" t="str">
        <f t="shared" si="9"/>
        <v/>
      </c>
      <c r="X12" s="10" t="s">
        <v>170</v>
      </c>
      <c r="Y12" s="11" t="str">
        <f t="shared" si="10"/>
        <v/>
      </c>
      <c r="Z12" s="10" t="s">
        <v>192</v>
      </c>
      <c r="AA12" s="11" t="str">
        <f t="shared" si="11"/>
        <v/>
      </c>
      <c r="AB12" s="21" t="s">
        <v>175</v>
      </c>
      <c r="AC12" s="11" t="str">
        <f t="shared" si="12"/>
        <v/>
      </c>
      <c r="AD12" s="10" t="s">
        <v>203</v>
      </c>
      <c r="AE12" s="11" t="str">
        <f t="shared" si="13"/>
        <v/>
      </c>
      <c r="AF12" s="10" t="s">
        <v>175</v>
      </c>
      <c r="AG12" s="11" t="str">
        <f t="shared" si="14"/>
        <v/>
      </c>
      <c r="AH12" s="10" t="s">
        <v>175</v>
      </c>
      <c r="AI12" s="11" t="str">
        <f t="shared" si="15"/>
        <v/>
      </c>
      <c r="AJ12" s="10" t="s">
        <v>195</v>
      </c>
      <c r="AK12" s="11" t="str">
        <f t="shared" si="16"/>
        <v/>
      </c>
      <c r="AL12" s="10" t="s">
        <v>175</v>
      </c>
      <c r="AM12" s="11" t="str">
        <f t="shared" si="17"/>
        <v/>
      </c>
      <c r="AN12" s="10" t="s">
        <v>183</v>
      </c>
      <c r="AO12" s="11" t="str">
        <f t="shared" si="18"/>
        <v/>
      </c>
      <c r="AP12" s="10" t="s">
        <v>175</v>
      </c>
      <c r="AQ12" s="11" t="str">
        <f t="shared" si="19"/>
        <v/>
      </c>
      <c r="AR12" s="10" t="s">
        <v>198</v>
      </c>
      <c r="AS12" s="11" t="str">
        <f t="shared" si="20"/>
        <v/>
      </c>
      <c r="AT12" s="10" t="s">
        <v>188</v>
      </c>
      <c r="AU12" s="11" t="str">
        <f t="shared" si="21"/>
        <v/>
      </c>
    </row>
    <row r="13" spans="1:47" ht="14.45" customHeight="1" x14ac:dyDescent="0.25">
      <c r="A13" s="11">
        <v>11</v>
      </c>
      <c r="B13" s="1" t="s">
        <v>204</v>
      </c>
      <c r="C13" s="1"/>
      <c r="D13" s="10" t="s">
        <v>183</v>
      </c>
      <c r="E13" s="11" t="str">
        <f t="shared" si="0"/>
        <v/>
      </c>
      <c r="F13" s="10" t="s">
        <v>193</v>
      </c>
      <c r="G13" s="11" t="str">
        <f t="shared" si="1"/>
        <v/>
      </c>
      <c r="H13" s="10" t="s">
        <v>183</v>
      </c>
      <c r="I13" s="11" t="str">
        <f t="shared" si="2"/>
        <v/>
      </c>
      <c r="J13" s="10" t="s">
        <v>183</v>
      </c>
      <c r="K13" s="11" t="str">
        <f t="shared" si="3"/>
        <v/>
      </c>
      <c r="L13" s="10" t="s">
        <v>207</v>
      </c>
      <c r="M13" s="11" t="str">
        <f t="shared" si="4"/>
        <v/>
      </c>
      <c r="N13" s="10" t="s">
        <v>205</v>
      </c>
      <c r="O13" s="11" t="str">
        <f t="shared" si="5"/>
        <v/>
      </c>
      <c r="P13" s="10" t="s">
        <v>206</v>
      </c>
      <c r="Q13" s="11" t="str">
        <f t="shared" si="6"/>
        <v/>
      </c>
      <c r="R13" s="21" t="s">
        <v>183</v>
      </c>
      <c r="S13" s="11" t="str">
        <f t="shared" si="7"/>
        <v/>
      </c>
      <c r="T13" s="10" t="s">
        <v>183</v>
      </c>
      <c r="U13" s="11" t="str">
        <f t="shared" si="8"/>
        <v/>
      </c>
      <c r="V13" s="10" t="s">
        <v>183</v>
      </c>
      <c r="W13" s="11" t="str">
        <f t="shared" si="9"/>
        <v/>
      </c>
      <c r="X13" s="10" t="s">
        <v>183</v>
      </c>
      <c r="Y13" s="11" t="str">
        <f t="shared" si="10"/>
        <v/>
      </c>
      <c r="Z13" s="10" t="s">
        <v>183</v>
      </c>
      <c r="AA13" s="11" t="str">
        <f t="shared" si="11"/>
        <v/>
      </c>
      <c r="AB13" s="21" t="s">
        <v>183</v>
      </c>
      <c r="AC13" s="11" t="str">
        <f t="shared" si="12"/>
        <v/>
      </c>
      <c r="AD13" s="10" t="s">
        <v>193</v>
      </c>
      <c r="AE13" s="11" t="str">
        <f t="shared" si="13"/>
        <v/>
      </c>
      <c r="AF13" s="10" t="s">
        <v>195</v>
      </c>
      <c r="AG13" s="11" t="str">
        <f t="shared" si="14"/>
        <v/>
      </c>
      <c r="AH13" s="10" t="s">
        <v>207</v>
      </c>
      <c r="AI13" s="11" t="str">
        <f t="shared" si="15"/>
        <v/>
      </c>
      <c r="AJ13" s="10" t="s">
        <v>183</v>
      </c>
      <c r="AK13" s="11" t="str">
        <f t="shared" si="16"/>
        <v/>
      </c>
      <c r="AL13" s="10" t="s">
        <v>183</v>
      </c>
      <c r="AM13" s="11" t="str">
        <f t="shared" si="17"/>
        <v/>
      </c>
      <c r="AN13" s="10" t="s">
        <v>208</v>
      </c>
      <c r="AO13" s="11" t="str">
        <f t="shared" si="18"/>
        <v/>
      </c>
      <c r="AP13" s="10" t="s">
        <v>183</v>
      </c>
      <c r="AQ13" s="11" t="str">
        <f t="shared" si="19"/>
        <v/>
      </c>
      <c r="AR13" s="10" t="s">
        <v>271</v>
      </c>
      <c r="AS13" s="11" t="str">
        <f t="shared" si="20"/>
        <v/>
      </c>
      <c r="AT13" s="10" t="s">
        <v>188</v>
      </c>
      <c r="AU13" s="11" t="str">
        <f t="shared" si="21"/>
        <v/>
      </c>
    </row>
    <row r="14" spans="1:47" ht="14.45" customHeight="1" x14ac:dyDescent="0.25">
      <c r="A14" s="11">
        <v>12</v>
      </c>
      <c r="B14" s="1" t="s">
        <v>209</v>
      </c>
      <c r="C14" s="1"/>
      <c r="D14" s="10" t="s">
        <v>210</v>
      </c>
      <c r="E14" s="11" t="str">
        <f t="shared" si="0"/>
        <v/>
      </c>
      <c r="F14" s="10" t="s">
        <v>211</v>
      </c>
      <c r="G14" s="11" t="str">
        <f t="shared" si="1"/>
        <v/>
      </c>
      <c r="H14" s="10" t="s">
        <v>212</v>
      </c>
      <c r="I14" s="11" t="str">
        <f t="shared" si="2"/>
        <v/>
      </c>
      <c r="J14" s="10" t="s">
        <v>213</v>
      </c>
      <c r="K14" s="11" t="str">
        <f t="shared" si="3"/>
        <v/>
      </c>
      <c r="L14" s="10" t="s">
        <v>214</v>
      </c>
      <c r="M14" s="11" t="str">
        <f t="shared" si="4"/>
        <v/>
      </c>
      <c r="N14" s="10" t="s">
        <v>215</v>
      </c>
      <c r="O14" s="11" t="str">
        <f t="shared" si="5"/>
        <v/>
      </c>
      <c r="P14" s="10" t="s">
        <v>213</v>
      </c>
      <c r="Q14" s="11" t="str">
        <f t="shared" si="6"/>
        <v/>
      </c>
      <c r="R14" s="10" t="s">
        <v>212</v>
      </c>
      <c r="S14" s="11" t="str">
        <f t="shared" si="7"/>
        <v/>
      </c>
      <c r="T14" s="10" t="s">
        <v>213</v>
      </c>
      <c r="U14" s="11" t="str">
        <f t="shared" si="8"/>
        <v/>
      </c>
      <c r="V14" s="10" t="s">
        <v>212</v>
      </c>
      <c r="W14" s="11" t="str">
        <f t="shared" si="9"/>
        <v/>
      </c>
      <c r="X14" s="10" t="s">
        <v>214</v>
      </c>
      <c r="Y14" s="11" t="str">
        <f t="shared" si="10"/>
        <v/>
      </c>
      <c r="Z14" s="10" t="s">
        <v>215</v>
      </c>
      <c r="AA14" s="11" t="str">
        <f t="shared" si="11"/>
        <v/>
      </c>
      <c r="AB14" s="21" t="s">
        <v>210</v>
      </c>
      <c r="AC14" s="11" t="str">
        <f t="shared" si="12"/>
        <v/>
      </c>
      <c r="AD14" s="10" t="s">
        <v>211</v>
      </c>
      <c r="AE14" s="11" t="str">
        <f t="shared" si="13"/>
        <v/>
      </c>
      <c r="AF14" s="10" t="s">
        <v>211</v>
      </c>
      <c r="AG14" s="11" t="str">
        <f t="shared" si="14"/>
        <v/>
      </c>
      <c r="AH14" s="10" t="s">
        <v>215</v>
      </c>
      <c r="AI14" s="11" t="str">
        <f t="shared" si="15"/>
        <v/>
      </c>
      <c r="AJ14" s="10" t="s">
        <v>216</v>
      </c>
      <c r="AK14" s="11" t="str">
        <f t="shared" si="16"/>
        <v/>
      </c>
      <c r="AL14" s="10" t="s">
        <v>217</v>
      </c>
      <c r="AM14" s="11" t="str">
        <f t="shared" si="17"/>
        <v/>
      </c>
      <c r="AN14" s="10" t="s">
        <v>217</v>
      </c>
      <c r="AO14" s="11" t="str">
        <f t="shared" si="18"/>
        <v/>
      </c>
      <c r="AP14" s="10" t="s">
        <v>214</v>
      </c>
      <c r="AQ14" s="11" t="str">
        <f t="shared" si="19"/>
        <v/>
      </c>
      <c r="AR14" s="10" t="s">
        <v>217</v>
      </c>
      <c r="AS14" s="11" t="str">
        <f t="shared" si="20"/>
        <v/>
      </c>
      <c r="AT14" s="10" t="s">
        <v>213</v>
      </c>
      <c r="AU14" s="11" t="str">
        <f t="shared" si="21"/>
        <v/>
      </c>
    </row>
    <row r="15" spans="1:47" ht="14.45" customHeight="1" x14ac:dyDescent="0.25">
      <c r="A15" s="11">
        <v>13</v>
      </c>
      <c r="B15" s="1" t="s">
        <v>218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172</v>
      </c>
      <c r="AO15" s="11" t="str">
        <f t="shared" si="18"/>
        <v/>
      </c>
      <c r="AP15" s="10" t="s">
        <v>219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5" customHeight="1" x14ac:dyDescent="0.25">
      <c r="A16" s="11">
        <v>14</v>
      </c>
      <c r="B16" s="1" t="s">
        <v>220</v>
      </c>
      <c r="C16" s="1"/>
      <c r="D16" s="10" t="s">
        <v>221</v>
      </c>
      <c r="E16" s="11" t="str">
        <f t="shared" si="0"/>
        <v/>
      </c>
      <c r="F16" s="10" t="s">
        <v>222</v>
      </c>
      <c r="G16" s="11" t="str">
        <f t="shared" si="1"/>
        <v/>
      </c>
      <c r="H16" s="10" t="s">
        <v>223</v>
      </c>
      <c r="I16" s="11" t="str">
        <f t="shared" si="2"/>
        <v/>
      </c>
      <c r="J16" s="10" t="s">
        <v>224</v>
      </c>
      <c r="K16" s="11" t="str">
        <f t="shared" si="3"/>
        <v/>
      </c>
      <c r="L16" s="10" t="s">
        <v>224</v>
      </c>
      <c r="M16" s="11" t="str">
        <f t="shared" si="4"/>
        <v/>
      </c>
      <c r="N16" s="10" t="s">
        <v>221</v>
      </c>
      <c r="O16" s="11" t="str">
        <f t="shared" si="5"/>
        <v/>
      </c>
      <c r="P16" s="10" t="s">
        <v>222</v>
      </c>
      <c r="Q16" s="11" t="str">
        <f t="shared" si="6"/>
        <v/>
      </c>
      <c r="R16" s="10" t="s">
        <v>222</v>
      </c>
      <c r="S16" s="11" t="str">
        <f t="shared" si="7"/>
        <v/>
      </c>
      <c r="T16" s="10" t="s">
        <v>225</v>
      </c>
      <c r="U16" s="11" t="str">
        <f t="shared" si="8"/>
        <v/>
      </c>
      <c r="V16" s="10" t="s">
        <v>222</v>
      </c>
      <c r="W16" s="11" t="str">
        <f t="shared" si="9"/>
        <v/>
      </c>
      <c r="X16" s="10" t="s">
        <v>222</v>
      </c>
      <c r="Y16" s="11" t="str">
        <f t="shared" si="10"/>
        <v/>
      </c>
      <c r="Z16" s="25" t="s">
        <v>224</v>
      </c>
      <c r="AA16" s="11" t="str">
        <f t="shared" si="11"/>
        <v/>
      </c>
      <c r="AB16" s="21" t="s">
        <v>222</v>
      </c>
      <c r="AC16" s="11" t="str">
        <f t="shared" si="12"/>
        <v/>
      </c>
      <c r="AD16" s="10" t="s">
        <v>226</v>
      </c>
      <c r="AE16" s="11" t="str">
        <f t="shared" si="13"/>
        <v/>
      </c>
      <c r="AF16" s="10" t="s">
        <v>222</v>
      </c>
      <c r="AG16" s="11" t="str">
        <f t="shared" si="14"/>
        <v/>
      </c>
      <c r="AH16" s="10" t="s">
        <v>223</v>
      </c>
      <c r="AI16" s="11" t="str">
        <f t="shared" si="15"/>
        <v/>
      </c>
      <c r="AJ16" s="10" t="s">
        <v>222</v>
      </c>
      <c r="AK16" s="11" t="str">
        <f t="shared" si="16"/>
        <v/>
      </c>
      <c r="AL16" s="27" t="s">
        <v>221</v>
      </c>
      <c r="AM16" s="11" t="str">
        <f t="shared" si="17"/>
        <v/>
      </c>
      <c r="AN16" s="10" t="s">
        <v>223</v>
      </c>
      <c r="AO16" s="11" t="str">
        <f t="shared" si="18"/>
        <v/>
      </c>
      <c r="AP16" s="10" t="s">
        <v>222</v>
      </c>
      <c r="AQ16" s="11" t="str">
        <f t="shared" si="19"/>
        <v/>
      </c>
      <c r="AR16" s="10" t="s">
        <v>272</v>
      </c>
      <c r="AS16" s="11" t="str">
        <f t="shared" si="20"/>
        <v/>
      </c>
      <c r="AT16" s="10" t="s">
        <v>223</v>
      </c>
      <c r="AU16" s="11" t="str">
        <f t="shared" si="21"/>
        <v/>
      </c>
    </row>
    <row r="17" spans="1:47" ht="14.45" customHeight="1" x14ac:dyDescent="0.25">
      <c r="A17" s="11"/>
      <c r="B17" s="14" t="s">
        <v>227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7" sqref="F7"/>
    </sheetView>
  </sheetViews>
  <sheetFormatPr defaultRowHeight="15" x14ac:dyDescent="0.25"/>
  <cols>
    <col min="1" max="1" width="10.7109375" customWidth="1"/>
    <col min="2" max="2" width="22" customWidth="1"/>
    <col min="3" max="3" width="20.7109375" customWidth="1"/>
    <col min="4" max="4" width="15.7109375" customWidth="1"/>
    <col min="5" max="5" width="10" customWidth="1"/>
  </cols>
  <sheetData>
    <row r="1" spans="1:5" ht="18" customHeight="1" x14ac:dyDescent="0.25">
      <c r="A1" s="16" t="s">
        <v>228</v>
      </c>
      <c r="B1" s="16"/>
      <c r="C1" s="16"/>
      <c r="D1" s="16"/>
      <c r="E1" s="16"/>
    </row>
    <row r="2" spans="1:5" ht="18" customHeight="1" x14ac:dyDescent="0.25">
      <c r="A2" s="38" t="s">
        <v>229</v>
      </c>
      <c r="B2" s="38" t="s">
        <v>230</v>
      </c>
      <c r="C2" s="38" t="s">
        <v>231</v>
      </c>
      <c r="D2" s="38" t="s">
        <v>232</v>
      </c>
      <c r="E2" s="38" t="s">
        <v>233</v>
      </c>
    </row>
    <row r="3" spans="1:5" ht="18" customHeight="1" x14ac:dyDescent="0.25">
      <c r="A3" s="11">
        <f>_xlfn.RANK.EQ(E3,$E$3:$E$90,0)</f>
        <v>1</v>
      </c>
      <c r="B3" s="1" t="str">
        <f>Wedstrijden_beheer!AK1</f>
        <v>Kim</v>
      </c>
      <c r="C3" s="11">
        <f>SUM(Wedstrijden_beheer!AL3:'Wedstrijden_beheer'!AL194)</f>
        <v>487</v>
      </c>
      <c r="D3" s="11">
        <f>Bonus_beheer!AK17</f>
        <v>10</v>
      </c>
      <c r="E3" s="11">
        <f>C3+D3</f>
        <v>497</v>
      </c>
    </row>
    <row r="4" spans="1:5" ht="18" customHeight="1" x14ac:dyDescent="0.25">
      <c r="A4" s="11">
        <f>_xlfn.RANK.EQ(E4,$E$3:$E$90,0)</f>
        <v>2</v>
      </c>
      <c r="B4" s="1" t="str">
        <f>Wedstrijden_beheer!AE1</f>
        <v>Jeroen</v>
      </c>
      <c r="C4" s="11">
        <f>SUM(Wedstrijden_beheer!AF3:'Wedstrijden_beheer'!AF194)</f>
        <v>491</v>
      </c>
      <c r="D4" s="11">
        <f>Bonus_beheer!AE17</f>
        <v>0</v>
      </c>
      <c r="E4" s="11">
        <f>C4+D4</f>
        <v>491</v>
      </c>
    </row>
    <row r="5" spans="1:5" ht="18" customHeight="1" x14ac:dyDescent="0.25">
      <c r="A5" s="11">
        <f>_xlfn.RANK.EQ(E5,$E$3:$E$90,0)</f>
        <v>3</v>
      </c>
      <c r="B5" s="1" t="str">
        <f>Wedstrijden_beheer!U1</f>
        <v>Tom</v>
      </c>
      <c r="C5" s="11">
        <f>SUM(Wedstrijden_beheer!V3:'Wedstrijden_beheer'!V194)</f>
        <v>477</v>
      </c>
      <c r="D5" s="11">
        <f>Bonus_beheer!U17</f>
        <v>10</v>
      </c>
      <c r="E5" s="11">
        <f>C5+D5</f>
        <v>487</v>
      </c>
    </row>
    <row r="6" spans="1:5" ht="18" customHeight="1" x14ac:dyDescent="0.25">
      <c r="A6" s="11">
        <f>_xlfn.RANK.EQ(E6,$E$3:$E$90,0)</f>
        <v>4</v>
      </c>
      <c r="B6" s="1" t="str">
        <f>Wedstrijden_beheer!AO1</f>
        <v>Patrick</v>
      </c>
      <c r="C6" s="11">
        <f>SUM(Wedstrijden_beheer!AP3:'Wedstrijden_beheer'!AP194)</f>
        <v>476</v>
      </c>
      <c r="D6" s="11">
        <f>Bonus_beheer!AO17</f>
        <v>10</v>
      </c>
      <c r="E6" s="11">
        <f>C6+D6</f>
        <v>486</v>
      </c>
    </row>
    <row r="7" spans="1:5" ht="18" customHeight="1" x14ac:dyDescent="0.25">
      <c r="A7" s="11">
        <f>_xlfn.RANK.EQ(E7,$E$3:$E$90,0)</f>
        <v>4</v>
      </c>
      <c r="B7" s="29" t="str">
        <f>Wedstrijden_beheer!E1</f>
        <v>Roland</v>
      </c>
      <c r="C7" s="11">
        <f>SUM(Wedstrijden_beheer!F3:'Wedstrijden_beheer'!F194)</f>
        <v>486</v>
      </c>
      <c r="D7" s="11">
        <f>Bonus_beheer!E17</f>
        <v>0</v>
      </c>
      <c r="E7" s="11">
        <f>C7+D7</f>
        <v>486</v>
      </c>
    </row>
    <row r="8" spans="1:5" ht="18" customHeight="1" x14ac:dyDescent="0.25">
      <c r="A8" s="11">
        <f>_xlfn.RANK.EQ(E8,$E$3:$E$90,0)</f>
        <v>6</v>
      </c>
      <c r="B8" s="1" t="str">
        <f>Wedstrijden_beheer!I1</f>
        <v>Abdussamed</v>
      </c>
      <c r="C8" s="11">
        <f>SUM(Wedstrijden_beheer!J3:'Wedstrijden_beheer'!J194)</f>
        <v>475</v>
      </c>
      <c r="D8" s="11">
        <f>Bonus_beheer!I17</f>
        <v>10</v>
      </c>
      <c r="E8" s="11">
        <f>C8+D8</f>
        <v>485</v>
      </c>
    </row>
    <row r="9" spans="1:5" ht="18" customHeight="1" x14ac:dyDescent="0.25">
      <c r="A9" s="11">
        <f>_xlfn.RANK.EQ(E9,$E$3:$E$90,0)</f>
        <v>7</v>
      </c>
      <c r="B9" s="1" t="str">
        <f>Wedstrijden_beheer!AA1</f>
        <v>Ivo</v>
      </c>
      <c r="C9" s="11">
        <f>SUM(Wedstrijden_beheer!AB3:'Wedstrijden_beheer'!AB194)</f>
        <v>467</v>
      </c>
      <c r="D9" s="11">
        <f>Bonus_beheer!AA17</f>
        <v>0</v>
      </c>
      <c r="E9" s="11">
        <f>C9+D9</f>
        <v>467</v>
      </c>
    </row>
    <row r="10" spans="1:5" ht="18" customHeight="1" x14ac:dyDescent="0.25">
      <c r="A10" s="11">
        <f>_xlfn.RANK.EQ(E10,$E$3:$E$90,0)</f>
        <v>8</v>
      </c>
      <c r="B10" s="1" t="str">
        <f>Wedstrijden_beheer!W1</f>
        <v>Jos</v>
      </c>
      <c r="C10" s="11">
        <f>SUM(Wedstrijden_beheer!X3:'Wedstrijden_beheer'!X194)</f>
        <v>453</v>
      </c>
      <c r="D10" s="11">
        <f>Bonus_beheer!W17</f>
        <v>10</v>
      </c>
      <c r="E10" s="11">
        <f>C10+D10</f>
        <v>463</v>
      </c>
    </row>
    <row r="11" spans="1:5" ht="18" customHeight="1" x14ac:dyDescent="0.25">
      <c r="A11" s="11">
        <f>_xlfn.RANK.EQ(E11,$E$3:$E$90,0)</f>
        <v>9</v>
      </c>
      <c r="B11" s="1" t="str">
        <f>Wedstrijden_beheer!AG1</f>
        <v>Erwin</v>
      </c>
      <c r="C11" s="11">
        <f>SUM(Wedstrijden_beheer!AH3:'Wedstrijden_beheer'!AH194)</f>
        <v>449</v>
      </c>
      <c r="D11" s="11">
        <f>Bonus_beheer!AG17</f>
        <v>10</v>
      </c>
      <c r="E11" s="11">
        <f>C11+D11</f>
        <v>459</v>
      </c>
    </row>
    <row r="12" spans="1:5" ht="18" customHeight="1" x14ac:dyDescent="0.25">
      <c r="A12" s="11">
        <f>_xlfn.RANK.EQ(E12,$E$3:$E$90,0)</f>
        <v>10</v>
      </c>
      <c r="B12" s="1" t="str">
        <f>Wedstrijden_beheer!AM1</f>
        <v>Kristel</v>
      </c>
      <c r="C12" s="11">
        <f>SUM(Wedstrijden_beheer!AN3:'Wedstrijden_beheer'!AN194)</f>
        <v>437</v>
      </c>
      <c r="D12" s="11">
        <f>Bonus_beheer!AM17</f>
        <v>10</v>
      </c>
      <c r="E12" s="11">
        <f>C12+D12</f>
        <v>447</v>
      </c>
    </row>
    <row r="13" spans="1:5" ht="18" customHeight="1" x14ac:dyDescent="0.25">
      <c r="A13" s="11">
        <f>_xlfn.RANK.EQ(E13,$E$3:$E$90,0)</f>
        <v>11</v>
      </c>
      <c r="B13" s="1" t="str">
        <f>Wedstrijden_beheer!O1</f>
        <v>Maik</v>
      </c>
      <c r="C13" s="11">
        <f>SUM(Wedstrijden_beheer!P3:'Wedstrijden_beheer'!P194)</f>
        <v>432</v>
      </c>
      <c r="D13" s="11">
        <f>Bonus_beheer!O17</f>
        <v>10</v>
      </c>
      <c r="E13" s="11">
        <f>C13+D13</f>
        <v>442</v>
      </c>
    </row>
    <row r="14" spans="1:5" ht="18" customHeight="1" x14ac:dyDescent="0.25">
      <c r="A14" s="11">
        <f>_xlfn.RANK.EQ(E14,$E$3:$E$90,0)</f>
        <v>11</v>
      </c>
      <c r="B14" s="1" t="str">
        <f>Wedstrijden_beheer!G1</f>
        <v>Nikki</v>
      </c>
      <c r="C14" s="11">
        <f>SUM(Wedstrijden_beheer!H3:'Wedstrijden_beheer'!H194)</f>
        <v>442</v>
      </c>
      <c r="D14" s="11">
        <f>Bonus_beheer!G17</f>
        <v>0</v>
      </c>
      <c r="E14" s="11">
        <f>C14+D14</f>
        <v>442</v>
      </c>
    </row>
    <row r="15" spans="1:5" ht="18" customHeight="1" x14ac:dyDescent="0.25">
      <c r="A15" s="11">
        <f>_xlfn.RANK.EQ(E15,$E$3:$E$90,0)</f>
        <v>13</v>
      </c>
      <c r="B15" s="1" t="str">
        <f>Wedstrijden_beheer!Y1</f>
        <v>Lesley</v>
      </c>
      <c r="C15" s="11">
        <f>SUM(Wedstrijden_beheer!Z3:'Wedstrijden_beheer'!Z194)</f>
        <v>431</v>
      </c>
      <c r="D15" s="11">
        <f>Bonus_beheer!Y17</f>
        <v>10</v>
      </c>
      <c r="E15" s="11">
        <f>C15+D15</f>
        <v>441</v>
      </c>
    </row>
    <row r="16" spans="1:5" ht="18" customHeight="1" x14ac:dyDescent="0.25">
      <c r="A16" s="11">
        <f>_xlfn.RANK.EQ(E16,$E$3:$E$90,0)</f>
        <v>14</v>
      </c>
      <c r="B16" s="1" t="str">
        <f>Wedstrijden_beheer!AC1</f>
        <v>Ron</v>
      </c>
      <c r="C16" s="11">
        <f>SUM(Wedstrijden_beheer!AD3:'Wedstrijden_beheer'!AD194)</f>
        <v>422</v>
      </c>
      <c r="D16" s="11">
        <f>Bonus_beheer!AC17</f>
        <v>0</v>
      </c>
      <c r="E16" s="11">
        <f>C16+D16</f>
        <v>422</v>
      </c>
    </row>
    <row r="17" spans="1:5" ht="18" customHeight="1" x14ac:dyDescent="0.25">
      <c r="A17" s="11">
        <f>_xlfn.RANK.EQ(E17,$E$3:$E$90,0)</f>
        <v>15</v>
      </c>
      <c r="B17" s="1" t="str">
        <f>Wedstrijden_beheer!AQ1</f>
        <v>Jeno</v>
      </c>
      <c r="C17" s="11">
        <f>SUM(Wedstrijden_beheer!AV4:'Wedstrijden_beheer'!AV195)</f>
        <v>416</v>
      </c>
      <c r="D17" s="11">
        <f>Bonus_beheer!AU18</f>
        <v>0</v>
      </c>
      <c r="E17" s="11">
        <f>C17+D17</f>
        <v>416</v>
      </c>
    </row>
    <row r="18" spans="1:5" ht="18" customHeight="1" x14ac:dyDescent="0.25">
      <c r="A18" s="11">
        <f>_xlfn.RANK.EQ(E18,$E$3:$E$90,0)</f>
        <v>15</v>
      </c>
      <c r="B18" s="1" t="str">
        <f>Wedstrijden_beheer!AU1</f>
        <v>Raymond</v>
      </c>
      <c r="C18" s="11">
        <f>SUM(Wedstrijden_beheer!AV3:'Wedstrijden_beheer'!AV194)</f>
        <v>416</v>
      </c>
      <c r="D18" s="11">
        <f>Bonus_beheer!AU17</f>
        <v>0</v>
      </c>
      <c r="E18" s="11">
        <f>C18+D18</f>
        <v>416</v>
      </c>
    </row>
    <row r="19" spans="1:5" ht="18" customHeight="1" x14ac:dyDescent="0.25">
      <c r="A19" s="11">
        <f>_xlfn.RANK.EQ(E19,$E$3:$E$90,0)</f>
        <v>17</v>
      </c>
      <c r="B19" s="1" t="str">
        <f>Wedstrijden_beheer!M1</f>
        <v>Bas</v>
      </c>
      <c r="C19" s="11">
        <f>SUM(Wedstrijden_beheer!N3:'Wedstrijden_beheer'!N194)</f>
        <v>391</v>
      </c>
      <c r="D19" s="11">
        <f>Bonus_beheer!M17</f>
        <v>10</v>
      </c>
      <c r="E19" s="11">
        <f>C19+D19</f>
        <v>401</v>
      </c>
    </row>
    <row r="20" spans="1:5" ht="18" customHeight="1" x14ac:dyDescent="0.25">
      <c r="A20" s="11">
        <f>_xlfn.RANK.EQ(E20,$E$3:$E$90,0)</f>
        <v>18</v>
      </c>
      <c r="B20" s="1" t="str">
        <f>Wedstrijden_beheer!AI1</f>
        <v>Tim</v>
      </c>
      <c r="C20" s="11">
        <f>SUM(Wedstrijden_beheer!AJ3:'Wedstrijden_beheer'!AJ194)</f>
        <v>385</v>
      </c>
      <c r="D20" s="11">
        <f>Bonus_beheer!AI17</f>
        <v>10</v>
      </c>
      <c r="E20" s="11">
        <f>C20+D20</f>
        <v>395</v>
      </c>
    </row>
    <row r="21" spans="1:5" ht="18" customHeight="1" x14ac:dyDescent="0.25">
      <c r="A21" s="11">
        <f>_xlfn.RANK.EQ(E21,$E$3:$E$90,0)</f>
        <v>19</v>
      </c>
      <c r="B21" s="1" t="str">
        <f>Wedstrijden_beheer!Q1</f>
        <v>Simone</v>
      </c>
      <c r="C21" s="11">
        <f>SUM(Wedstrijden_beheer!R3:'Wedstrijden_beheer'!R194)</f>
        <v>367</v>
      </c>
      <c r="D21" s="11">
        <f>Bonus_beheer!Q17</f>
        <v>10</v>
      </c>
      <c r="E21" s="11">
        <f>C21+D21</f>
        <v>377</v>
      </c>
    </row>
    <row r="22" spans="1:5" ht="18" customHeight="1" x14ac:dyDescent="0.25">
      <c r="A22" s="11">
        <f>_xlfn.RANK.EQ(E22,$E$3:$E$90,0)</f>
        <v>20</v>
      </c>
      <c r="B22" s="1" t="str">
        <f>Wedstrijden_beheer!AS1</f>
        <v>Andre</v>
      </c>
      <c r="C22" s="11">
        <f>SUM(Wedstrijden_beheer!R4:'Wedstrijden_beheer'!R195)</f>
        <v>367</v>
      </c>
      <c r="D22" s="11">
        <f>Bonus_beheer!Q18</f>
        <v>0</v>
      </c>
      <c r="E22" s="11">
        <f>C22+D22</f>
        <v>367</v>
      </c>
    </row>
    <row r="23" spans="1:5" x14ac:dyDescent="0.25">
      <c r="A23" s="11">
        <f>_xlfn.RANK.EQ(E23,$E$3:$E$90,0)</f>
        <v>21</v>
      </c>
      <c r="B23" s="1" t="str">
        <f>Wedstrijden_beheer!S1</f>
        <v>Marc</v>
      </c>
      <c r="C23" s="11">
        <f>SUM(Wedstrijden_beheer!T3:'Wedstrijden_beheer'!T194)</f>
        <v>366</v>
      </c>
      <c r="D23" s="11">
        <f>Bonus_beheer!S17</f>
        <v>0</v>
      </c>
      <c r="E23" s="11">
        <f>C23+D23</f>
        <v>366</v>
      </c>
    </row>
    <row r="24" spans="1:5" x14ac:dyDescent="0.25">
      <c r="A24" s="11">
        <f>_xlfn.RANK.EQ(E24,$E$3:$E$90,0)</f>
        <v>22</v>
      </c>
      <c r="B24" s="1" t="str">
        <f>Wedstrijden_beheer!K1</f>
        <v>Karsten</v>
      </c>
      <c r="C24" s="11">
        <f>SUM(Wedstrijden_beheer!L3:'Wedstrijden_beheer'!L194)</f>
        <v>365</v>
      </c>
      <c r="D24" s="11">
        <f>Bonus_beheer!K17</f>
        <v>0</v>
      </c>
      <c r="E24" s="11">
        <f>C24+D24</f>
        <v>365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5" zeroHeight="1" x14ac:dyDescent="0.25"/>
  <cols>
    <col min="1" max="1" width="29.5703125" customWidth="1"/>
    <col min="2" max="2" width="28" customWidth="1"/>
    <col min="3" max="16384" width="8.7109375" hidden="1"/>
  </cols>
  <sheetData>
    <row r="1" spans="1:2" ht="18" customHeight="1" x14ac:dyDescent="0.25">
      <c r="A1" s="16" t="s">
        <v>234</v>
      </c>
      <c r="B1" s="16"/>
    </row>
    <row r="2" spans="1:2" ht="18" customHeight="1" x14ac:dyDescent="0.25">
      <c r="A2" s="38" t="s">
        <v>235</v>
      </c>
      <c r="B2" s="38" t="s">
        <v>236</v>
      </c>
    </row>
    <row r="3" spans="1:2" ht="18" customHeight="1" x14ac:dyDescent="0.25">
      <c r="A3" s="1" t="s">
        <v>237</v>
      </c>
      <c r="B3" s="1" t="s">
        <v>238</v>
      </c>
    </row>
    <row r="4" spans="1:2" ht="18" customHeight="1" x14ac:dyDescent="0.25">
      <c r="A4" s="1" t="s">
        <v>239</v>
      </c>
      <c r="B4" s="1" t="s">
        <v>238</v>
      </c>
    </row>
    <row r="5" spans="1:2" ht="18" customHeight="1" x14ac:dyDescent="0.25">
      <c r="A5" s="1" t="s">
        <v>240</v>
      </c>
      <c r="B5" s="1" t="s">
        <v>241</v>
      </c>
    </row>
    <row r="6" spans="1:2" ht="18" customHeight="1" x14ac:dyDescent="0.25">
      <c r="A6" s="1" t="s">
        <v>242</v>
      </c>
      <c r="B6" s="1" t="s">
        <v>243</v>
      </c>
    </row>
    <row r="7" spans="1:2" ht="18" customHeight="1" x14ac:dyDescent="0.25">
      <c r="A7" s="1" t="s">
        <v>244</v>
      </c>
      <c r="B7" s="1" t="s">
        <v>245</v>
      </c>
    </row>
    <row r="8" spans="1:2" ht="18" customHeight="1" x14ac:dyDescent="0.25">
      <c r="A8" s="1" t="s">
        <v>246</v>
      </c>
      <c r="B8" s="1" t="s">
        <v>247</v>
      </c>
    </row>
    <row r="9" spans="1:2" ht="18" customHeight="1" x14ac:dyDescent="0.25">
      <c r="A9" s="1" t="s">
        <v>248</v>
      </c>
      <c r="B9" s="1" t="s">
        <v>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5" zeroHeight="1" x14ac:dyDescent="0.25"/>
  <cols>
    <col min="1" max="1" width="55.7109375" customWidth="1"/>
    <col min="2" max="2" width="10.7109375" customWidth="1"/>
    <col min="3" max="3" width="30.7109375" customWidth="1"/>
    <col min="4" max="44" width="0" hidden="1" customWidth="1"/>
    <col min="45" max="16384" width="8.7109375" hidden="1"/>
  </cols>
  <sheetData>
    <row r="1" spans="1:44" ht="18" customHeight="1" x14ac:dyDescent="0.25">
      <c r="A1" s="16" t="s">
        <v>250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25">
      <c r="A2" s="38" t="s">
        <v>235</v>
      </c>
      <c r="B2" s="38" t="s">
        <v>28</v>
      </c>
      <c r="C2" s="38" t="s">
        <v>251</v>
      </c>
    </row>
    <row r="3" spans="1:44" ht="18" customHeight="1" x14ac:dyDescent="0.25">
      <c r="A3" s="1" t="s">
        <v>252</v>
      </c>
      <c r="B3" s="1">
        <v>10</v>
      </c>
      <c r="C3" s="1" t="s">
        <v>253</v>
      </c>
    </row>
    <row r="4" spans="1:44" ht="18" customHeight="1" x14ac:dyDescent="0.25">
      <c r="A4" s="1" t="s">
        <v>254</v>
      </c>
      <c r="B4" s="1">
        <v>5</v>
      </c>
      <c r="C4" s="1" t="s">
        <v>255</v>
      </c>
    </row>
    <row r="5" spans="1:44" ht="18" customHeight="1" x14ac:dyDescent="0.25">
      <c r="A5" s="1" t="s">
        <v>256</v>
      </c>
      <c r="B5" s="1">
        <v>2</v>
      </c>
      <c r="C5" s="1" t="s">
        <v>257</v>
      </c>
    </row>
    <row r="6" spans="1:44" ht="18" customHeight="1" x14ac:dyDescent="0.25">
      <c r="A6" s="1" t="s">
        <v>258</v>
      </c>
      <c r="B6" s="1">
        <v>2</v>
      </c>
      <c r="C6" s="1" t="s">
        <v>259</v>
      </c>
    </row>
    <row r="7" spans="1:44" ht="18" customHeight="1" x14ac:dyDescent="0.25">
      <c r="A7" s="1" t="s">
        <v>260</v>
      </c>
      <c r="B7" s="1">
        <v>2</v>
      </c>
      <c r="C7" s="1" t="s">
        <v>261</v>
      </c>
    </row>
    <row r="8" spans="1:44" ht="18" customHeight="1" x14ac:dyDescent="0.25">
      <c r="A8" s="1" t="s">
        <v>262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5" x14ac:dyDescent="0.25"/>
  <cols>
    <col min="1" max="1" width="20.5703125" customWidth="1"/>
    <col min="2" max="2" width="16.5703125" customWidth="1"/>
    <col min="3" max="3" width="15" customWidth="1"/>
  </cols>
  <sheetData>
    <row r="1" spans="1:3" x14ac:dyDescent="0.25">
      <c r="A1" s="22" t="s">
        <v>263</v>
      </c>
      <c r="B1" s="22" t="s">
        <v>264</v>
      </c>
      <c r="C1" s="22" t="s">
        <v>265</v>
      </c>
    </row>
    <row r="2" spans="1:3" x14ac:dyDescent="0.25">
      <c r="A2" t="s">
        <v>266</v>
      </c>
      <c r="B2" t="s">
        <v>22</v>
      </c>
      <c r="C2" t="s">
        <v>21</v>
      </c>
    </row>
    <row r="3" spans="1:3" x14ac:dyDescent="0.25">
      <c r="B3" t="s">
        <v>23</v>
      </c>
      <c r="C3" t="s">
        <v>18</v>
      </c>
    </row>
    <row r="4" spans="1:3" x14ac:dyDescent="0.25">
      <c r="B4" t="s">
        <v>24</v>
      </c>
      <c r="C4" t="s">
        <v>13</v>
      </c>
    </row>
    <row r="5" spans="1:3" x14ac:dyDescent="0.25">
      <c r="B5" t="s">
        <v>267</v>
      </c>
      <c r="C5" t="s">
        <v>268</v>
      </c>
    </row>
    <row r="6" spans="1:3" x14ac:dyDescent="0.25">
      <c r="B6" t="s">
        <v>20</v>
      </c>
      <c r="C6" t="s">
        <v>14</v>
      </c>
    </row>
    <row r="7" spans="1:3" x14ac:dyDescent="0.25">
      <c r="B7" t="s">
        <v>17</v>
      </c>
    </row>
    <row r="8" spans="1:3" x14ac:dyDescent="0.25">
      <c r="B8" t="s">
        <v>15</v>
      </c>
    </row>
    <row r="9" spans="1:3" x14ac:dyDescent="0.25">
      <c r="B9" t="s">
        <v>16</v>
      </c>
    </row>
    <row r="10" spans="1:3" x14ac:dyDescent="0.25">
      <c r="B10" t="s">
        <v>11</v>
      </c>
    </row>
    <row r="11" spans="1:3" x14ac:dyDescent="0.25">
      <c r="B11" t="s">
        <v>9</v>
      </c>
    </row>
    <row r="12" spans="1:3" x14ac:dyDescent="0.25">
      <c r="B12" t="s">
        <v>10</v>
      </c>
    </row>
    <row r="13" spans="1:3" x14ac:dyDescent="0.25">
      <c r="B13" t="s">
        <v>12</v>
      </c>
    </row>
    <row r="14" spans="1:3" x14ac:dyDescent="0.25">
      <c r="B14" t="s">
        <v>8</v>
      </c>
    </row>
    <row r="15" spans="1:3" x14ac:dyDescent="0.25">
      <c r="B15" t="s">
        <v>7</v>
      </c>
    </row>
    <row r="16" spans="1:3" x14ac:dyDescent="0.25">
      <c r="B16" t="s">
        <v>6</v>
      </c>
    </row>
    <row r="17" spans="2:2" x14ac:dyDescent="0.25">
      <c r="B17" t="s">
        <v>5</v>
      </c>
    </row>
    <row r="18" spans="2:2" x14ac:dyDescent="0.25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schemas.microsoft.com/office/2006/metadata/properties"/>
    <ds:schemaRef ds:uri="7b90d758-d430-4ffd-9227-0f539ac48821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7c2036e6-2c6c-4cc0-93d3-66cc911cb074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2026-07-08T05:49:45Z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