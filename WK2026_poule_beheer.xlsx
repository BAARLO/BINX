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215" documentId="13_ncr:1_{E3B635D9-D5C4-4B81-9F43-C2CD39A8463F}" xr6:coauthVersionLast="47" xr6:coauthVersionMax="47" xr10:uidLastSave="{C4B7FD87-51CA-43FC-AA22-0AFB1F6AA3A3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9" i="2" l="1"/>
  <c r="AS9" i="2"/>
  <c r="AQ9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X174" i="1" l="1"/>
  <c r="AW174" i="1"/>
  <c r="AB174" i="1" s="1"/>
  <c r="AV174" i="1"/>
  <c r="AT174" i="1"/>
  <c r="AR174" i="1"/>
  <c r="AP174" i="1"/>
  <c r="AN174" i="1"/>
  <c r="AL174" i="1"/>
  <c r="AJ174" i="1"/>
  <c r="AH174" i="1"/>
  <c r="AF174" i="1"/>
  <c r="AD174" i="1"/>
  <c r="Z174" i="1"/>
  <c r="X174" i="1"/>
  <c r="V174" i="1"/>
  <c r="T174" i="1"/>
  <c r="R174" i="1"/>
  <c r="P174" i="1"/>
  <c r="N174" i="1"/>
  <c r="L174" i="1"/>
  <c r="J174" i="1"/>
  <c r="H174" i="1"/>
  <c r="F174" i="1"/>
  <c r="AX171" i="1"/>
  <c r="AW171" i="1"/>
  <c r="AR171" i="1" s="1"/>
  <c r="AV171" i="1"/>
  <c r="AT171" i="1"/>
  <c r="AP171" i="1"/>
  <c r="AN171" i="1"/>
  <c r="AL171" i="1"/>
  <c r="AJ171" i="1"/>
  <c r="AH171" i="1"/>
  <c r="AF171" i="1"/>
  <c r="AD171" i="1"/>
  <c r="Z171" i="1"/>
  <c r="AX168" i="1"/>
  <c r="AW168" i="1"/>
  <c r="AL168" i="1" s="1"/>
  <c r="AV168" i="1"/>
  <c r="AH168" i="1"/>
  <c r="AD168" i="1"/>
  <c r="Z168" i="1"/>
  <c r="X168" i="1"/>
  <c r="P168" i="1"/>
  <c r="N168" i="1"/>
  <c r="L168" i="1"/>
  <c r="J168" i="1"/>
  <c r="H168" i="1"/>
  <c r="AX165" i="1"/>
  <c r="AL165" i="1" s="1"/>
  <c r="AW165" i="1"/>
  <c r="AR165" i="1" s="1"/>
  <c r="AT165" i="1"/>
  <c r="AP165" i="1"/>
  <c r="AJ165" i="1"/>
  <c r="X165" i="1"/>
  <c r="N165" i="1"/>
  <c r="F165" i="1"/>
  <c r="H171" i="1" l="1"/>
  <c r="J171" i="1"/>
  <c r="N171" i="1"/>
  <c r="P171" i="1"/>
  <c r="T171" i="1"/>
  <c r="X171" i="1"/>
  <c r="F171" i="1"/>
  <c r="L171" i="1"/>
  <c r="R171" i="1"/>
  <c r="V171" i="1"/>
  <c r="AB171" i="1"/>
  <c r="AN168" i="1"/>
  <c r="AP168" i="1"/>
  <c r="AR168" i="1"/>
  <c r="AT168" i="1"/>
  <c r="F168" i="1"/>
  <c r="R168" i="1"/>
  <c r="T168" i="1"/>
  <c r="V168" i="1"/>
  <c r="AB168" i="1"/>
  <c r="AF168" i="1"/>
  <c r="AJ168" i="1"/>
  <c r="AV165" i="1"/>
  <c r="H165" i="1"/>
  <c r="J165" i="1"/>
  <c r="L165" i="1"/>
  <c r="P165" i="1"/>
  <c r="R165" i="1"/>
  <c r="T165" i="1"/>
  <c r="V165" i="1"/>
  <c r="Z165" i="1"/>
  <c r="AB165" i="1"/>
  <c r="AD165" i="1"/>
  <c r="AF165" i="1"/>
  <c r="AH165" i="1"/>
  <c r="AN165" i="1"/>
  <c r="AD160" i="1" l="1"/>
  <c r="Z160" i="1"/>
  <c r="AD159" i="1"/>
  <c r="Z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 l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6" i="1"/>
  <c r="AT169" i="1"/>
  <c r="AT172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8" i="2"/>
  <c r="AS7" i="2"/>
  <c r="AS6" i="2"/>
  <c r="AS5" i="2"/>
  <c r="AS4" i="2"/>
  <c r="AS3" i="2"/>
  <c r="AV179" i="1"/>
  <c r="AV182" i="1"/>
  <c r="AV187" i="1"/>
  <c r="AV192" i="1"/>
  <c r="AT1" i="2"/>
  <c r="AU3" i="2"/>
  <c r="AU4" i="2"/>
  <c r="AU5" i="2"/>
  <c r="AU6" i="2"/>
  <c r="AU7" i="2"/>
  <c r="AU8" i="2"/>
  <c r="AU10" i="2"/>
  <c r="AU11" i="2"/>
  <c r="AU12" i="2"/>
  <c r="AU13" i="2"/>
  <c r="AU14" i="2"/>
  <c r="AU15" i="2"/>
  <c r="AU16" i="2"/>
  <c r="B21" i="3"/>
  <c r="B15" i="3"/>
  <c r="B3" i="3"/>
  <c r="B7" i="3"/>
  <c r="B9" i="3"/>
  <c r="B22" i="3"/>
  <c r="B11" i="3"/>
  <c r="B18" i="3"/>
  <c r="B6" i="3"/>
  <c r="B5" i="3"/>
  <c r="B24" i="3"/>
  <c r="B19" i="3"/>
  <c r="B12" i="3"/>
  <c r="B17" i="3"/>
  <c r="D17" i="3"/>
  <c r="B13" i="3"/>
  <c r="B10" i="3"/>
  <c r="B20" i="3"/>
  <c r="B16" i="3"/>
  <c r="B4" i="3"/>
  <c r="B14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6" i="1"/>
  <c r="AR169" i="1"/>
  <c r="AR172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8" i="2"/>
  <c r="AQ7" i="2"/>
  <c r="AQ6" i="2"/>
  <c r="AQ5" i="2"/>
  <c r="AQ4" i="2"/>
  <c r="AQ3" i="2"/>
  <c r="AP1" i="2"/>
  <c r="AF1" i="2"/>
  <c r="Z1" i="2"/>
  <c r="D1" i="2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T160" i="1" l="1"/>
  <c r="AR160" i="1"/>
  <c r="AP160" i="1"/>
  <c r="AN160" i="1"/>
  <c r="AL160" i="1"/>
  <c r="AJ160" i="1"/>
  <c r="AH160" i="1"/>
  <c r="AF160" i="1"/>
  <c r="X160" i="1"/>
  <c r="V160" i="1"/>
  <c r="T160" i="1"/>
  <c r="R160" i="1"/>
  <c r="P160" i="1"/>
  <c r="N160" i="1"/>
  <c r="L160" i="1"/>
  <c r="J160" i="1"/>
  <c r="H160" i="1"/>
  <c r="AV160" i="1"/>
  <c r="F160" i="1"/>
  <c r="AB160" i="1"/>
  <c r="AJ159" i="1"/>
  <c r="X159" i="1"/>
  <c r="V159" i="1"/>
  <c r="T159" i="1"/>
  <c r="P159" i="1"/>
  <c r="N159" i="1"/>
  <c r="L159" i="1"/>
  <c r="H159" i="1"/>
  <c r="AP159" i="1"/>
  <c r="AH159" i="1"/>
  <c r="J159" i="1"/>
  <c r="AR159" i="1"/>
  <c r="AF159" i="1"/>
  <c r="AT159" i="1"/>
  <c r="AL159" i="1"/>
  <c r="R159" i="1"/>
  <c r="AB159" i="1"/>
  <c r="F159" i="1"/>
  <c r="AN159" i="1"/>
  <c r="AV159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2" i="3" s="1"/>
  <c r="AI17" i="2"/>
  <c r="D19" i="3" s="1"/>
  <c r="AO17" i="2"/>
  <c r="D5" i="3" s="1"/>
  <c r="AA17" i="2"/>
  <c r="D10" i="3" s="1"/>
  <c r="AC17" i="2"/>
  <c r="D16" i="3" s="1"/>
  <c r="AE17" i="2"/>
  <c r="D4" i="3" s="1"/>
  <c r="AG17" i="2"/>
  <c r="D11" i="3" s="1"/>
  <c r="E17" i="2"/>
  <c r="D6" i="3" s="1"/>
  <c r="I17" i="2"/>
  <c r="D8" i="3" s="1"/>
  <c r="K17" i="2"/>
  <c r="D24" i="3" s="1"/>
  <c r="M17" i="2"/>
  <c r="D20" i="3" s="1"/>
  <c r="G17" i="2"/>
  <c r="D14" i="3" s="1"/>
  <c r="O17" i="2"/>
  <c r="D15" i="3" s="1"/>
  <c r="S17" i="2"/>
  <c r="D22" i="3" s="1"/>
  <c r="U17" i="2"/>
  <c r="D7" i="3" s="1"/>
  <c r="W17" i="2"/>
  <c r="D9" i="3" s="1"/>
  <c r="Y17" i="2"/>
  <c r="D13" i="3" s="1"/>
  <c r="C18" i="3" l="1"/>
  <c r="E18" i="3" s="1"/>
  <c r="C17" i="3"/>
  <c r="E17" i="3" s="1"/>
  <c r="C21" i="3"/>
  <c r="E21" i="3" s="1"/>
  <c r="C23" i="3"/>
  <c r="E23" i="3" s="1"/>
  <c r="C5" i="3"/>
  <c r="E5" i="3" s="1"/>
  <c r="C16" i="3"/>
  <c r="E16" i="3" s="1"/>
  <c r="C22" i="3"/>
  <c r="E22" i="3" s="1"/>
  <c r="C4" i="3"/>
  <c r="E4" i="3" s="1"/>
  <c r="C15" i="3"/>
  <c r="E15" i="3" s="1"/>
  <c r="C20" i="3"/>
  <c r="E20" i="3" s="1"/>
  <c r="C19" i="3"/>
  <c r="E19" i="3" s="1"/>
  <c r="C6" i="3"/>
  <c r="E6" i="3" s="1"/>
  <c r="C9" i="3"/>
  <c r="E9" i="3" s="1"/>
  <c r="C24" i="3"/>
  <c r="E24" i="3" s="1"/>
  <c r="C3" i="3"/>
  <c r="E3" i="3" s="1"/>
  <c r="C10" i="3"/>
  <c r="E10" i="3" s="1"/>
  <c r="C14" i="3"/>
  <c r="E14" i="3" s="1"/>
  <c r="C13" i="3"/>
  <c r="E13" i="3" s="1"/>
  <c r="C8" i="3"/>
  <c r="E8" i="3" s="1"/>
  <c r="C12" i="3"/>
  <c r="E12" i="3" s="1"/>
  <c r="C7" i="3"/>
  <c r="E7" i="3" s="1"/>
  <c r="C11" i="3"/>
  <c r="E11" i="3" s="1"/>
  <c r="A23" i="3" l="1"/>
  <c r="A12" i="3"/>
  <c r="A8" i="3"/>
  <c r="A17" i="3"/>
  <c r="A11" i="3"/>
  <c r="A6" i="3"/>
  <c r="A13" i="3"/>
  <c r="A24" i="3"/>
  <c r="A15" i="3"/>
  <c r="A5" i="3"/>
  <c r="A19" i="3"/>
  <c r="A7" i="3"/>
  <c r="A20" i="3"/>
  <c r="A14" i="3"/>
  <c r="A21" i="3"/>
  <c r="A22" i="3"/>
  <c r="A9" i="3"/>
  <c r="A3" i="3"/>
  <c r="A4" i="3"/>
  <c r="A16" i="3"/>
  <c r="A10" i="3"/>
  <c r="A18" i="3"/>
</calcChain>
</file>

<file path=xl/sharedStrings.xml><?xml version="1.0" encoding="utf-8"?>
<sst xmlns="http://schemas.openxmlformats.org/spreadsheetml/2006/main" count="3036" uniqueCount="274">
  <si>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</si>
  <si>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</si>
  <si>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</si>
  <si>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</si>
  <si>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</si>
  <si>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</si>
  <si>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</si>
  <si>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</si>
  <si>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</si>
  <si>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</si>
  <si>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</si>
  <si>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</si>
  <si>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</si>
  <si>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</si>
  <si>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</si>
  <si>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</si>
  <si>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</si>
  <si>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</si>
  <si>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</si>
  <si>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</si>
  <si>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</si>
  <si>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</si>
  <si>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</si>
  <si>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</si>
  <si>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</si>
  <si>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</si>
  <si>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</si>
  <si>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</si>
  <si>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</si>
  <si>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</si>
  <si>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</si>
  <si>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</si>
  <si>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</si>
  <si>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</si>
  <si>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</si>
  <si>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</si>
  <si>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</si>
  <si>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</si>
  <si>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</si>
  <si>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</si>
  <si>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</si>
  <si>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</si>
  <si>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</si>
  <si>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</si>
  <si>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</si>
  <si>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</si>
  <si>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</si>
  <si>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</si>
  <si>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</si>
  <si>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</si>
  <si>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</si>
  <si>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</si>
  <si>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</si>
  <si>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</si>
  <si>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</si>
  <si>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</si>
  <si>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</si>
  <si>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</si>
  <si>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</si>
  <si>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</si>
  <si>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</si>
  <si>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</si>
  <si>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</si>
  <si>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</si>
  <si>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</si>
  <si>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</si>
  <si>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</si>
  <si>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</si>
  <si>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</si>
  <si>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</si>
  <si>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</si>
  <si>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</si>
  <si>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</si>
  <si>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</si>
  <si>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</si>
  <si>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</si>
  <si>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</si>
  <si>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</si>
  <si>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</si>
  <si>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</si>
  <si>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</si>
  <si>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</si>
  <si>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</si>
  <si>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</si>
  <si>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</si>
  <si>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</si>
  <si>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</si>
  <si>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</si>
  <si>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</si>
  <si>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</si>
  <si>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</si>
  <si>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</si>
  <si>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</si>
  <si>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</si>
  <si>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</si>
  <si>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</si>
  <si>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</si>
  <si>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</si>
  <si>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</si>
  <si>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</si>
  <si>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</si>
  <si>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</si>
  <si>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</si>
  <si>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</si>
  <si>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</si>
  <si>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</si>
  <si>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</si>
  <si>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</si>
  <si>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</si>
  <si>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</si>
  <si>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</si>
  <si>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</si>
  <si>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</si>
  <si>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</si>
  <si>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</si>
  <si>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</si>
  <si>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</si>
  <si>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</si>
  <si>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</si>
  <si>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</si>
  <si>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</si>
  <si>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</si>
  <si>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</si>
  <si>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</si>
  <si>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</si>
  <si>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</si>
  <si>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</si>
  <si>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</si>
  <si>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</si>
  <si>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</si>
  <si>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</si>
  <si>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</si>
  <si>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</si>
  <si>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</si>
  <si>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</si>
  <si>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</si>
  <si>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</si>
  <si>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</si>
  <si>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</si>
  <si>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</si>
  <si>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</si>
  <si>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</si>
  <si>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</si>
  <si>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</si>
  <si>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</si>
  <si>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</si>
  <si>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woensdag 15 juli 2026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</si>
  <si>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</si>
  <si>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</si>
  <si>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</si>
  <si>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</si>
  <si>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</si>
  <si>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</si>
  <si>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</si>
  <si>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</si>
  <si>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</si>
  <si>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</si>
  <si>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</si>
  <si>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</si>
  <si>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</si>
  <si>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</si>
  <si>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</si>
  <si>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</si>
  <si>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</si>
  <si>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</si>
  <si>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</si>
  <si>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</si>
  <si>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</si>
  <si>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</si>
  <si>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</si>
  <si>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</si>
  <si>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</si>
  <si>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</si>
  <si>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</si>
  <si>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</si>
  <si>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</si>
  <si>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</si>
  <si>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</si>
  <si>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</si>
  <si>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</si>
  <si>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</si>
  <si>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</si>
  <si>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</si>
  <si>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</si>
  <si>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</si>
  <si>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</si>
  <si>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</si>
  <si>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</si>
  <si>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</si>
  <si>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</si>
  <si>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</si>
  <si>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</si>
  <si>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</si>
  <si>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</si>
  <si>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</si>
  <si>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</si>
  <si>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</si>
  <si>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</si>
  <si>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</si>
  <si>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</si>
  <si>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</si>
  <si>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</si>
  <si>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</si>
  <si>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</si>
  <si>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</si>
  <si>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</si>
  <si>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</si>
  <si>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</si>
  <si>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</si>
  <si>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</si>
  <si>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</si>
  <si>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</si>
  <si>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</si>
  <si>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</si>
  <si>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</si>
  <si>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</si>
  <si>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</si>
  <si>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</si>
  <si>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</si>
  <si>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</si>
  <si>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</si>
  <si>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</si>
  <si>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</si>
  <si>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</si>
  <si>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</si>
  <si>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</si>
  <si>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</si>
  <si>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</si>
  <si>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</si>
  <si>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</si>
  <si>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</si>
  <si>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</si>
  <si>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</si>
  <si>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</si>
  <si>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</si>
  <si>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</si>
  <si>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</si>
  <si>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</si>
  <si>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</si>
  <si>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</si>
  <si>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</si>
  <si>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</si>
  <si>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</si>
  <si>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</si>
  <si>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</si>
  <si>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</si>
  <si>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</si>
  <si>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</si>
  <si>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</si>
  <si>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</si>
  <si>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</si>
  <si>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</si>
  <si>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</si>
  <si>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</si>
  <si>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</si>
  <si>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</si>
  <si>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</si>
  <si>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</si>
  <si>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</si>
  <si>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</si>
  <si>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</si>
  <si>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</si>
  <si>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</si>
  <si>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</si>
  <si>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</si>
  <si>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</si>
  <si>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</si>
  <si>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</si>
  <si>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</si>
  <si>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</si>
  <si>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</si>
  <si>
    <t>Zwitserland (wns)</t>
  </si>
  <si>
    <t>Engeland (wnv)</t>
  </si>
  <si>
    <t>Irak + Tunesië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</si>
</sst>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2868"/>
      <name val="Calibri"/>
      <family val="2"/>
    </font>
    <font>
      <b/>
      <sz val="13"/>
      <color rgb="FFFFFFFF"/>
      <name val="Calibri"/>
      <family val="2"/>
    </font>
    <font>
      <b/>
      <sz val="12"/>
      <color rgb="FFFFFFFF"/>
      <name val="Calibri"/>
      <family val="2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  <font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7" fillId="0" borderId="4" xfId="0" applyFont="1" applyBorder="1" applyAlignment="1">
      <alignment horizontal="left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66" activePane="bottomRight" state="frozen"/>
      <selection pane="topRight"/>
      <selection pane="bottomLeft"/>
      <selection pane="bottomRight" activeCell="E187" sqref="E187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1.88671875" style="19" bestFit="1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262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3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3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267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3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3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3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">
      <c r="A119" s="9">
        <v>1.9375</v>
      </c>
      <c r="B119" s="17" t="s">
        <v>69</v>
      </c>
      <c r="C119" s="10" t="s">
        <v>35</v>
      </c>
      <c r="D119" s="1" t="s">
        <v>268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3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3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3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3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">
      <c r="A138" s="9">
        <v>1.833333333333333</v>
      </c>
      <c r="B138" s="17" t="s">
        <v>67</v>
      </c>
      <c r="C138" s="10" t="s">
        <v>35</v>
      </c>
      <c r="D138" s="1" t="s">
        <v>270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3">
      <c r="A141" s="9">
        <v>1</v>
      </c>
      <c r="B141" s="17" t="s">
        <v>269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3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3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39" t="s">
        <v>136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3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39" t="s">
        <v>137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3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39" t="s">
        <v>138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3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3">
      <c r="A159" s="9">
        <v>1.75</v>
      </c>
      <c r="B159" s="17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3">
      <c r="A160" s="9">
        <v>1.916666666666667</v>
      </c>
      <c r="B160" s="17" t="s">
        <v>271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139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3">
      <c r="A164" s="39" t="s">
        <v>140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3">
      <c r="A165" s="9">
        <v>1.916666666666667</v>
      </c>
      <c r="B165" s="17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39" t="s">
        <v>141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3">
      <c r="A168" s="9">
        <v>1.875</v>
      </c>
      <c r="B168" s="17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39" t="s">
        <v>142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3">
      <c r="A171" s="9">
        <v>1.958333333333333</v>
      </c>
      <c r="B171" s="17" t="s">
        <v>94</v>
      </c>
      <c r="C171" s="10" t="s">
        <v>35</v>
      </c>
      <c r="D171" s="1" t="s">
        <v>272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39" t="s">
        <v>143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3">
      <c r="A174" s="9">
        <v>1.125</v>
      </c>
      <c r="B174" s="17" t="s">
        <v>269</v>
      </c>
      <c r="C174" s="10" t="s">
        <v>35</v>
      </c>
      <c r="D174" s="1" t="s">
        <v>55</v>
      </c>
      <c r="E174" s="10" t="s">
        <v>35</v>
      </c>
      <c r="F174" s="11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>10</v>
      </c>
      <c r="G174" s="10" t="s">
        <v>33</v>
      </c>
      <c r="H174" s="11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>2</v>
      </c>
      <c r="I174" s="10" t="s">
        <v>39</v>
      </c>
      <c r="J174" s="11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>2</v>
      </c>
      <c r="K174" s="10" t="s">
        <v>38</v>
      </c>
      <c r="L174" s="11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>0</v>
      </c>
      <c r="M174" s="10" t="s">
        <v>49</v>
      </c>
      <c r="N174" s="11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>7</v>
      </c>
      <c r="O174" s="10" t="s">
        <v>36</v>
      </c>
      <c r="P174" s="11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>0</v>
      </c>
      <c r="Q174" s="10" t="s">
        <v>37</v>
      </c>
      <c r="R174" s="11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>2</v>
      </c>
      <c r="S174" s="10" t="s">
        <v>36</v>
      </c>
      <c r="T174" s="11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>0</v>
      </c>
      <c r="U174" s="10" t="s">
        <v>33</v>
      </c>
      <c r="V174" s="11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>2</v>
      </c>
      <c r="W174" s="10" t="s">
        <v>33</v>
      </c>
      <c r="X174" s="11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>2</v>
      </c>
      <c r="Y174" s="10" t="s">
        <v>33</v>
      </c>
      <c r="Z174" s="11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>2</v>
      </c>
      <c r="AA174" s="10" t="s">
        <v>36</v>
      </c>
      <c r="AB174" s="11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>0</v>
      </c>
      <c r="AC174" s="10" t="s">
        <v>34</v>
      </c>
      <c r="AD174" s="11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>2</v>
      </c>
      <c r="AE174" s="10" t="s">
        <v>33</v>
      </c>
      <c r="AF174" s="11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>2</v>
      </c>
      <c r="AG174" s="10" t="s">
        <v>39</v>
      </c>
      <c r="AH174" s="11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>2</v>
      </c>
      <c r="AI174" s="10" t="s">
        <v>36</v>
      </c>
      <c r="AJ174" s="11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>0</v>
      </c>
      <c r="AK174" s="10" t="s">
        <v>39</v>
      </c>
      <c r="AL174" s="11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>2</v>
      </c>
      <c r="AM174" s="10" t="s">
        <v>34</v>
      </c>
      <c r="AN174" s="11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>2</v>
      </c>
      <c r="AO174" s="10" t="s">
        <v>33</v>
      </c>
      <c r="AP174" s="11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>2</v>
      </c>
      <c r="AQ174" s="10" t="s">
        <v>33</v>
      </c>
      <c r="AR174" s="11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>2</v>
      </c>
      <c r="AS174" s="10" t="s">
        <v>45</v>
      </c>
      <c r="AT174" s="11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>2</v>
      </c>
      <c r="AU174" s="10" t="s">
        <v>39</v>
      </c>
      <c r="AV174" s="11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>2</v>
      </c>
      <c r="AW174" s="11">
        <f>IF($C174="","",IFERROR(--LEFT($C174,FIND("-",$C174)-1),""))</f>
        <v>1</v>
      </c>
      <c r="AX174" s="11">
        <f>IF($C174="","",IFERROR(--MID($C174,FIND("-",$C174)+1,99),""))</f>
        <v>1</v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144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3">
      <c r="A178" s="39" t="s">
        <v>145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3">
      <c r="A179" s="9">
        <v>1.875</v>
      </c>
      <c r="B179" s="17" t="s">
        <v>89</v>
      </c>
      <c r="C179" s="10"/>
      <c r="D179" s="1" t="s">
        <v>80</v>
      </c>
      <c r="E179" s="10" t="s">
        <v>37</v>
      </c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39" t="s">
        <v>146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3">
      <c r="A182" s="9">
        <v>1.875</v>
      </c>
      <c r="B182" s="17" t="s">
        <v>101</v>
      </c>
      <c r="C182" s="10"/>
      <c r="D182" s="1" t="s">
        <v>95</v>
      </c>
      <c r="E182" s="10" t="s">
        <v>33</v>
      </c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147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3">
      <c r="A186" s="39" t="s">
        <v>148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3">
      <c r="A187" s="9">
        <v>1.958333333333333</v>
      </c>
      <c r="B187" s="17" t="s">
        <v>149</v>
      </c>
      <c r="C187" s="10"/>
      <c r="D187" s="1" t="s">
        <v>150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151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3">
      <c r="A191" s="39" t="s">
        <v>152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3">
      <c r="A192" s="9">
        <v>1.875</v>
      </c>
      <c r="B192" s="17" t="s">
        <v>153</v>
      </c>
      <c r="C192" s="10"/>
      <c r="D192" s="1" t="s">
        <v>154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32"/>
  <sheetViews>
    <sheetView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0.44140625" style="21" bestFit="1" customWidth="1"/>
    <col min="5" max="5" width="10.5546875" customWidth="1"/>
    <col min="6" max="6" width="9.88671875" bestFit="1" customWidth="1"/>
    <col min="7" max="7" width="10.5546875" customWidth="1"/>
    <col min="8" max="8" width="9.44140625" bestFit="1" customWidth="1"/>
    <col min="9" max="9" width="10.5546875" customWidth="1"/>
    <col min="10" max="10" width="9.44140625" bestFit="1" customWidth="1"/>
    <col min="11" max="11" width="10.5546875" customWidth="1"/>
    <col min="12" max="12" width="10.21875" bestFit="1" customWidth="1"/>
    <col min="13" max="13" width="10.5546875" customWidth="1"/>
    <col min="14" max="14" width="10.44140625" style="21" bestFit="1" customWidth="1"/>
    <col min="15" max="15" width="10.5546875" customWidth="1"/>
    <col min="16" max="16" width="10.44140625" style="21" bestFit="1" customWidth="1"/>
    <col min="17" max="17" width="10.5546875" customWidth="1"/>
    <col min="18" max="18" width="13.33203125" style="21" bestFit="1" customWidth="1"/>
    <col min="19" max="19" width="10.5546875" customWidth="1"/>
    <col min="20" max="20" width="14.77734375" bestFit="1" customWidth="1"/>
    <col min="21" max="21" width="10.5546875" customWidth="1"/>
    <col min="22" max="22" width="14.77734375" style="21" bestFit="1" customWidth="1"/>
    <col min="23" max="23" width="10.5546875" customWidth="1"/>
    <col min="24" max="24" width="10.44140625" style="21" bestFit="1" customWidth="1"/>
    <col min="25" max="25" width="10.5546875" customWidth="1"/>
    <col min="26" max="26" width="14.77734375" style="21" bestFit="1" customWidth="1"/>
    <col min="27" max="27" width="10.5546875" customWidth="1"/>
    <col min="28" max="28" width="10.44140625" style="21" bestFit="1" customWidth="1"/>
    <col min="29" max="29" width="10.5546875" customWidth="1"/>
    <col min="30" max="30" width="16.5546875" style="21" bestFit="1" customWidth="1"/>
    <col min="31" max="31" width="10.5546875" customWidth="1"/>
    <col min="32" max="32" width="13.33203125" style="21" bestFit="1" customWidth="1"/>
    <col min="33" max="33" width="10.5546875" customWidth="1"/>
    <col min="34" max="34" width="10.44140625" style="21" bestFit="1" customWidth="1"/>
    <col min="35" max="35" width="10.5546875" customWidth="1"/>
    <col min="36" max="36" width="10.44140625" style="21" bestFit="1" customWidth="1"/>
    <col min="37" max="37" width="10.5546875" customWidth="1"/>
    <col min="38" max="38" width="10.44140625" style="21" bestFit="1" customWidth="1"/>
    <col min="39" max="39" width="10.5546875" customWidth="1"/>
    <col min="40" max="40" width="10.44140625" style="21" bestFit="1" customWidth="1"/>
    <col min="41" max="41" width="10.5546875" customWidth="1"/>
    <col min="42" max="42" width="10.88671875" bestFit="1" customWidth="1"/>
    <col min="43" max="43" width="10.5546875" customWidth="1"/>
    <col min="44" max="44" width="13.5546875" style="21" bestFit="1" customWidth="1"/>
    <col min="45" max="45" width="10.5546875" customWidth="1"/>
    <col min="46" max="46" width="10.44140625" style="21" bestFit="1" customWidth="1"/>
    <col min="47" max="47" width="10.5546875" customWidth="1"/>
  </cols>
  <sheetData>
    <row r="1" spans="1:47" x14ac:dyDescent="0.3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" customHeight="1" x14ac:dyDescent="0.3">
      <c r="A2" s="34"/>
      <c r="B2" s="35" t="s">
        <v>155</v>
      </c>
      <c r="C2" s="34" t="s">
        <v>156</v>
      </c>
      <c r="D2" s="36" t="s">
        <v>157</v>
      </c>
      <c r="E2" s="34" t="s">
        <v>28</v>
      </c>
      <c r="F2" s="34" t="s">
        <v>157</v>
      </c>
      <c r="G2" s="34" t="s">
        <v>28</v>
      </c>
      <c r="H2" s="34" t="s">
        <v>157</v>
      </c>
      <c r="I2" s="34" t="s">
        <v>28</v>
      </c>
      <c r="J2" s="34" t="s">
        <v>157</v>
      </c>
      <c r="K2" s="34" t="s">
        <v>28</v>
      </c>
      <c r="L2" s="34" t="s">
        <v>157</v>
      </c>
      <c r="M2" s="34" t="s">
        <v>28</v>
      </c>
      <c r="N2" s="36" t="s">
        <v>157</v>
      </c>
      <c r="O2" s="34" t="s">
        <v>28</v>
      </c>
      <c r="P2" s="36" t="s">
        <v>157</v>
      </c>
      <c r="Q2" s="34" t="s">
        <v>28</v>
      </c>
      <c r="R2" s="36" t="s">
        <v>157</v>
      </c>
      <c r="S2" s="34" t="s">
        <v>28</v>
      </c>
      <c r="T2" s="34" t="s">
        <v>157</v>
      </c>
      <c r="U2" s="34" t="s">
        <v>28</v>
      </c>
      <c r="V2" s="36" t="s">
        <v>157</v>
      </c>
      <c r="W2" s="34" t="s">
        <v>28</v>
      </c>
      <c r="X2" s="36" t="s">
        <v>157</v>
      </c>
      <c r="Y2" s="34" t="s">
        <v>28</v>
      </c>
      <c r="Z2" s="36" t="s">
        <v>157</v>
      </c>
      <c r="AA2" s="34" t="s">
        <v>28</v>
      </c>
      <c r="AB2" s="36" t="s">
        <v>157</v>
      </c>
      <c r="AC2" s="34" t="s">
        <v>28</v>
      </c>
      <c r="AD2" s="36" t="s">
        <v>157</v>
      </c>
      <c r="AE2" s="34" t="s">
        <v>28</v>
      </c>
      <c r="AF2" s="36" t="s">
        <v>157</v>
      </c>
      <c r="AG2" s="34" t="s">
        <v>28</v>
      </c>
      <c r="AH2" s="36" t="s">
        <v>157</v>
      </c>
      <c r="AI2" s="34" t="s">
        <v>28</v>
      </c>
      <c r="AJ2" s="36" t="s">
        <v>157</v>
      </c>
      <c r="AK2" s="34" t="s">
        <v>28</v>
      </c>
      <c r="AL2" s="37" t="s">
        <v>157</v>
      </c>
      <c r="AM2" s="34" t="s">
        <v>28</v>
      </c>
      <c r="AN2" s="36" t="s">
        <v>157</v>
      </c>
      <c r="AO2" s="34" t="s">
        <v>28</v>
      </c>
      <c r="AP2" s="34" t="s">
        <v>157</v>
      </c>
      <c r="AQ2" s="34" t="s">
        <v>28</v>
      </c>
      <c r="AR2" s="36" t="s">
        <v>157</v>
      </c>
      <c r="AS2" s="34" t="s">
        <v>28</v>
      </c>
      <c r="AT2" s="36" t="s">
        <v>157</v>
      </c>
      <c r="AU2" s="34" t="s">
        <v>28</v>
      </c>
    </row>
    <row r="3" spans="1:47" ht="14.4" customHeight="1" x14ac:dyDescent="0.3">
      <c r="A3" s="11">
        <v>1</v>
      </c>
      <c r="B3" s="1" t="s">
        <v>158</v>
      </c>
      <c r="C3" s="63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E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159</v>
      </c>
      <c r="C4" s="29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95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160</v>
      </c>
      <c r="C5" s="63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161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162</v>
      </c>
      <c r="C6" s="29" t="s">
        <v>165</v>
      </c>
      <c r="D6" s="24" t="s">
        <v>163</v>
      </c>
      <c r="E6" s="11">
        <f t="shared" si="0"/>
        <v>0</v>
      </c>
      <c r="F6" s="10" t="s">
        <v>164</v>
      </c>
      <c r="G6" s="11">
        <f t="shared" si="1"/>
        <v>0</v>
      </c>
      <c r="H6" s="10" t="s">
        <v>165</v>
      </c>
      <c r="I6" s="11">
        <f t="shared" si="2"/>
        <v>10</v>
      </c>
      <c r="J6" s="10" t="s">
        <v>164</v>
      </c>
      <c r="K6" s="11">
        <f t="shared" si="3"/>
        <v>0</v>
      </c>
      <c r="L6" s="10" t="s">
        <v>163</v>
      </c>
      <c r="M6" s="11">
        <f t="shared" si="4"/>
        <v>0</v>
      </c>
      <c r="N6" s="10" t="s">
        <v>163</v>
      </c>
      <c r="O6" s="11">
        <f t="shared" si="5"/>
        <v>0</v>
      </c>
      <c r="P6" s="10" t="s">
        <v>165</v>
      </c>
      <c r="Q6" s="11">
        <f t="shared" si="6"/>
        <v>10</v>
      </c>
      <c r="R6" s="10" t="s">
        <v>164</v>
      </c>
      <c r="S6" s="11">
        <f t="shared" si="7"/>
        <v>0</v>
      </c>
      <c r="T6" s="10" t="s">
        <v>165</v>
      </c>
      <c r="U6" s="11">
        <f t="shared" si="8"/>
        <v>10</v>
      </c>
      <c r="V6" s="10" t="s">
        <v>163</v>
      </c>
      <c r="W6" s="11">
        <f t="shared" si="9"/>
        <v>0</v>
      </c>
      <c r="X6" s="10" t="s">
        <v>165</v>
      </c>
      <c r="Y6" s="11">
        <f t="shared" si="10"/>
        <v>10</v>
      </c>
      <c r="Z6" s="10" t="s">
        <v>163</v>
      </c>
      <c r="AA6" s="11">
        <f t="shared" si="11"/>
        <v>0</v>
      </c>
      <c r="AB6" s="21" t="s">
        <v>164</v>
      </c>
      <c r="AC6" s="11">
        <f t="shared" si="12"/>
        <v>0</v>
      </c>
      <c r="AD6" s="10" t="s">
        <v>163</v>
      </c>
      <c r="AE6" s="11">
        <f t="shared" si="13"/>
        <v>0</v>
      </c>
      <c r="AF6" s="10" t="s">
        <v>165</v>
      </c>
      <c r="AG6" s="11">
        <f t="shared" si="14"/>
        <v>10</v>
      </c>
      <c r="AH6" s="10" t="s">
        <v>163</v>
      </c>
      <c r="AI6" s="11">
        <f t="shared" si="15"/>
        <v>0</v>
      </c>
      <c r="AJ6" s="10" t="s">
        <v>165</v>
      </c>
      <c r="AK6" s="11">
        <f t="shared" si="16"/>
        <v>10</v>
      </c>
      <c r="AL6" s="10" t="s">
        <v>165</v>
      </c>
      <c r="AM6" s="11">
        <f t="shared" si="17"/>
        <v>10</v>
      </c>
      <c r="AN6" s="10" t="s">
        <v>165</v>
      </c>
      <c r="AO6" s="11">
        <f t="shared" si="18"/>
        <v>10</v>
      </c>
      <c r="AP6" s="10" t="s">
        <v>165</v>
      </c>
      <c r="AQ6" s="11">
        <f t="shared" si="19"/>
        <v>10</v>
      </c>
      <c r="AR6" s="10" t="s">
        <v>263</v>
      </c>
      <c r="AS6" s="11">
        <f t="shared" si="20"/>
        <v>0</v>
      </c>
      <c r="AT6" s="10" t="s">
        <v>163</v>
      </c>
      <c r="AU6" s="11">
        <f t="shared" si="21"/>
        <v>0</v>
      </c>
    </row>
    <row r="7" spans="1:47" ht="14.4" customHeight="1" x14ac:dyDescent="0.3">
      <c r="A7" s="11">
        <v>5</v>
      </c>
      <c r="B7" s="1" t="s">
        <v>166</v>
      </c>
      <c r="C7" s="29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167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" customHeight="1" x14ac:dyDescent="0.3">
      <c r="A8" s="11">
        <v>6</v>
      </c>
      <c r="B8" s="1" t="s">
        <v>168</v>
      </c>
      <c r="C8" s="29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95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169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171</v>
      </c>
      <c r="C9" s="29" t="s">
        <v>273</v>
      </c>
      <c r="D9" s="10" t="s">
        <v>172</v>
      </c>
      <c r="E9" s="11">
        <f>IF(ISNUMBER(FIND(" "&amp;D9&amp;" "," "&amp;C9&amp;" ")),10,0)</f>
        <v>0</v>
      </c>
      <c r="F9" s="10" t="s">
        <v>101</v>
      </c>
      <c r="G9" s="11">
        <f>IF(ISNUMBER(FIND(" "&amp;F9&amp;" "," "&amp;C9&amp;" ")),10,0)</f>
        <v>0</v>
      </c>
      <c r="H9" s="10" t="s">
        <v>172</v>
      </c>
      <c r="I9" s="11">
        <f>IF(ISNUMBER(FIND(" "&amp;H9&amp;" "," "&amp;C9&amp;" ")),10,0)</f>
        <v>0</v>
      </c>
      <c r="J9" s="10" t="s">
        <v>173</v>
      </c>
      <c r="K9" s="11">
        <f>IF(ISNUMBER(FIND(" "&amp;J9&amp;" "," "&amp;C9&amp;" ")),10,0)</f>
        <v>0</v>
      </c>
      <c r="L9" s="10" t="s">
        <v>173</v>
      </c>
      <c r="M9" s="11">
        <f>IF(ISNUMBER(FIND(" "&amp;L9&amp;" "," "&amp;C9&amp;" ")),10,0)</f>
        <v>0</v>
      </c>
      <c r="N9" s="10" t="s">
        <v>172</v>
      </c>
      <c r="O9" s="11">
        <f>IF(ISNUMBER(FIND(" "&amp;N9&amp;" "," "&amp;C9&amp;" ")),10,0)</f>
        <v>0</v>
      </c>
      <c r="P9" s="10" t="s">
        <v>173</v>
      </c>
      <c r="Q9" s="11">
        <f>IF(ISNUMBER(FIND(" "&amp;P9&amp;" "," "&amp;C9&amp;" ")),10,0)</f>
        <v>0</v>
      </c>
      <c r="R9" s="10" t="s">
        <v>88</v>
      </c>
      <c r="S9" s="11">
        <f>IF(ISNUMBER(FIND(" "&amp;R9&amp;" "," "&amp;C9&amp;" ")),10,0)</f>
        <v>0</v>
      </c>
      <c r="T9" s="10" t="s">
        <v>172</v>
      </c>
      <c r="U9" s="11">
        <f>IF(ISNUMBER(FIND(" "&amp;T9&amp;" "," "&amp;C9&amp;" ")),10,0)</f>
        <v>0</v>
      </c>
      <c r="V9" s="10" t="s">
        <v>172</v>
      </c>
      <c r="W9" s="11">
        <f>IF(ISNUMBER(FIND(" "&amp;V9&amp;" "," "&amp;C9&amp;" ")),10,0)</f>
        <v>0</v>
      </c>
      <c r="X9" s="10" t="s">
        <v>172</v>
      </c>
      <c r="Y9" s="11">
        <f>IF(ISNUMBER(FIND(" "&amp;X9&amp;" "," "&amp;C9&amp;" ")),10,0)</f>
        <v>0</v>
      </c>
      <c r="Z9" s="10" t="s">
        <v>70</v>
      </c>
      <c r="AA9" s="11">
        <f>IF(ISNUMBER(FIND(" "&amp;Z9&amp;" "," "&amp;C9&amp;" ")),10,0)</f>
        <v>0</v>
      </c>
      <c r="AB9" s="21" t="s">
        <v>54</v>
      </c>
      <c r="AC9" s="11">
        <f>IF(ISNUMBER(FIND(" "&amp;AB9&amp;" "," "&amp;C9&amp;" ")),10,0)</f>
        <v>0</v>
      </c>
      <c r="AD9" s="11" t="s">
        <v>70</v>
      </c>
      <c r="AE9" s="11">
        <f>IF(ISNUMBER(FIND(" "&amp;AD9&amp;" "," "&amp;C9&amp;" ")),10,0)</f>
        <v>0</v>
      </c>
      <c r="AF9" s="10" t="s">
        <v>88</v>
      </c>
      <c r="AG9" s="11">
        <f>IF(ISNUMBER(FIND(" "&amp;AF9&amp;" "," "&amp;C9&amp;" ")),10,0)</f>
        <v>0</v>
      </c>
      <c r="AH9" s="10" t="s">
        <v>81</v>
      </c>
      <c r="AI9" s="11">
        <f>IF(ISNUMBER(FIND(" "&amp;AH9&amp;" "," "&amp;C9&amp;" ")),10,0)</f>
        <v>0</v>
      </c>
      <c r="AJ9" s="10" t="s">
        <v>64</v>
      </c>
      <c r="AK9" s="11">
        <f>IF(ISNUMBER(FIND(" "&amp;AJ9&amp;" "," "&amp;C9&amp;" ")),10,0)</f>
        <v>0</v>
      </c>
      <c r="AL9" s="10" t="s">
        <v>64</v>
      </c>
      <c r="AM9" s="11">
        <f>IF(ISNUMBER(FIND(" "&amp;AL9&amp;" "," "&amp;C9&amp;" ")),10,0)</f>
        <v>0</v>
      </c>
      <c r="AN9" s="21" t="s">
        <v>64</v>
      </c>
      <c r="AO9" s="11">
        <f>IF(ISNUMBER(FIND(" "&amp;AN9&amp;" "," "&amp;C9&amp;" ")),10,0)</f>
        <v>0</v>
      </c>
      <c r="AP9" s="10" t="s">
        <v>107</v>
      </c>
      <c r="AQ9" s="11">
        <f>IF(ISNUMBER(FIND(" "&amp;AP9&amp;" "," "&amp;C9&amp;" ")),10,0)</f>
        <v>0</v>
      </c>
      <c r="AR9" s="10" t="s">
        <v>173</v>
      </c>
      <c r="AS9" s="11">
        <f>IF(ISNUMBER(FIND(" "&amp;AR9&amp;" "," "&amp;C9&amp;" ")),10,0)</f>
        <v>0</v>
      </c>
      <c r="AT9" s="10" t="s">
        <v>174</v>
      </c>
      <c r="AU9" s="11">
        <f>IF(ISNUMBER(FIND(" "&amp;AT9&amp;" "," "&amp;C9&amp;" ")),10,0)</f>
        <v>0</v>
      </c>
    </row>
    <row r="10" spans="1:47" ht="14.4" customHeight="1" x14ac:dyDescent="0.3">
      <c r="A10" s="11">
        <v>8</v>
      </c>
      <c r="B10" s="1" t="s">
        <v>175</v>
      </c>
      <c r="C10" s="63"/>
      <c r="D10" s="10" t="s">
        <v>169</v>
      </c>
      <c r="E10" s="11" t="str">
        <f t="shared" si="0"/>
        <v/>
      </c>
      <c r="F10" s="10" t="s">
        <v>169</v>
      </c>
      <c r="G10" s="11" t="str">
        <f t="shared" si="1"/>
        <v/>
      </c>
      <c r="H10" s="10" t="s">
        <v>169</v>
      </c>
      <c r="I10" s="11" t="str">
        <f t="shared" si="2"/>
        <v/>
      </c>
      <c r="J10" s="10" t="s">
        <v>164</v>
      </c>
      <c r="K10" s="11" t="str">
        <f t="shared" si="3"/>
        <v/>
      </c>
      <c r="L10" s="10" t="s">
        <v>176</v>
      </c>
      <c r="M10" s="11" t="str">
        <f t="shared" si="4"/>
        <v/>
      </c>
      <c r="N10" s="10" t="s">
        <v>177</v>
      </c>
      <c r="O10" s="11" t="str">
        <f t="shared" si="5"/>
        <v/>
      </c>
      <c r="P10" s="10" t="s">
        <v>169</v>
      </c>
      <c r="Q10" s="11" t="str">
        <f t="shared" si="6"/>
        <v/>
      </c>
      <c r="R10" s="10" t="s">
        <v>169</v>
      </c>
      <c r="S10" s="11" t="str">
        <f t="shared" si="7"/>
        <v/>
      </c>
      <c r="T10" s="10" t="s">
        <v>178</v>
      </c>
      <c r="U10" s="11" t="str">
        <f t="shared" si="8"/>
        <v/>
      </c>
      <c r="V10" s="10" t="s">
        <v>179</v>
      </c>
      <c r="W10" s="11" t="str">
        <f t="shared" si="9"/>
        <v/>
      </c>
      <c r="X10" s="10" t="s">
        <v>165</v>
      </c>
      <c r="Y10" s="11" t="str">
        <f t="shared" si="10"/>
        <v/>
      </c>
      <c r="Z10" s="10" t="s">
        <v>169</v>
      </c>
      <c r="AA10" s="11" t="str">
        <f t="shared" si="11"/>
        <v/>
      </c>
      <c r="AB10" s="21" t="s">
        <v>169</v>
      </c>
      <c r="AC10" s="11" t="str">
        <f t="shared" si="12"/>
        <v/>
      </c>
      <c r="AD10" s="10" t="s">
        <v>169</v>
      </c>
      <c r="AE10" s="11" t="str">
        <f t="shared" si="13"/>
        <v/>
      </c>
      <c r="AF10" s="10" t="s">
        <v>169</v>
      </c>
      <c r="AG10" s="11" t="str">
        <f t="shared" si="14"/>
        <v/>
      </c>
      <c r="AH10" s="10" t="s">
        <v>169</v>
      </c>
      <c r="AI10" s="11" t="str">
        <f t="shared" si="15"/>
        <v/>
      </c>
      <c r="AJ10" s="10" t="s">
        <v>169</v>
      </c>
      <c r="AK10" s="11" t="str">
        <f t="shared" si="16"/>
        <v/>
      </c>
      <c r="AL10" s="10" t="s">
        <v>180</v>
      </c>
      <c r="AM10" s="11" t="str">
        <f t="shared" si="17"/>
        <v/>
      </c>
      <c r="AN10" s="10" t="s">
        <v>181</v>
      </c>
      <c r="AO10" s="11" t="str">
        <f t="shared" si="18"/>
        <v/>
      </c>
      <c r="AP10" s="10" t="s">
        <v>169</v>
      </c>
      <c r="AQ10" s="11" t="str">
        <f t="shared" si="19"/>
        <v/>
      </c>
      <c r="AR10" s="10" t="s">
        <v>181</v>
      </c>
      <c r="AS10" s="11" t="str">
        <f t="shared" si="20"/>
        <v/>
      </c>
      <c r="AT10" s="10" t="s">
        <v>182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183</v>
      </c>
      <c r="C11" s="29"/>
      <c r="D11" s="10" t="s">
        <v>177</v>
      </c>
      <c r="E11" s="11" t="str">
        <f t="shared" si="0"/>
        <v/>
      </c>
      <c r="F11" s="10" t="s">
        <v>184</v>
      </c>
      <c r="G11" s="11" t="str">
        <f t="shared" si="1"/>
        <v/>
      </c>
      <c r="H11" s="10" t="s">
        <v>177</v>
      </c>
      <c r="I11" s="11" t="str">
        <f t="shared" si="2"/>
        <v/>
      </c>
      <c r="J11" s="10" t="s">
        <v>163</v>
      </c>
      <c r="K11" s="11" t="str">
        <f t="shared" si="3"/>
        <v/>
      </c>
      <c r="L11" s="10" t="s">
        <v>185</v>
      </c>
      <c r="M11" s="11" t="str">
        <f t="shared" si="4"/>
        <v/>
      </c>
      <c r="N11" s="10" t="s">
        <v>180</v>
      </c>
      <c r="O11" s="11" t="str">
        <f t="shared" si="5"/>
        <v/>
      </c>
      <c r="P11" s="10" t="s">
        <v>177</v>
      </c>
      <c r="Q11" s="11" t="str">
        <f t="shared" si="6"/>
        <v/>
      </c>
      <c r="R11" s="10" t="s">
        <v>177</v>
      </c>
      <c r="S11" s="11" t="str">
        <f t="shared" si="7"/>
        <v/>
      </c>
      <c r="T11" s="10" t="s">
        <v>186</v>
      </c>
      <c r="U11" s="11" t="str">
        <f t="shared" si="8"/>
        <v/>
      </c>
      <c r="V11" s="10" t="s">
        <v>186</v>
      </c>
      <c r="W11" s="11" t="str">
        <f t="shared" si="9"/>
        <v/>
      </c>
      <c r="X11" s="10" t="s">
        <v>187</v>
      </c>
      <c r="Y11" s="11" t="str">
        <f t="shared" si="10"/>
        <v/>
      </c>
      <c r="Z11" s="10" t="s">
        <v>186</v>
      </c>
      <c r="AA11" s="11" t="str">
        <f t="shared" si="11"/>
        <v/>
      </c>
      <c r="AB11" s="21" t="s">
        <v>187</v>
      </c>
      <c r="AC11" s="11" t="str">
        <f t="shared" si="12"/>
        <v/>
      </c>
      <c r="AD11" s="10" t="s">
        <v>188</v>
      </c>
      <c r="AE11" s="11" t="str">
        <f t="shared" si="13"/>
        <v/>
      </c>
      <c r="AF11" s="10" t="s">
        <v>189</v>
      </c>
      <c r="AG11" s="11" t="str">
        <f t="shared" si="14"/>
        <v/>
      </c>
      <c r="AH11" s="10" t="s">
        <v>190</v>
      </c>
      <c r="AI11" s="11" t="str">
        <f t="shared" si="15"/>
        <v/>
      </c>
      <c r="AJ11" s="10" t="s">
        <v>177</v>
      </c>
      <c r="AK11" s="11" t="str">
        <f t="shared" si="16"/>
        <v/>
      </c>
      <c r="AL11" s="10" t="s">
        <v>191</v>
      </c>
      <c r="AM11" s="11" t="str">
        <f t="shared" si="17"/>
        <v/>
      </c>
      <c r="AN11" s="10" t="s">
        <v>180</v>
      </c>
      <c r="AO11" s="11" t="str">
        <f t="shared" si="18"/>
        <v/>
      </c>
      <c r="AP11" s="10" t="s">
        <v>192</v>
      </c>
      <c r="AQ11" s="11" t="str">
        <f t="shared" si="19"/>
        <v/>
      </c>
      <c r="AR11" s="10" t="s">
        <v>264</v>
      </c>
      <c r="AS11" s="11" t="str">
        <f t="shared" si="20"/>
        <v/>
      </c>
      <c r="AT11" s="10" t="s">
        <v>169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193</v>
      </c>
      <c r="C12" s="63"/>
      <c r="D12" s="10" t="s">
        <v>194</v>
      </c>
      <c r="E12" s="11" t="str">
        <f t="shared" si="0"/>
        <v/>
      </c>
      <c r="F12" s="10" t="s">
        <v>169</v>
      </c>
      <c r="G12" s="11" t="str">
        <f t="shared" si="1"/>
        <v/>
      </c>
      <c r="H12" s="10" t="s">
        <v>169</v>
      </c>
      <c r="I12" s="11" t="str">
        <f t="shared" si="2"/>
        <v/>
      </c>
      <c r="J12" s="10" t="s">
        <v>195</v>
      </c>
      <c r="K12" s="11" t="str">
        <f t="shared" si="3"/>
        <v/>
      </c>
      <c r="L12" s="10" t="s">
        <v>185</v>
      </c>
      <c r="M12" s="11" t="str">
        <f t="shared" si="4"/>
        <v/>
      </c>
      <c r="N12" s="10" t="s">
        <v>177</v>
      </c>
      <c r="O12" s="11" t="str">
        <f t="shared" si="5"/>
        <v/>
      </c>
      <c r="P12" s="10" t="s">
        <v>192</v>
      </c>
      <c r="Q12" s="11" t="str">
        <f t="shared" si="6"/>
        <v/>
      </c>
      <c r="R12" s="10" t="s">
        <v>196</v>
      </c>
      <c r="S12" s="11" t="str">
        <f t="shared" si="7"/>
        <v/>
      </c>
      <c r="T12" s="10" t="s">
        <v>180</v>
      </c>
      <c r="U12" s="11" t="str">
        <f t="shared" si="8"/>
        <v/>
      </c>
      <c r="V12" s="10" t="s">
        <v>169</v>
      </c>
      <c r="W12" s="11" t="str">
        <f t="shared" si="9"/>
        <v/>
      </c>
      <c r="X12" s="10" t="s">
        <v>165</v>
      </c>
      <c r="Y12" s="11" t="str">
        <f t="shared" si="10"/>
        <v/>
      </c>
      <c r="Z12" s="10" t="s">
        <v>186</v>
      </c>
      <c r="AA12" s="11" t="str">
        <f t="shared" si="11"/>
        <v/>
      </c>
      <c r="AB12" s="21" t="s">
        <v>169</v>
      </c>
      <c r="AC12" s="11" t="str">
        <f t="shared" si="12"/>
        <v/>
      </c>
      <c r="AD12" s="10" t="s">
        <v>197</v>
      </c>
      <c r="AE12" s="11" t="str">
        <f t="shared" si="13"/>
        <v/>
      </c>
      <c r="AF12" s="10" t="s">
        <v>169</v>
      </c>
      <c r="AG12" s="11" t="str">
        <f t="shared" si="14"/>
        <v/>
      </c>
      <c r="AH12" s="10" t="s">
        <v>169</v>
      </c>
      <c r="AI12" s="11" t="str">
        <f t="shared" si="15"/>
        <v/>
      </c>
      <c r="AJ12" s="10" t="s">
        <v>189</v>
      </c>
      <c r="AK12" s="11" t="str">
        <f t="shared" si="16"/>
        <v/>
      </c>
      <c r="AL12" s="10" t="s">
        <v>169</v>
      </c>
      <c r="AM12" s="11" t="str">
        <f t="shared" si="17"/>
        <v/>
      </c>
      <c r="AN12" s="10" t="s">
        <v>177</v>
      </c>
      <c r="AO12" s="11" t="str">
        <f t="shared" si="18"/>
        <v/>
      </c>
      <c r="AP12" s="10" t="s">
        <v>169</v>
      </c>
      <c r="AQ12" s="11" t="str">
        <f t="shared" si="19"/>
        <v/>
      </c>
      <c r="AR12" s="10" t="s">
        <v>192</v>
      </c>
      <c r="AS12" s="11" t="str">
        <f t="shared" si="20"/>
        <v/>
      </c>
      <c r="AT12" s="10" t="s">
        <v>182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198</v>
      </c>
      <c r="C13" s="63"/>
      <c r="D13" s="10" t="s">
        <v>177</v>
      </c>
      <c r="E13" s="11" t="str">
        <f t="shared" si="0"/>
        <v/>
      </c>
      <c r="F13" s="10" t="s">
        <v>187</v>
      </c>
      <c r="G13" s="11" t="str">
        <f t="shared" si="1"/>
        <v/>
      </c>
      <c r="H13" s="10" t="s">
        <v>177</v>
      </c>
      <c r="I13" s="11" t="str">
        <f t="shared" si="2"/>
        <v/>
      </c>
      <c r="J13" s="10" t="s">
        <v>177</v>
      </c>
      <c r="K13" s="11" t="str">
        <f t="shared" si="3"/>
        <v/>
      </c>
      <c r="L13" s="10" t="s">
        <v>201</v>
      </c>
      <c r="M13" s="11" t="str">
        <f t="shared" si="4"/>
        <v/>
      </c>
      <c r="N13" s="10" t="s">
        <v>199</v>
      </c>
      <c r="O13" s="11" t="str">
        <f t="shared" si="5"/>
        <v/>
      </c>
      <c r="P13" s="10" t="s">
        <v>200</v>
      </c>
      <c r="Q13" s="11" t="str">
        <f t="shared" si="6"/>
        <v/>
      </c>
      <c r="R13" s="21" t="s">
        <v>177</v>
      </c>
      <c r="S13" s="11" t="str">
        <f t="shared" si="7"/>
        <v/>
      </c>
      <c r="T13" s="10" t="s">
        <v>177</v>
      </c>
      <c r="U13" s="11" t="str">
        <f t="shared" si="8"/>
        <v/>
      </c>
      <c r="V13" s="10" t="s">
        <v>177</v>
      </c>
      <c r="W13" s="11" t="str">
        <f t="shared" si="9"/>
        <v/>
      </c>
      <c r="X13" s="10" t="s">
        <v>177</v>
      </c>
      <c r="Y13" s="11" t="str">
        <f t="shared" si="10"/>
        <v/>
      </c>
      <c r="Z13" s="10" t="s">
        <v>177</v>
      </c>
      <c r="AA13" s="11" t="str">
        <f t="shared" si="11"/>
        <v/>
      </c>
      <c r="AB13" s="21" t="s">
        <v>177</v>
      </c>
      <c r="AC13" s="11" t="str">
        <f t="shared" si="12"/>
        <v/>
      </c>
      <c r="AD13" s="10" t="s">
        <v>187</v>
      </c>
      <c r="AE13" s="11" t="str">
        <f t="shared" si="13"/>
        <v/>
      </c>
      <c r="AF13" s="10" t="s">
        <v>189</v>
      </c>
      <c r="AG13" s="11" t="str">
        <f t="shared" si="14"/>
        <v/>
      </c>
      <c r="AH13" s="10" t="s">
        <v>201</v>
      </c>
      <c r="AI13" s="11" t="str">
        <f t="shared" si="15"/>
        <v/>
      </c>
      <c r="AJ13" s="10" t="s">
        <v>177</v>
      </c>
      <c r="AK13" s="11" t="str">
        <f t="shared" si="16"/>
        <v/>
      </c>
      <c r="AL13" s="10" t="s">
        <v>177</v>
      </c>
      <c r="AM13" s="11" t="str">
        <f t="shared" si="17"/>
        <v/>
      </c>
      <c r="AN13" s="10" t="s">
        <v>202</v>
      </c>
      <c r="AO13" s="11" t="str">
        <f t="shared" si="18"/>
        <v/>
      </c>
      <c r="AP13" s="10" t="s">
        <v>177</v>
      </c>
      <c r="AQ13" s="11" t="str">
        <f t="shared" si="19"/>
        <v/>
      </c>
      <c r="AR13" s="10" t="s">
        <v>265</v>
      </c>
      <c r="AS13" s="11" t="str">
        <f t="shared" si="20"/>
        <v/>
      </c>
      <c r="AT13" s="10" t="s">
        <v>182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203</v>
      </c>
      <c r="C14" s="29"/>
      <c r="D14" s="10" t="s">
        <v>204</v>
      </c>
      <c r="E14" s="11" t="str">
        <f t="shared" si="0"/>
        <v/>
      </c>
      <c r="F14" s="10" t="s">
        <v>205</v>
      </c>
      <c r="G14" s="11" t="str">
        <f t="shared" si="1"/>
        <v/>
      </c>
      <c r="H14" s="10" t="s">
        <v>206</v>
      </c>
      <c r="I14" s="11" t="str">
        <f t="shared" si="2"/>
        <v/>
      </c>
      <c r="J14" s="10" t="s">
        <v>207</v>
      </c>
      <c r="K14" s="11" t="str">
        <f t="shared" si="3"/>
        <v/>
      </c>
      <c r="L14" s="10" t="s">
        <v>208</v>
      </c>
      <c r="M14" s="11" t="str">
        <f t="shared" si="4"/>
        <v/>
      </c>
      <c r="N14" s="10" t="s">
        <v>209</v>
      </c>
      <c r="O14" s="11" t="str">
        <f t="shared" si="5"/>
        <v/>
      </c>
      <c r="P14" s="10" t="s">
        <v>207</v>
      </c>
      <c r="Q14" s="11" t="str">
        <f t="shared" si="6"/>
        <v/>
      </c>
      <c r="R14" s="10" t="s">
        <v>206</v>
      </c>
      <c r="S14" s="11" t="str">
        <f t="shared" si="7"/>
        <v/>
      </c>
      <c r="T14" s="10" t="s">
        <v>207</v>
      </c>
      <c r="U14" s="11" t="str">
        <f t="shared" si="8"/>
        <v/>
      </c>
      <c r="V14" s="10" t="s">
        <v>206</v>
      </c>
      <c r="W14" s="11" t="str">
        <f t="shared" si="9"/>
        <v/>
      </c>
      <c r="X14" s="10" t="s">
        <v>208</v>
      </c>
      <c r="Y14" s="11" t="str">
        <f t="shared" si="10"/>
        <v/>
      </c>
      <c r="Z14" s="10" t="s">
        <v>209</v>
      </c>
      <c r="AA14" s="11" t="str">
        <f t="shared" si="11"/>
        <v/>
      </c>
      <c r="AB14" s="21" t="s">
        <v>204</v>
      </c>
      <c r="AC14" s="11" t="str">
        <f t="shared" si="12"/>
        <v/>
      </c>
      <c r="AD14" s="10" t="s">
        <v>205</v>
      </c>
      <c r="AE14" s="11" t="str">
        <f t="shared" si="13"/>
        <v/>
      </c>
      <c r="AF14" s="10" t="s">
        <v>205</v>
      </c>
      <c r="AG14" s="11" t="str">
        <f t="shared" si="14"/>
        <v/>
      </c>
      <c r="AH14" s="10" t="s">
        <v>209</v>
      </c>
      <c r="AI14" s="11" t="str">
        <f t="shared" si="15"/>
        <v/>
      </c>
      <c r="AJ14" s="10" t="s">
        <v>210</v>
      </c>
      <c r="AK14" s="11" t="str">
        <f t="shared" si="16"/>
        <v/>
      </c>
      <c r="AL14" s="10" t="s">
        <v>211</v>
      </c>
      <c r="AM14" s="11" t="str">
        <f t="shared" si="17"/>
        <v/>
      </c>
      <c r="AN14" s="10" t="s">
        <v>211</v>
      </c>
      <c r="AO14" s="11" t="str">
        <f t="shared" si="18"/>
        <v/>
      </c>
      <c r="AP14" s="10" t="s">
        <v>208</v>
      </c>
      <c r="AQ14" s="11" t="str">
        <f t="shared" si="19"/>
        <v/>
      </c>
      <c r="AR14" s="10" t="s">
        <v>211</v>
      </c>
      <c r="AS14" s="11" t="str">
        <f t="shared" si="20"/>
        <v/>
      </c>
      <c r="AT14" s="10" t="s">
        <v>207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212</v>
      </c>
      <c r="C15" s="29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167</v>
      </c>
      <c r="AO15" s="11" t="str">
        <f t="shared" si="18"/>
        <v/>
      </c>
      <c r="AP15" s="10" t="s">
        <v>213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214</v>
      </c>
      <c r="C16" s="29"/>
      <c r="D16" s="10" t="s">
        <v>215</v>
      </c>
      <c r="E16" s="11" t="str">
        <f t="shared" si="0"/>
        <v/>
      </c>
      <c r="F16" s="10" t="s">
        <v>216</v>
      </c>
      <c r="G16" s="11" t="str">
        <f t="shared" si="1"/>
        <v/>
      </c>
      <c r="H16" s="10" t="s">
        <v>217</v>
      </c>
      <c r="I16" s="11" t="str">
        <f t="shared" si="2"/>
        <v/>
      </c>
      <c r="J16" s="10" t="s">
        <v>218</v>
      </c>
      <c r="K16" s="11" t="str">
        <f t="shared" si="3"/>
        <v/>
      </c>
      <c r="L16" s="10" t="s">
        <v>218</v>
      </c>
      <c r="M16" s="11" t="str">
        <f t="shared" si="4"/>
        <v/>
      </c>
      <c r="N16" s="10" t="s">
        <v>215</v>
      </c>
      <c r="O16" s="11" t="str">
        <f t="shared" si="5"/>
        <v/>
      </c>
      <c r="P16" s="10" t="s">
        <v>216</v>
      </c>
      <c r="Q16" s="11" t="str">
        <f t="shared" si="6"/>
        <v/>
      </c>
      <c r="R16" s="10" t="s">
        <v>216</v>
      </c>
      <c r="S16" s="11" t="str">
        <f t="shared" si="7"/>
        <v/>
      </c>
      <c r="T16" s="10" t="s">
        <v>219</v>
      </c>
      <c r="U16" s="11" t="str">
        <f t="shared" si="8"/>
        <v/>
      </c>
      <c r="V16" s="10" t="s">
        <v>216</v>
      </c>
      <c r="W16" s="11" t="str">
        <f t="shared" si="9"/>
        <v/>
      </c>
      <c r="X16" s="10" t="s">
        <v>216</v>
      </c>
      <c r="Y16" s="11" t="str">
        <f t="shared" si="10"/>
        <v/>
      </c>
      <c r="Z16" s="25" t="s">
        <v>218</v>
      </c>
      <c r="AA16" s="11" t="str">
        <f t="shared" si="11"/>
        <v/>
      </c>
      <c r="AB16" s="21" t="s">
        <v>216</v>
      </c>
      <c r="AC16" s="11" t="str">
        <f t="shared" si="12"/>
        <v/>
      </c>
      <c r="AD16" s="10" t="s">
        <v>220</v>
      </c>
      <c r="AE16" s="11" t="str">
        <f t="shared" si="13"/>
        <v/>
      </c>
      <c r="AF16" s="10" t="s">
        <v>216</v>
      </c>
      <c r="AG16" s="11" t="str">
        <f t="shared" si="14"/>
        <v/>
      </c>
      <c r="AH16" s="10" t="s">
        <v>217</v>
      </c>
      <c r="AI16" s="11" t="str">
        <f t="shared" si="15"/>
        <v/>
      </c>
      <c r="AJ16" s="10" t="s">
        <v>216</v>
      </c>
      <c r="AK16" s="11" t="str">
        <f t="shared" si="16"/>
        <v/>
      </c>
      <c r="AL16" s="27" t="s">
        <v>215</v>
      </c>
      <c r="AM16" s="11" t="str">
        <f t="shared" si="17"/>
        <v/>
      </c>
      <c r="AN16" s="10" t="s">
        <v>217</v>
      </c>
      <c r="AO16" s="11" t="str">
        <f t="shared" si="18"/>
        <v/>
      </c>
      <c r="AP16" s="10" t="s">
        <v>216</v>
      </c>
      <c r="AQ16" s="11" t="str">
        <f t="shared" si="19"/>
        <v/>
      </c>
      <c r="AR16" s="10" t="s">
        <v>266</v>
      </c>
      <c r="AS16" s="11" t="str">
        <f t="shared" si="20"/>
        <v/>
      </c>
      <c r="AT16" s="10" t="s">
        <v>217</v>
      </c>
      <c r="AU16" s="11" t="str">
        <f t="shared" si="21"/>
        <v/>
      </c>
    </row>
    <row r="17" spans="1:47" ht="14.4" customHeight="1" x14ac:dyDescent="0.3">
      <c r="A17" s="11"/>
      <c r="B17" s="14" t="s">
        <v>221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  <row r="19" spans="1:47" x14ac:dyDescent="0.3">
      <c r="A19" s="11">
        <v>1</v>
      </c>
      <c r="C19" s="63" t="s">
        <v>80</v>
      </c>
    </row>
    <row r="20" spans="1:47" x14ac:dyDescent="0.3">
      <c r="A20" s="11">
        <v>2</v>
      </c>
      <c r="C20" s="29" t="s">
        <v>101</v>
      </c>
    </row>
    <row r="21" spans="1:47" x14ac:dyDescent="0.3">
      <c r="A21" s="11">
        <v>3</v>
      </c>
      <c r="C21" s="63" t="s">
        <v>89</v>
      </c>
    </row>
    <row r="22" spans="1:47" x14ac:dyDescent="0.3">
      <c r="A22" s="11">
        <v>4</v>
      </c>
      <c r="C22" s="29" t="s">
        <v>165</v>
      </c>
    </row>
    <row r="23" spans="1:47" x14ac:dyDescent="0.3">
      <c r="A23" s="11">
        <v>5</v>
      </c>
      <c r="C23" s="29">
        <v>22</v>
      </c>
    </row>
    <row r="24" spans="1:47" x14ac:dyDescent="0.3">
      <c r="A24" s="11">
        <v>6</v>
      </c>
      <c r="C24" s="29" t="s">
        <v>89</v>
      </c>
    </row>
    <row r="25" spans="1:47" x14ac:dyDescent="0.3">
      <c r="A25" s="11">
        <v>7</v>
      </c>
      <c r="C25" s="29" t="s">
        <v>273</v>
      </c>
    </row>
    <row r="26" spans="1:47" x14ac:dyDescent="0.3">
      <c r="A26" s="11">
        <v>8</v>
      </c>
      <c r="C26" s="63" t="s">
        <v>169</v>
      </c>
    </row>
    <row r="27" spans="1:47" x14ac:dyDescent="0.3">
      <c r="A27" s="11">
        <v>9</v>
      </c>
      <c r="C27" s="29" t="s">
        <v>180</v>
      </c>
    </row>
    <row r="28" spans="1:47" x14ac:dyDescent="0.3">
      <c r="A28" s="11">
        <v>10</v>
      </c>
      <c r="C28" s="63" t="s">
        <v>194</v>
      </c>
    </row>
    <row r="29" spans="1:47" x14ac:dyDescent="0.3">
      <c r="A29" s="11">
        <v>11</v>
      </c>
      <c r="C29" s="63" t="s">
        <v>177</v>
      </c>
    </row>
    <row r="30" spans="1:47" x14ac:dyDescent="0.3">
      <c r="A30" s="11">
        <v>12</v>
      </c>
      <c r="C30" s="29" t="s">
        <v>206</v>
      </c>
    </row>
    <row r="31" spans="1:47" x14ac:dyDescent="0.3">
      <c r="A31" s="11">
        <v>13</v>
      </c>
      <c r="C31" s="29">
        <v>14</v>
      </c>
    </row>
    <row r="32" spans="1:47" x14ac:dyDescent="0.3">
      <c r="A32" s="11">
        <v>14</v>
      </c>
      <c r="C32" s="29" t="s">
        <v>216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G3" sqref="G3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222</v>
      </c>
      <c r="B1" s="16"/>
      <c r="C1" s="16"/>
      <c r="D1" s="16"/>
      <c r="E1" s="16"/>
    </row>
    <row r="2" spans="1:5" ht="18" customHeight="1" x14ac:dyDescent="0.3">
      <c r="A2" s="38" t="s">
        <v>223</v>
      </c>
      <c r="B2" s="38" t="s">
        <v>224</v>
      </c>
      <c r="C2" s="38" t="s">
        <v>225</v>
      </c>
      <c r="D2" s="38" t="s">
        <v>226</v>
      </c>
      <c r="E2" s="38" t="s">
        <v>227</v>
      </c>
    </row>
    <row r="3" spans="1:5" ht="18" customHeight="1" x14ac:dyDescent="0.3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513</v>
      </c>
      <c r="D3" s="11">
        <f>Bonus_beheer!AK17</f>
        <v>10</v>
      </c>
      <c r="E3" s="11">
        <f>C3+D3</f>
        <v>523</v>
      </c>
    </row>
    <row r="4" spans="1:5" ht="18" customHeight="1" x14ac:dyDescent="0.3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517</v>
      </c>
      <c r="D4" s="11">
        <f>Bonus_beheer!AE17</f>
        <v>0</v>
      </c>
      <c r="E4" s="11">
        <f>C4+D4</f>
        <v>517</v>
      </c>
    </row>
    <row r="5" spans="1:5" ht="18" customHeight="1" x14ac:dyDescent="0.3">
      <c r="A5" s="11">
        <f>_xlfn.RANK.EQ(E5,$E$3:$E$90,0)</f>
        <v>3</v>
      </c>
      <c r="B5" s="1" t="str">
        <f>Wedstrijden_beheer!AO1</f>
        <v>Patrick</v>
      </c>
      <c r="C5" s="11">
        <f>SUM(Wedstrijden_beheer!AP3:'Wedstrijden_beheer'!AP194)</f>
        <v>502</v>
      </c>
      <c r="D5" s="11">
        <f>Bonus_beheer!AO17</f>
        <v>10</v>
      </c>
      <c r="E5" s="11">
        <f>C5+D5</f>
        <v>512</v>
      </c>
    </row>
    <row r="6" spans="1:5" ht="18" customHeight="1" x14ac:dyDescent="0.3">
      <c r="A6" s="11">
        <f>_xlfn.RANK.EQ(E6,$E$3:$E$90,0)</f>
        <v>3</v>
      </c>
      <c r="B6" s="29" t="str">
        <f>Wedstrijden_beheer!E1</f>
        <v>Roland</v>
      </c>
      <c r="C6" s="11">
        <f>SUM(Wedstrijden_beheer!F3:'Wedstrijden_beheer'!F194)</f>
        <v>512</v>
      </c>
      <c r="D6" s="11">
        <f>Bonus_beheer!E17</f>
        <v>0</v>
      </c>
      <c r="E6" s="11">
        <f>C6+D6</f>
        <v>512</v>
      </c>
    </row>
    <row r="7" spans="1:5" ht="18" customHeight="1" x14ac:dyDescent="0.3">
      <c r="A7" s="11">
        <f>_xlfn.RANK.EQ(E7,$E$3:$E$90,0)</f>
        <v>5</v>
      </c>
      <c r="B7" s="1" t="str">
        <f>Wedstrijden_beheer!U1</f>
        <v>Tom</v>
      </c>
      <c r="C7" s="11">
        <f>SUM(Wedstrijden_beheer!V3:'Wedstrijden_beheer'!V194)</f>
        <v>498</v>
      </c>
      <c r="D7" s="11">
        <f>Bonus_beheer!U17</f>
        <v>10</v>
      </c>
      <c r="E7" s="11">
        <f>C7+D7</f>
        <v>508</v>
      </c>
    </row>
    <row r="8" spans="1:5" ht="18" customHeight="1" x14ac:dyDescent="0.3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493</v>
      </c>
      <c r="D8" s="11">
        <f>Bonus_beheer!I17</f>
        <v>10</v>
      </c>
      <c r="E8" s="11">
        <f>C8+D8</f>
        <v>503</v>
      </c>
    </row>
    <row r="9" spans="1:5" ht="18" customHeight="1" x14ac:dyDescent="0.3">
      <c r="A9" s="11">
        <f>_xlfn.RANK.EQ(E9,$E$3:$E$90,0)</f>
        <v>7</v>
      </c>
      <c r="B9" s="1" t="str">
        <f>Wedstrijden_beheer!W1</f>
        <v>Jos</v>
      </c>
      <c r="C9" s="11">
        <f>SUM(Wedstrijden_beheer!X3:'Wedstrijden_beheer'!X194)</f>
        <v>471</v>
      </c>
      <c r="D9" s="11">
        <f>Bonus_beheer!W17</f>
        <v>10</v>
      </c>
      <c r="E9" s="11">
        <f>C9+D9</f>
        <v>481</v>
      </c>
    </row>
    <row r="10" spans="1:5" ht="18" customHeight="1" x14ac:dyDescent="0.3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478</v>
      </c>
      <c r="D10" s="11">
        <f>Bonus_beheer!AA17</f>
        <v>0</v>
      </c>
      <c r="E10" s="11">
        <f>C10+D10</f>
        <v>478</v>
      </c>
    </row>
    <row r="11" spans="1:5" ht="18" customHeight="1" x14ac:dyDescent="0.3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467</v>
      </c>
      <c r="D11" s="11">
        <f>Bonus_beheer!AG17</f>
        <v>10</v>
      </c>
      <c r="E11" s="11">
        <f>C11+D11</f>
        <v>477</v>
      </c>
    </row>
    <row r="12" spans="1:5" ht="18" customHeight="1" x14ac:dyDescent="0.3">
      <c r="A12" s="11">
        <f>_xlfn.RANK.EQ(E12,$E$3:$E$90,0)</f>
        <v>10</v>
      </c>
      <c r="B12" s="1" t="str">
        <f>Wedstrijden_beheer!AM1</f>
        <v>Kristel</v>
      </c>
      <c r="C12" s="11">
        <f>SUM(Wedstrijden_beheer!AN3:'Wedstrijden_beheer'!AN194)</f>
        <v>460</v>
      </c>
      <c r="D12" s="11">
        <f>Bonus_beheer!AM17</f>
        <v>10</v>
      </c>
      <c r="E12" s="11">
        <f>C12+D12</f>
        <v>470</v>
      </c>
    </row>
    <row r="13" spans="1:5" ht="18" customHeight="1" x14ac:dyDescent="0.3">
      <c r="A13" s="11">
        <f>_xlfn.RANK.EQ(E13,$E$3:$E$90,0)</f>
        <v>11</v>
      </c>
      <c r="B13" s="1" t="str">
        <f>Wedstrijden_beheer!Y1</f>
        <v>Lesley</v>
      </c>
      <c r="C13" s="11">
        <f>SUM(Wedstrijden_beheer!Z3:'Wedstrijden_beheer'!Z194)</f>
        <v>454</v>
      </c>
      <c r="D13" s="11">
        <f>Bonus_beheer!Y17</f>
        <v>10</v>
      </c>
      <c r="E13" s="11">
        <f>C13+D13</f>
        <v>464</v>
      </c>
    </row>
    <row r="14" spans="1:5" ht="18" customHeight="1" x14ac:dyDescent="0.3">
      <c r="A14" s="11">
        <f>_xlfn.RANK.EQ(E14,$E$3:$E$90,0)</f>
        <v>12</v>
      </c>
      <c r="B14" s="1" t="str">
        <f>Wedstrijden_beheer!G1</f>
        <v>Nikki</v>
      </c>
      <c r="C14" s="11">
        <f>SUM(Wedstrijden_beheer!H3:'Wedstrijden_beheer'!H194)</f>
        <v>461</v>
      </c>
      <c r="D14" s="11">
        <f>Bonus_beheer!G17</f>
        <v>0</v>
      </c>
      <c r="E14" s="11">
        <f>C14+D14</f>
        <v>461</v>
      </c>
    </row>
    <row r="15" spans="1:5" ht="18" customHeight="1" x14ac:dyDescent="0.3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448</v>
      </c>
      <c r="D15" s="11">
        <f>Bonus_beheer!O17</f>
        <v>10</v>
      </c>
      <c r="E15" s="11">
        <f>C15+D15</f>
        <v>458</v>
      </c>
    </row>
    <row r="16" spans="1:5" ht="18" customHeight="1" x14ac:dyDescent="0.3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448</v>
      </c>
      <c r="D16" s="11">
        <f>Bonus_beheer!AC17</f>
        <v>0</v>
      </c>
      <c r="E16" s="11">
        <f>C16+D16</f>
        <v>448</v>
      </c>
    </row>
    <row r="17" spans="1:5" ht="18" customHeight="1" x14ac:dyDescent="0.3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434</v>
      </c>
      <c r="D17" s="11">
        <f>Bonus_beheer!AU18</f>
        <v>0</v>
      </c>
      <c r="E17" s="11">
        <f>C17+D17</f>
        <v>434</v>
      </c>
    </row>
    <row r="18" spans="1:5" ht="18" customHeight="1" x14ac:dyDescent="0.3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434</v>
      </c>
      <c r="D18" s="11">
        <f>Bonus_beheer!AU17</f>
        <v>0</v>
      </c>
      <c r="E18" s="11">
        <f>C18+D18</f>
        <v>434</v>
      </c>
    </row>
    <row r="19" spans="1:5" ht="18" customHeight="1" x14ac:dyDescent="0.3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412</v>
      </c>
      <c r="D19" s="11">
        <f>Bonus_beheer!AI17</f>
        <v>10</v>
      </c>
      <c r="E19" s="11">
        <f>C19+D19</f>
        <v>422</v>
      </c>
    </row>
    <row r="20" spans="1:5" ht="18" customHeight="1" x14ac:dyDescent="0.3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402</v>
      </c>
      <c r="D20" s="11">
        <f>Bonus_beheer!M17</f>
        <v>10</v>
      </c>
      <c r="E20" s="11">
        <f>C20+D20</f>
        <v>412</v>
      </c>
    </row>
    <row r="21" spans="1:5" ht="18" customHeight="1" x14ac:dyDescent="0.3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381</v>
      </c>
      <c r="D21" s="11">
        <f>Bonus_beheer!Q17</f>
        <v>10</v>
      </c>
      <c r="E21" s="11">
        <f>C21+D21</f>
        <v>391</v>
      </c>
    </row>
    <row r="22" spans="1:5" ht="18" customHeight="1" x14ac:dyDescent="0.3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385</v>
      </c>
      <c r="D22" s="11">
        <f>Bonus_beheer!S17</f>
        <v>0</v>
      </c>
      <c r="E22" s="11">
        <f>C22+D22</f>
        <v>385</v>
      </c>
    </row>
    <row r="23" spans="1:5" x14ac:dyDescent="0.3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381</v>
      </c>
      <c r="D23" s="11">
        <f>Bonus_beheer!Q18</f>
        <v>0</v>
      </c>
      <c r="E23" s="11">
        <f>C23+D23</f>
        <v>381</v>
      </c>
    </row>
    <row r="24" spans="1:5" x14ac:dyDescent="0.3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375</v>
      </c>
      <c r="D24" s="11">
        <f>Bonus_beheer!K17</f>
        <v>0</v>
      </c>
      <c r="E24" s="11">
        <f>C24+D24</f>
        <v>375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228</v>
      </c>
      <c r="B1" s="16"/>
    </row>
    <row r="2" spans="1:2" ht="18" customHeight="1" x14ac:dyDescent="0.3">
      <c r="A2" s="38" t="s">
        <v>229</v>
      </c>
      <c r="B2" s="38" t="s">
        <v>230</v>
      </c>
    </row>
    <row r="3" spans="1:2" ht="18" customHeight="1" x14ac:dyDescent="0.3">
      <c r="A3" s="1" t="s">
        <v>231</v>
      </c>
      <c r="B3" s="1" t="s">
        <v>232</v>
      </c>
    </row>
    <row r="4" spans="1:2" ht="18" customHeight="1" x14ac:dyDescent="0.3">
      <c r="A4" s="1" t="s">
        <v>233</v>
      </c>
      <c r="B4" s="1" t="s">
        <v>232</v>
      </c>
    </row>
    <row r="5" spans="1:2" ht="18" customHeight="1" x14ac:dyDescent="0.3">
      <c r="A5" s="1" t="s">
        <v>234</v>
      </c>
      <c r="B5" s="1" t="s">
        <v>235</v>
      </c>
    </row>
    <row r="6" spans="1:2" ht="18" customHeight="1" x14ac:dyDescent="0.3">
      <c r="A6" s="1" t="s">
        <v>236</v>
      </c>
      <c r="B6" s="1" t="s">
        <v>237</v>
      </c>
    </row>
    <row r="7" spans="1:2" ht="18" customHeight="1" x14ac:dyDescent="0.3">
      <c r="A7" s="1" t="s">
        <v>238</v>
      </c>
      <c r="B7" s="1" t="s">
        <v>239</v>
      </c>
    </row>
    <row r="8" spans="1:2" ht="18" customHeight="1" x14ac:dyDescent="0.3">
      <c r="A8" s="1" t="s">
        <v>240</v>
      </c>
      <c r="B8" s="1" t="s">
        <v>241</v>
      </c>
    </row>
    <row r="9" spans="1:2" ht="18" customHeight="1" x14ac:dyDescent="0.3">
      <c r="A9" s="1" t="s">
        <v>242</v>
      </c>
      <c r="B9" s="1" t="s">
        <v>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244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229</v>
      </c>
      <c r="B2" s="38" t="s">
        <v>28</v>
      </c>
      <c r="C2" s="38" t="s">
        <v>245</v>
      </c>
    </row>
    <row r="3" spans="1:44" ht="18" customHeight="1" x14ac:dyDescent="0.3">
      <c r="A3" s="1" t="s">
        <v>246</v>
      </c>
      <c r="B3" s="1">
        <v>10</v>
      </c>
      <c r="C3" s="1" t="s">
        <v>247</v>
      </c>
    </row>
    <row r="4" spans="1:44" ht="18" customHeight="1" x14ac:dyDescent="0.3">
      <c r="A4" s="1" t="s">
        <v>248</v>
      </c>
      <c r="B4" s="1">
        <v>5</v>
      </c>
      <c r="C4" s="1" t="s">
        <v>249</v>
      </c>
    </row>
    <row r="5" spans="1:44" ht="18" customHeight="1" x14ac:dyDescent="0.3">
      <c r="A5" s="1" t="s">
        <v>250</v>
      </c>
      <c r="B5" s="1">
        <v>2</v>
      </c>
      <c r="C5" s="1" t="s">
        <v>251</v>
      </c>
    </row>
    <row r="6" spans="1:44" ht="18" customHeight="1" x14ac:dyDescent="0.3">
      <c r="A6" s="1" t="s">
        <v>252</v>
      </c>
      <c r="B6" s="1">
        <v>2</v>
      </c>
      <c r="C6" s="1" t="s">
        <v>253</v>
      </c>
    </row>
    <row r="7" spans="1:44" ht="18" customHeight="1" x14ac:dyDescent="0.3">
      <c r="A7" s="1" t="s">
        <v>254</v>
      </c>
      <c r="B7" s="1">
        <v>2</v>
      </c>
      <c r="C7" s="1" t="s">
        <v>255</v>
      </c>
    </row>
    <row r="8" spans="1:44" ht="18" customHeight="1" x14ac:dyDescent="0.3">
      <c r="A8" s="1" t="s">
        <v>256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257</v>
      </c>
      <c r="B1" s="22" t="s">
        <v>258</v>
      </c>
      <c r="C1" s="22" t="s">
        <v>259</v>
      </c>
    </row>
    <row r="2" spans="1:3" x14ac:dyDescent="0.3">
      <c r="A2" t="s">
        <v>260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261</v>
      </c>
      <c r="C5" t="s">
        <v>262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documentManagement/types"/>
    <ds:schemaRef ds:uri="http://www.w3.org/XML/1998/namespace"/>
    <ds:schemaRef ds:uri="http://purl.org/dc/dcmitype/"/>
    <ds:schemaRef ds:uri="7b90d758-d430-4ffd-9227-0f539ac48821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7c2036e6-2c6c-4cc0-93d3-66cc911cb074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2026-07-12T18:12:35Z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